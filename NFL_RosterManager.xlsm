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EstaPastaDeTrabalho" hidePivotFieldList="1" defaultThemeVersion="166925"/>
  <mc:AlternateContent xmlns:mc="http://schemas.openxmlformats.org/markup-compatibility/2006">
    <mc:Choice Requires="x15">
      <x15ac:absPath xmlns:x15ac="http://schemas.microsoft.com/office/spreadsheetml/2010/11/ac" url="C:\Users\marcelo\Documents\GitHub\NFL-Rosters\"/>
    </mc:Choice>
  </mc:AlternateContent>
  <xr:revisionPtr revIDLastSave="0" documentId="13_ncr:1_{E5BCF2A3-D5B4-4752-AE76-22CD3DE9CADB}" xr6:coauthVersionLast="46" xr6:coauthVersionMax="47" xr10:uidLastSave="{00000000-0000-0000-0000-000000000000}"/>
  <bookViews>
    <workbookView xWindow="-120" yWindow="-120" windowWidth="20730" windowHeight="11160" firstSheet="2" activeTab="2" xr2:uid="{E778DF08-6D41-4ABC-A250-6D56B4696CFE}"/>
  </bookViews>
  <sheets>
    <sheet name="Planilha1" sheetId="10" state="hidden" r:id="rId1"/>
    <sheet name="Planilha3" sheetId="12" state="hidden" r:id="rId2"/>
    <sheet name="Roster" sheetId="7" r:id="rId3"/>
    <sheet name="Players per College" sheetId="13" r:id="rId4"/>
    <sheet name="Transactions" sheetId="11" r:id="rId5"/>
  </sheets>
  <definedNames>
    <definedName name="DadosExternos_1" localSheetId="0" hidden="1">Planilha1!$A$1:$C$1334</definedName>
    <definedName name="DadosExternos_1" localSheetId="1" hidden="1">Planilha3!$A$1:$I$2888</definedName>
    <definedName name="DEFENSE">Roster!$V:$AL</definedName>
    <definedName name="OFFENSE">Roster!$E:$U</definedName>
    <definedName name="SegmentaçãodeDados_College">#N/A</definedName>
    <definedName name="SegmentaçãodeDados_Pos">#N/A</definedName>
    <definedName name="SegmentaçãodeDados_Team">#N/A</definedName>
    <definedName name="SegmentaçãodeDados_Team1">#N/A</definedName>
    <definedName name="SegmentaçãodeDados_Team2">#N/A</definedName>
    <definedName name="SP_TEAMS">Roster!$AM:$AU</definedName>
    <definedName name="TRANSAC_RECENT">Transactions!$C:$D</definedName>
    <definedName name="TRANSAC_TEAM">Transactions!$B:$B</definedName>
  </definedNames>
  <calcPr calcId="191029"/>
  <pivotCaches>
    <pivotCache cacheId="44" r:id="rId6"/>
    <pivotCache cacheId="59"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8" i="7" l="1"/>
  <c r="C24" i="7"/>
  <c r="C19" i="7"/>
  <c r="C18" i="7" s="1"/>
  <c r="C17" i="7" s="1"/>
  <c r="B31" i="7"/>
  <c r="B23" i="7"/>
  <c r="B25" i="7"/>
  <c r="B21" i="7"/>
  <c r="B27" i="7"/>
  <c r="B22" i="7"/>
  <c r="B29" i="7"/>
  <c r="B20" i="7"/>
  <c r="B30" i="7"/>
  <c r="B26" i="7"/>
  <c r="B19" i="7"/>
  <c r="D19" i="7" l="1"/>
  <c r="D20" i="7"/>
  <c r="D21" i="7"/>
  <c r="D22" i="7"/>
  <c r="D23" i="7"/>
  <c r="D25" i="7"/>
  <c r="D26" i="7"/>
  <c r="D27" i="7"/>
  <c r="D29" i="7"/>
  <c r="D30" i="7"/>
  <c r="D31" i="7"/>
  <c r="B18" i="7"/>
  <c r="D18" i="7" s="1"/>
  <c r="B24" i="7"/>
  <c r="D24" i="7" s="1"/>
  <c r="B28" i="7"/>
  <c r="D28" i="7" s="1"/>
  <c r="B17" i="7" l="1"/>
  <c r="D17"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CEE4EF2-2E59-47B1-9A4C-9895CF44C1BF}" keepAlive="1" name="Consulta - Rosters(1)" description="Conexão com a consulta 'Rosters' na pasta de trabalho." type="5" refreshedVersion="6" background="1" saveData="1">
    <dbPr connection="Provider=Microsoft.Mashup.OleDb.1;Data Source=$Workbook$;Location=Rosters;Extended Properties=&quot;&quot;" command="SELECT * FROM [Rosters]"/>
  </connection>
  <connection id="2" xr16:uid="{96A0824D-BDC9-48E0-866C-FF2F3ED78EC6}" keepAlive="1" name="Consulta - Transactions(1)" description="Conexão com a consulta 'Transactions' na pasta de trabalho." type="5" refreshedVersion="6" background="1" saveData="1">
    <dbPr connection="Provider=Microsoft.Mashup.OleDb.1;Data Source=$Workbook$;Location=Transactions;Extended Properties=&quot;&quot;" command="SELECT * FROM [Transactions]"/>
  </connection>
</connections>
</file>

<file path=xl/sharedStrings.xml><?xml version="1.0" encoding="utf-8"?>
<sst xmlns="http://schemas.openxmlformats.org/spreadsheetml/2006/main" count="24624" uniqueCount="4815">
  <si>
    <t>Player</t>
  </si>
  <si>
    <t>#</t>
  </si>
  <si>
    <t>Pos</t>
  </si>
  <si>
    <t>HT</t>
  </si>
  <si>
    <t>WT</t>
  </si>
  <si>
    <t>Age</t>
  </si>
  <si>
    <t>Exp</t>
  </si>
  <si>
    <t>College</t>
  </si>
  <si>
    <t>SFO</t>
  </si>
  <si>
    <t>Brandon Aiyuk</t>
  </si>
  <si>
    <t>WR</t>
  </si>
  <si>
    <t>6-0</t>
  </si>
  <si>
    <t>3</t>
  </si>
  <si>
    <t>Arizona State</t>
  </si>
  <si>
    <t>Azeez Al-Shaair</t>
  </si>
  <si>
    <t>LB</t>
  </si>
  <si>
    <t>4</t>
  </si>
  <si>
    <t>Florida Atlantic</t>
  </si>
  <si>
    <t>Arik Armstead</t>
  </si>
  <si>
    <t>DL</t>
  </si>
  <si>
    <t>6-7</t>
  </si>
  <si>
    <t>8</t>
  </si>
  <si>
    <t>Oregon</t>
  </si>
  <si>
    <t>Kevin Atkins</t>
  </si>
  <si>
    <t>6-2</t>
  </si>
  <si>
    <t>R</t>
  </si>
  <si>
    <t>Fresno State</t>
  </si>
  <si>
    <t>Aaron Banks</t>
  </si>
  <si>
    <t>OL</t>
  </si>
  <si>
    <t>6-5</t>
  </si>
  <si>
    <t>2</t>
  </si>
  <si>
    <t>Notre Dame</t>
  </si>
  <si>
    <t>Alex Barrett</t>
  </si>
  <si>
    <t>San Diego State</t>
  </si>
  <si>
    <t>Nick Bosa</t>
  </si>
  <si>
    <t>6-4</t>
  </si>
  <si>
    <t>Ohio State</t>
  </si>
  <si>
    <t>Jake Brendel</t>
  </si>
  <si>
    <t>6</t>
  </si>
  <si>
    <t>UCLA</t>
  </si>
  <si>
    <t>Daniel Brunskill</t>
  </si>
  <si>
    <t>Spencer Burford</t>
  </si>
  <si>
    <t>Texas-San Antonio</t>
  </si>
  <si>
    <t>Oren Burks</t>
  </si>
  <si>
    <t>6-3</t>
  </si>
  <si>
    <t>5</t>
  </si>
  <si>
    <t>Vanderbilt</t>
  </si>
  <si>
    <t>Tariq Castro-Fields</t>
  </si>
  <si>
    <t>CB</t>
  </si>
  <si>
    <t>Kalia Davis</t>
  </si>
  <si>
    <t>Tyrion Davis-Price</t>
  </si>
  <si>
    <t>RB</t>
  </si>
  <si>
    <t>6-1</t>
  </si>
  <si>
    <t>Darqueze Dennard</t>
  </si>
  <si>
    <t>5-11</t>
  </si>
  <si>
    <t>Michigan State</t>
  </si>
  <si>
    <t>Ross Dwelley</t>
  </si>
  <si>
    <t>TE</t>
  </si>
  <si>
    <t>San Diego</t>
  </si>
  <si>
    <t>Samson Ebukam</t>
  </si>
  <si>
    <t>Eastern Washington</t>
  </si>
  <si>
    <t>Demetrius Flannigan-Fowles</t>
  </si>
  <si>
    <t>Arizona</t>
  </si>
  <si>
    <t>Dee Ford</t>
  </si>
  <si>
    <t>9</t>
  </si>
  <si>
    <t>Auburn</t>
  </si>
  <si>
    <t>Troy Fumagalli</t>
  </si>
  <si>
    <t>6-6</t>
  </si>
  <si>
    <t>Wisconsin</t>
  </si>
  <si>
    <t>Jimmy Garoppolo</t>
  </si>
  <si>
    <t>QB</t>
  </si>
  <si>
    <t>Eastern Illinois</t>
  </si>
  <si>
    <t>Jeremiah Gemmel</t>
  </si>
  <si>
    <t>North Carolina</t>
  </si>
  <si>
    <t>Kevin Givens</t>
  </si>
  <si>
    <t>Robbie Gould</t>
  </si>
  <si>
    <t>K</t>
  </si>
  <si>
    <t>18</t>
  </si>
  <si>
    <t>Danny Gray</t>
  </si>
  <si>
    <t>Dre Greenlaw</t>
  </si>
  <si>
    <t>Arkansas</t>
  </si>
  <si>
    <t>Alfredo Gutierrez</t>
  </si>
  <si>
    <t>6-9</t>
  </si>
  <si>
    <t>1</t>
  </si>
  <si>
    <t>TecnolÃ³gico de Monterrey</t>
  </si>
  <si>
    <t>JaMycal Hasty</t>
  </si>
  <si>
    <t>5-8</t>
  </si>
  <si>
    <t>Baylor</t>
  </si>
  <si>
    <t>Tayler Hawkins</t>
  </si>
  <si>
    <t>S</t>
  </si>
  <si>
    <t>Josh Hokit</t>
  </si>
  <si>
    <t>FB</t>
  </si>
  <si>
    <t>Ka'dar Hollman</t>
  </si>
  <si>
    <t>Toledo</t>
  </si>
  <si>
    <t>Tanner Hudson</t>
  </si>
  <si>
    <t>Southern Arkansas</t>
  </si>
  <si>
    <t>Talanoa Hufanga</t>
  </si>
  <si>
    <t>Maurice Hurst</t>
  </si>
  <si>
    <t>Michigan</t>
  </si>
  <si>
    <t>Kerry Hyder Jr.</t>
  </si>
  <si>
    <t>7</t>
  </si>
  <si>
    <t>Texas Tech</t>
  </si>
  <si>
    <t>Drake Jackson</t>
  </si>
  <si>
    <t>Jauan Jennings</t>
  </si>
  <si>
    <t>Tennessee</t>
  </si>
  <si>
    <t>Dontae Johnson</t>
  </si>
  <si>
    <t>North Carolina State</t>
  </si>
  <si>
    <t>KeeSean Johnson</t>
  </si>
  <si>
    <t>Marcus Johnson</t>
  </si>
  <si>
    <t>Texas</t>
  </si>
  <si>
    <t>Kyle Juszczyk</t>
  </si>
  <si>
    <t>10</t>
  </si>
  <si>
    <t>Harvard</t>
  </si>
  <si>
    <t>Javon Kinlaw</t>
  </si>
  <si>
    <t>DT</t>
  </si>
  <si>
    <t>South Carolina</t>
  </si>
  <si>
    <t>George Kittle</t>
  </si>
  <si>
    <t>Iowa</t>
  </si>
  <si>
    <t>Qwuantrezz Knight</t>
  </si>
  <si>
    <t>Tyler Kroft</t>
  </si>
  <si>
    <t>Rutgers</t>
  </si>
  <si>
    <t>Trey Lance</t>
  </si>
  <si>
    <t>North Dakota State</t>
  </si>
  <si>
    <t>Deommodore Lenoir</t>
  </si>
  <si>
    <t>DB</t>
  </si>
  <si>
    <t>5-10</t>
  </si>
  <si>
    <t>Austin Mack</t>
  </si>
  <si>
    <t>Taysir Mack</t>
  </si>
  <si>
    <t>Pittsburgh</t>
  </si>
  <si>
    <t>Tay Martin</t>
  </si>
  <si>
    <t>Oklahoma State</t>
  </si>
  <si>
    <t>Jordan Mason</t>
  </si>
  <si>
    <t>Georgia Tech</t>
  </si>
  <si>
    <t>Jordan Matthews</t>
  </si>
  <si>
    <t>Ray-Ray McCloud III</t>
  </si>
  <si>
    <t>5-9</t>
  </si>
  <si>
    <t>Clemson</t>
  </si>
  <si>
    <t>Marcelino McCrary-Ball</t>
  </si>
  <si>
    <t>Indiana</t>
  </si>
  <si>
    <t>Mike McGlinchey</t>
  </si>
  <si>
    <t>T</t>
  </si>
  <si>
    <t>6-8</t>
  </si>
  <si>
    <t>Colton McKivitz</t>
  </si>
  <si>
    <t>West Virginia</t>
  </si>
  <si>
    <t>Elijah Mitchell</t>
  </si>
  <si>
    <t>Louisiana</t>
  </si>
  <si>
    <t>Jaylon Moore</t>
  </si>
  <si>
    <t>Western Michigan</t>
  </si>
  <si>
    <t>Tarvarius Moore</t>
  </si>
  <si>
    <t>Southern Mississippi</t>
  </si>
  <si>
    <t>Emmanuel Moseley</t>
  </si>
  <si>
    <t>Leon O'Neal Jr.</t>
  </si>
  <si>
    <t>Texas A&amp;M</t>
  </si>
  <si>
    <t>George Odum</t>
  </si>
  <si>
    <t>Central Arkansas</t>
  </si>
  <si>
    <t>Segun Olubi</t>
  </si>
  <si>
    <t>Charles Omenihu</t>
  </si>
  <si>
    <t>Taybor Pepper</t>
  </si>
  <si>
    <t>LS</t>
  </si>
  <si>
    <t>Jason Poe</t>
  </si>
  <si>
    <t>Mercer</t>
  </si>
  <si>
    <t>Brock Purdy</t>
  </si>
  <si>
    <t>Iowa State</t>
  </si>
  <si>
    <t>Hassan Ridgeway</t>
  </si>
  <si>
    <t>Curtis Robinson</t>
  </si>
  <si>
    <t>Stanford</t>
  </si>
  <si>
    <t>Deebo Samuel</t>
  </si>
  <si>
    <t>Sam Schlueter</t>
  </si>
  <si>
    <t>Minnesota</t>
  </si>
  <si>
    <t>Trey Sermon</t>
  </si>
  <si>
    <t>Justin Skule</t>
  </si>
  <si>
    <t>Nate Sudfeld</t>
  </si>
  <si>
    <t>Keaton Sutherland</t>
  </si>
  <si>
    <t>Ambry Thomas</t>
  </si>
  <si>
    <t>Kemoko Turay</t>
  </si>
  <si>
    <t>Malik Turner</t>
  </si>
  <si>
    <t>Illinois</t>
  </si>
  <si>
    <t>Jason Verrett</t>
  </si>
  <si>
    <t>Charvarius Ward</t>
  </si>
  <si>
    <t>Middle Tennessee State</t>
  </si>
  <si>
    <t>Jimmie Ward</t>
  </si>
  <si>
    <t>Northern Illinois</t>
  </si>
  <si>
    <t>Fred Warner</t>
  </si>
  <si>
    <t>Dohnovan West</t>
  </si>
  <si>
    <t>C</t>
  </si>
  <si>
    <t>Trent Williams</t>
  </si>
  <si>
    <t>12</t>
  </si>
  <si>
    <t>Oklahoma</t>
  </si>
  <si>
    <t>Jordan Willis</t>
  </si>
  <si>
    <t>Kansas State</t>
  </si>
  <si>
    <t>Jeff Wilson Jr.</t>
  </si>
  <si>
    <t>North Texas</t>
  </si>
  <si>
    <t>Mitch Wishnowsky</t>
  </si>
  <si>
    <t>P</t>
  </si>
  <si>
    <t>Utah</t>
  </si>
  <si>
    <t>Charlie Woerner</t>
  </si>
  <si>
    <t>Georgia</t>
  </si>
  <si>
    <t>Samuel Womack III</t>
  </si>
  <si>
    <t>Nick Zakelj</t>
  </si>
  <si>
    <t>Fordham</t>
  </si>
  <si>
    <t>ATL</t>
  </si>
  <si>
    <t>Dee Alford</t>
  </si>
  <si>
    <t>Tusculum College</t>
  </si>
  <si>
    <t>Tyler Allgeier</t>
  </si>
  <si>
    <t>BYU</t>
  </si>
  <si>
    <t>Geronimo Allison</t>
  </si>
  <si>
    <t>Troy Andersen</t>
  </si>
  <si>
    <t>Montana State</t>
  </si>
  <si>
    <t>Cornell Armstrong</t>
  </si>
  <si>
    <t>Corey Ballentine</t>
  </si>
  <si>
    <t>Washburn</t>
  </si>
  <si>
    <t>Cameron Batson</t>
  </si>
  <si>
    <t>Quinton Bell</t>
  </si>
  <si>
    <t>OLB</t>
  </si>
  <si>
    <t>Prairie View A&amp;M</t>
  </si>
  <si>
    <t>Jared Bernhardt</t>
  </si>
  <si>
    <t>Ferris State</t>
  </si>
  <si>
    <t>Stanley Berryhill</t>
  </si>
  <si>
    <t>Jordan Brailford</t>
  </si>
  <si>
    <t>Damiere Byrd</t>
  </si>
  <si>
    <t>Lorenzo Carter</t>
  </si>
  <si>
    <t>Drew Dalman</t>
  </si>
  <si>
    <t>Jalen Dalton</t>
  </si>
  <si>
    <t>Frank Darby</t>
  </si>
  <si>
    <t>Marlon Davidson</t>
  </si>
  <si>
    <t>Kuony Deng</t>
  </si>
  <si>
    <t>California</t>
  </si>
  <si>
    <t>Arnold Ebiketie</t>
  </si>
  <si>
    <t>Bryan Edwards</t>
  </si>
  <si>
    <t>Dorian Etheridge</t>
  </si>
  <si>
    <t>ILB</t>
  </si>
  <si>
    <t>Louisville</t>
  </si>
  <si>
    <t>Rashaan Evans</t>
  </si>
  <si>
    <t>Alabama</t>
  </si>
  <si>
    <t>Anthony Firkser</t>
  </si>
  <si>
    <t>Tucker Fisk</t>
  </si>
  <si>
    <t>John FitzPatrick</t>
  </si>
  <si>
    <t>Mike Ford</t>
  </si>
  <si>
    <t>Southeast Missouri State</t>
  </si>
  <si>
    <t>Feleipe Franks</t>
  </si>
  <si>
    <t>Eddie Goldman</t>
  </si>
  <si>
    <t>Florida State</t>
  </si>
  <si>
    <t>Colby Gossett</t>
  </si>
  <si>
    <t>Appalachian State</t>
  </si>
  <si>
    <t>Ta'Quon Graham</t>
  </si>
  <si>
    <t>Richie Grant</t>
  </si>
  <si>
    <t>Darren Hall</t>
  </si>
  <si>
    <t>Matt Hankins</t>
  </si>
  <si>
    <t>Erik Harris</t>
  </si>
  <si>
    <t>California (PA)</t>
  </si>
  <si>
    <t>Jonotthan Harrison</t>
  </si>
  <si>
    <t>Florida</t>
  </si>
  <si>
    <t>Jaylinn Hawkins</t>
  </si>
  <si>
    <t>Casey Hayward</t>
  </si>
  <si>
    <t>11</t>
  </si>
  <si>
    <t>Matt Hennessy</t>
  </si>
  <si>
    <t>Temple</t>
  </si>
  <si>
    <t>Parker Hesse</t>
  </si>
  <si>
    <t>KhaDarel Hodge</t>
  </si>
  <si>
    <t>Timmy Horne</t>
  </si>
  <si>
    <t>Caleb Huntley</t>
  </si>
  <si>
    <t>Ball State</t>
  </si>
  <si>
    <t>Germain Ifedi</t>
  </si>
  <si>
    <t>Tyshaun James</t>
  </si>
  <si>
    <t>CCSU</t>
  </si>
  <si>
    <t>Grady Jarrett</t>
  </si>
  <si>
    <t>Deion Jones</t>
  </si>
  <si>
    <t>LSU</t>
  </si>
  <si>
    <t>Younghoe Koo</t>
  </si>
  <si>
    <t>Georgia Southern</t>
  </si>
  <si>
    <t>Nick Kwiatkoski</t>
  </si>
  <si>
    <t>Nathan Landman</t>
  </si>
  <si>
    <t>Colorado</t>
  </si>
  <si>
    <t>Brayden Lenius</t>
  </si>
  <si>
    <t>Washington</t>
  </si>
  <si>
    <t>Rick Leonard</t>
  </si>
  <si>
    <t>Chris Lindstrom</t>
  </si>
  <si>
    <t>G</t>
  </si>
  <si>
    <t>Boston College</t>
  </si>
  <si>
    <t>Drake London</t>
  </si>
  <si>
    <t>USC</t>
  </si>
  <si>
    <t>Dom Maggio</t>
  </si>
  <si>
    <t>Wake Forest</t>
  </si>
  <si>
    <t>DeAngelo Malone</t>
  </si>
  <si>
    <t>Western Kentucky</t>
  </si>
  <si>
    <t>Marcus Mariota</t>
  </si>
  <si>
    <t>Dean Marlowe</t>
  </si>
  <si>
    <t>FS</t>
  </si>
  <si>
    <t>James Madison</t>
  </si>
  <si>
    <t>Jake Matthews</t>
  </si>
  <si>
    <t>Jalen Mayfield</t>
  </si>
  <si>
    <t>Liam McCullough</t>
  </si>
  <si>
    <t>Kaleb McGary</t>
  </si>
  <si>
    <t>Ryan Neuzil</t>
  </si>
  <si>
    <t>Adetokunbo Ogundeji</t>
  </si>
  <si>
    <t>Isaiah Oliver</t>
  </si>
  <si>
    <t>Qadree Ollison</t>
  </si>
  <si>
    <t>Cordarrelle Patterson</t>
  </si>
  <si>
    <t>Bradley Pinion</t>
  </si>
  <si>
    <t>Kyle Pitts</t>
  </si>
  <si>
    <t>Lafayette Pitts</t>
  </si>
  <si>
    <t>John Raine</t>
  </si>
  <si>
    <t>Northwestern</t>
  </si>
  <si>
    <t>Desmond Ridder</t>
  </si>
  <si>
    <t>Cincinnati</t>
  </si>
  <si>
    <t>Bryce Rodgers</t>
  </si>
  <si>
    <t>UC Davis</t>
  </si>
  <si>
    <t>Anthony Rush</t>
  </si>
  <si>
    <t>UAB</t>
  </si>
  <si>
    <t>Justin Shaffer</t>
  </si>
  <si>
    <t>Keith Smith</t>
  </si>
  <si>
    <t>San Jose State</t>
  </si>
  <si>
    <t>Rashad Smith</t>
  </si>
  <si>
    <t>Teez Tabor</t>
  </si>
  <si>
    <t>Derrick Tangelo</t>
  </si>
  <si>
    <t>Auden Tate</t>
  </si>
  <si>
    <t>Vincent Taylor</t>
  </si>
  <si>
    <t>A.J. Terrell</t>
  </si>
  <si>
    <t>Nick Thurman</t>
  </si>
  <si>
    <t>DE</t>
  </si>
  <si>
    <t>Houston</t>
  </si>
  <si>
    <t>Seth Vernon</t>
  </si>
  <si>
    <t>Portland State</t>
  </si>
  <si>
    <t>Tyler Vrabel</t>
  </si>
  <si>
    <t>Mykal Walker</t>
  </si>
  <si>
    <t>Leroy Watson</t>
  </si>
  <si>
    <t>Tre Webb</t>
  </si>
  <si>
    <t>Elijah Wilkinson</t>
  </si>
  <si>
    <t>UMass Amherst</t>
  </si>
  <si>
    <t>Avery Williams</t>
  </si>
  <si>
    <t>Boise State</t>
  </si>
  <si>
    <t>Damien Williams</t>
  </si>
  <si>
    <t>Olamide Zaccheaus</t>
  </si>
  <si>
    <t>Virginia</t>
  </si>
  <si>
    <t>Beau Brinkley</t>
  </si>
  <si>
    <t>Missouri</t>
  </si>
  <si>
    <t>Calvin Ridley</t>
  </si>
  <si>
    <t>ARI</t>
  </si>
  <si>
    <t>Zach Allen</t>
  </si>
  <si>
    <t>Stephen Anderson</t>
  </si>
  <si>
    <t>Andre Baccellia</t>
  </si>
  <si>
    <t>Budda Baker</t>
  </si>
  <si>
    <t>Darrell Baker Jr.</t>
  </si>
  <si>
    <t>Kelvin Beachum</t>
  </si>
  <si>
    <t>Eno Benjamin</t>
  </si>
  <si>
    <t>Christian Blake</t>
  </si>
  <si>
    <t>Breon Borders</t>
  </si>
  <si>
    <t>Duke</t>
  </si>
  <si>
    <t>Aaron Brewer</t>
  </si>
  <si>
    <t>Nate Brooks</t>
  </si>
  <si>
    <t>Marquise Brown</t>
  </si>
  <si>
    <t>Zaven Collins</t>
  </si>
  <si>
    <t>Tulsa</t>
  </si>
  <si>
    <t>James Conner</t>
  </si>
  <si>
    <t>Nolan Cooney</t>
  </si>
  <si>
    <t>Syracuse</t>
  </si>
  <si>
    <t>Tae Daley</t>
  </si>
  <si>
    <t>Virginia Tech</t>
  </si>
  <si>
    <t>Matt Dickerson</t>
  </si>
  <si>
    <t>Victor Dimukeje</t>
  </si>
  <si>
    <t>Michael Dogbe</t>
  </si>
  <si>
    <t>Greg Dortch</t>
  </si>
  <si>
    <t>5-7</t>
  </si>
  <si>
    <t>Zach Ertz</t>
  </si>
  <si>
    <t>Leki Fotu</t>
  </si>
  <si>
    <t>Dennis Gardeck</t>
  </si>
  <si>
    <t>Sioux Falls</t>
  </si>
  <si>
    <t>Markus Golden</t>
  </si>
  <si>
    <t>A.J. Green</t>
  </si>
  <si>
    <t>Jarrett Guarantano</t>
  </si>
  <si>
    <t>Washington State</t>
  </si>
  <si>
    <t>Antonio Hamilton</t>
  </si>
  <si>
    <t>South Carolina State</t>
  </si>
  <si>
    <t>Sean Harlow</t>
  </si>
  <si>
    <t>Oregon State</t>
  </si>
  <si>
    <t>Marquis Hayes</t>
  </si>
  <si>
    <t>Will Hernandez</t>
  </si>
  <si>
    <t>Texas-El Paso</t>
  </si>
  <si>
    <t>DeAndre Hopkins</t>
  </si>
  <si>
    <t>Rodney Hudson</t>
  </si>
  <si>
    <t>D.J. Humphries</t>
  </si>
  <si>
    <t>Keaontay Ingram</t>
  </si>
  <si>
    <t>Andy Isabella</t>
  </si>
  <si>
    <t>Massachusetts</t>
  </si>
  <si>
    <t>Danny Isidora</t>
  </si>
  <si>
    <t>Miami</t>
  </si>
  <si>
    <t>Josh Jackson</t>
  </si>
  <si>
    <t>Josh Jones</t>
  </si>
  <si>
    <t>Manny Jones</t>
  </si>
  <si>
    <t>Colorado State</t>
  </si>
  <si>
    <t>Kingsley Keke</t>
  </si>
  <si>
    <t>Devon Kennard</t>
  </si>
  <si>
    <t>Jontre Kirklin</t>
  </si>
  <si>
    <t>Rashard Lawrence</t>
  </si>
  <si>
    <t>Jonathan Ledbetter</t>
  </si>
  <si>
    <t>Andy Lee</t>
  </si>
  <si>
    <t>19</t>
  </si>
  <si>
    <t>Jessie Lemonier</t>
  </si>
  <si>
    <t>Liberty</t>
  </si>
  <si>
    <t>Greg Long</t>
  </si>
  <si>
    <t>Purdue</t>
  </si>
  <si>
    <t>Jesse Luketa</t>
  </si>
  <si>
    <t>Koda Martin</t>
  </si>
  <si>
    <t>Christian Matthew</t>
  </si>
  <si>
    <t>Valdosta State</t>
  </si>
  <si>
    <t>Trey McBride</t>
  </si>
  <si>
    <t>Colt McCoy</t>
  </si>
  <si>
    <t>13</t>
  </si>
  <si>
    <t>Trace McSorley</t>
  </si>
  <si>
    <t>Joshua Miles</t>
  </si>
  <si>
    <t>Morgan State</t>
  </si>
  <si>
    <t>Rondale Moore</t>
  </si>
  <si>
    <t>Byron Murphy Jr.</t>
  </si>
  <si>
    <t>Justin Murray</t>
  </si>
  <si>
    <t>Kyler Murray</t>
  </si>
  <si>
    <t>Haggai Ndubuisi</t>
  </si>
  <si>
    <t>None</t>
  </si>
  <si>
    <t>Ben Niemann</t>
  </si>
  <si>
    <t>JaVonta Payton</t>
  </si>
  <si>
    <t>Chris Pierce Jr.</t>
  </si>
  <si>
    <t>T.J. Pledger</t>
  </si>
  <si>
    <t>Matt Prater</t>
  </si>
  <si>
    <t>16</t>
  </si>
  <si>
    <t>Justin Pugh</t>
  </si>
  <si>
    <t>Ronnie Rivers</t>
  </si>
  <si>
    <t>Myjai Sanders</t>
  </si>
  <si>
    <t>Bernhard Seikovits</t>
  </si>
  <si>
    <t>Austria</t>
  </si>
  <si>
    <t>Isaiah Simmons</t>
  </si>
  <si>
    <t>Jared Smart</t>
  </si>
  <si>
    <t>Hawaii</t>
  </si>
  <si>
    <t>Eric Smith</t>
  </si>
  <si>
    <t>Lecitus Smith</t>
  </si>
  <si>
    <t>Cameron Thomas</t>
  </si>
  <si>
    <t>Deionte Thompson</t>
  </si>
  <si>
    <t>Jalen Thompson</t>
  </si>
  <si>
    <t>Ezekiel Turner</t>
  </si>
  <si>
    <t>Tanner Vallejo</t>
  </si>
  <si>
    <t>Nick Vigil</t>
  </si>
  <si>
    <t>Utah State</t>
  </si>
  <si>
    <t>Joe Walker</t>
  </si>
  <si>
    <t>Jonathan Ward</t>
  </si>
  <si>
    <t>Central Michigan</t>
  </si>
  <si>
    <t>Charles Washington</t>
  </si>
  <si>
    <t>J.J. Watt</t>
  </si>
  <si>
    <t>David Wells</t>
  </si>
  <si>
    <t>Antoine Wesley</t>
  </si>
  <si>
    <t>Jace Whittaker</t>
  </si>
  <si>
    <t>James Wiggins</t>
  </si>
  <si>
    <t>Darrel Williams</t>
  </si>
  <si>
    <t>Maxx Williams</t>
  </si>
  <si>
    <t>Marco Wilson</t>
  </si>
  <si>
    <t>Chandler Wooten</t>
  </si>
  <si>
    <t>Deon Yelder</t>
  </si>
  <si>
    <t>BUF</t>
  </si>
  <si>
    <t>Josh Allen</t>
  </si>
  <si>
    <t>Wyoming</t>
  </si>
  <si>
    <t>Alec Anderson</t>
  </si>
  <si>
    <t>Eli Ankou</t>
  </si>
  <si>
    <t>Matt Araiza</t>
  </si>
  <si>
    <t>Tavon Austin</t>
  </si>
  <si>
    <t>Matt Barkley</t>
  </si>
  <si>
    <t>Boogie Basham</t>
  </si>
  <si>
    <t>Tyler Bass</t>
  </si>
  <si>
    <t>Ryan Bates</t>
  </si>
  <si>
    <t>Christian Benford</t>
  </si>
  <si>
    <t>Villanova</t>
  </si>
  <si>
    <t>Terrel Bernard</t>
  </si>
  <si>
    <t>Raheem Blackshear</t>
  </si>
  <si>
    <t>Ike Boettger</t>
  </si>
  <si>
    <t>C.J. Brewer</t>
  </si>
  <si>
    <t>Coastal Carolina</t>
  </si>
  <si>
    <t>Spencer Brown</t>
  </si>
  <si>
    <t>Northern Iowa</t>
  </si>
  <si>
    <t>Brandin Bryant</t>
  </si>
  <si>
    <t>Jacob Capra</t>
  </si>
  <si>
    <t>James Cook</t>
  </si>
  <si>
    <t>Jamison Crowder</t>
  </si>
  <si>
    <t>Gabriel Davis</t>
  </si>
  <si>
    <t>Dion Dawkins</t>
  </si>
  <si>
    <t>Stefon Diggs</t>
  </si>
  <si>
    <t>Maryland</t>
  </si>
  <si>
    <t>Tyrel Dodson</t>
  </si>
  <si>
    <t>Tommy Doyle</t>
  </si>
  <si>
    <t>Miami (Ohio)</t>
  </si>
  <si>
    <t>Tremaine Edmunds</t>
  </si>
  <si>
    <t>Kaiir Elam</t>
  </si>
  <si>
    <t>Prince Emili</t>
  </si>
  <si>
    <t>A.J. Epenesa</t>
  </si>
  <si>
    <t>Reid Ferguson</t>
  </si>
  <si>
    <t>Cody Ford</t>
  </si>
  <si>
    <t>Travon Fuller</t>
  </si>
  <si>
    <t>Tanner Gentry</t>
  </si>
  <si>
    <t>Joe Giles-Harris</t>
  </si>
  <si>
    <t>Reggie Gilliam</t>
  </si>
  <si>
    <t>Olaijah Griffin</t>
  </si>
  <si>
    <t>Matt Haack</t>
  </si>
  <si>
    <t>Damar Hamlin</t>
  </si>
  <si>
    <t>Tim Harris</t>
  </si>
  <si>
    <t>Bobby Hart</t>
  </si>
  <si>
    <t>Isaiah Hodgins</t>
  </si>
  <si>
    <t>O.J. Howard</t>
  </si>
  <si>
    <t>Micah Hyde</t>
  </si>
  <si>
    <t>Ja'Marcus Ingram</t>
  </si>
  <si>
    <t>Buffalo</t>
  </si>
  <si>
    <t>Dane Jackson</t>
  </si>
  <si>
    <t>Jaquan Johnson</t>
  </si>
  <si>
    <t>Duke Johnson</t>
  </si>
  <si>
    <t>Taron Johnson</t>
  </si>
  <si>
    <t>Weber State</t>
  </si>
  <si>
    <t>Kingsley Jonathan</t>
  </si>
  <si>
    <t>DaQuan Jones</t>
  </si>
  <si>
    <t>Taiwan Jones</t>
  </si>
  <si>
    <t>Case Keenum</t>
  </si>
  <si>
    <t>Derek Kerstetter</t>
  </si>
  <si>
    <t>Dawson Knox</t>
  </si>
  <si>
    <t>Mississippi</t>
  </si>
  <si>
    <t>Jake Kumerow</t>
  </si>
  <si>
    <t>Shaq Lawson</t>
  </si>
  <si>
    <t>Marquel Lee</t>
  </si>
  <si>
    <t>Cam Lewis</t>
  </si>
  <si>
    <t>Mike Love</t>
  </si>
  <si>
    <t>South Florida</t>
  </si>
  <si>
    <t>Greg Mancz</t>
  </si>
  <si>
    <t>Tyler Matakevich</t>
  </si>
  <si>
    <t>Nick McCloud</t>
  </si>
  <si>
    <t>Isaiah McKenzie</t>
  </si>
  <si>
    <t>Matt Milano</t>
  </si>
  <si>
    <t>Von Miller</t>
  </si>
  <si>
    <t>Quintin Morris</t>
  </si>
  <si>
    <t>Bowling Green</t>
  </si>
  <si>
    <t>Mitch Morse</t>
  </si>
  <si>
    <t>Zack Moss</t>
  </si>
  <si>
    <t>Siran Neal</t>
  </si>
  <si>
    <t>Jacksonville State</t>
  </si>
  <si>
    <t>Ed Oliver</t>
  </si>
  <si>
    <t>Tanner Owen</t>
  </si>
  <si>
    <t>Neil Pau'u</t>
  </si>
  <si>
    <t>Jordan Phillips</t>
  </si>
  <si>
    <t>Jordan Poyer</t>
  </si>
  <si>
    <t>David Quessenberry</t>
  </si>
  <si>
    <t>Greg Rousseau</t>
  </si>
  <si>
    <t>Rodger Saffold</t>
  </si>
  <si>
    <t>Tim Settle</t>
  </si>
  <si>
    <t>Khalil Shakir</t>
  </si>
  <si>
    <t>Devin Singletary</t>
  </si>
  <si>
    <t>Andre Smith</t>
  </si>
  <si>
    <t>Baylon Spector</t>
  </si>
  <si>
    <t>Marquez Stevenson</t>
  </si>
  <si>
    <t>Tommy Sweeney</t>
  </si>
  <si>
    <t>Luke Tenuta</t>
  </si>
  <si>
    <t>Josh Thomas</t>
  </si>
  <si>
    <t>Tre'Davious White</t>
  </si>
  <si>
    <t>Jalen Wydermyer</t>
  </si>
  <si>
    <t>LVE</t>
  </si>
  <si>
    <t>Ameer Abdullah</t>
  </si>
  <si>
    <t>Nebraska</t>
  </si>
  <si>
    <t>Johnathan Abram</t>
  </si>
  <si>
    <t>Mississippi State</t>
  </si>
  <si>
    <t>Davante Adams</t>
  </si>
  <si>
    <t>Anthony Averett</t>
  </si>
  <si>
    <t>Alex Bars</t>
  </si>
  <si>
    <t>Jackson Barton</t>
  </si>
  <si>
    <t>Andrew Billings</t>
  </si>
  <si>
    <t>Brandon Bolden</t>
  </si>
  <si>
    <t>Tashawn Bower</t>
  </si>
  <si>
    <t>Nick Bowers</t>
  </si>
  <si>
    <t>Brittain Brown</t>
  </si>
  <si>
    <t>Jayon Brown</t>
  </si>
  <si>
    <t>Darien Butler</t>
  </si>
  <si>
    <t>Matthew Butler</t>
  </si>
  <si>
    <t>Vernon Butler</t>
  </si>
  <si>
    <t>Louisiana Tech</t>
  </si>
  <si>
    <t>Daniel Carlson</t>
  </si>
  <si>
    <t>Derek Carr</t>
  </si>
  <si>
    <t>AJ Cole</t>
  </si>
  <si>
    <t>Keelan Cole</t>
  </si>
  <si>
    <t>Kentucky Wesleyan</t>
  </si>
  <si>
    <t>Qwynnterrio Cole</t>
  </si>
  <si>
    <t>Bryce Cosby</t>
  </si>
  <si>
    <t>Lester Cotton Sr.</t>
  </si>
  <si>
    <t>Maxx Crosby</t>
  </si>
  <si>
    <t>Eastern Michigan</t>
  </si>
  <si>
    <t>Divine Deablo</t>
  </si>
  <si>
    <t>Kenyan Drake</t>
  </si>
  <si>
    <t>Jermaine Eluemunor</t>
  </si>
  <si>
    <t>Kyler Fackrell</t>
  </si>
  <si>
    <t>Neil Farrell Jr.</t>
  </si>
  <si>
    <t>Clelin Ferrell</t>
  </si>
  <si>
    <t>Cole Fotheringham</t>
  </si>
  <si>
    <t>Chase Garbers</t>
  </si>
  <si>
    <t>Tyree Gillespie</t>
  </si>
  <si>
    <t>Denzelle Good</t>
  </si>
  <si>
    <t>Mars Hill</t>
  </si>
  <si>
    <t>Hroniss Grasu</t>
  </si>
  <si>
    <t>Gerri Green</t>
  </si>
  <si>
    <t>Justin Hall</t>
  </si>
  <si>
    <t>Johnathan Hankins</t>
  </si>
  <si>
    <t>Duron Harmon</t>
  </si>
  <si>
    <t>Nate Hobbs</t>
  </si>
  <si>
    <t>Mack Hollins</t>
  </si>
  <si>
    <t>Jacob Hollister</t>
  </si>
  <si>
    <t>Jesper Horsted</t>
  </si>
  <si>
    <t>Princeton</t>
  </si>
  <si>
    <t>Josh Jacobs</t>
  </si>
  <si>
    <t>Andre James</t>
  </si>
  <si>
    <t>Jakob Johnson</t>
  </si>
  <si>
    <t>Tyron Johnson</t>
  </si>
  <si>
    <t>Chandler Jones</t>
  </si>
  <si>
    <t>Chris Jones</t>
  </si>
  <si>
    <t>Micah Kiser</t>
  </si>
  <si>
    <t>Malcolm Koonce</t>
  </si>
  <si>
    <t>Tyler Lancaster</t>
  </si>
  <si>
    <t>Alex Leatherwood</t>
  </si>
  <si>
    <t>Cre'Von LeBlanc</t>
  </si>
  <si>
    <t>Luke Masterson</t>
  </si>
  <si>
    <t>Kolton Miller</t>
  </si>
  <si>
    <t>Treâ€™von Moehrig</t>
  </si>
  <si>
    <t>TCU</t>
  </si>
  <si>
    <t>Foster Moreau</t>
  </si>
  <si>
    <t>Trayvon Mullen Jr.</t>
  </si>
  <si>
    <t>Nick Mullens</t>
  </si>
  <si>
    <t>Thayer Munford Jr.</t>
  </si>
  <si>
    <t>Bilal Nichols</t>
  </si>
  <si>
    <t>Delaware</t>
  </si>
  <si>
    <t>Bamidele Olaseni</t>
  </si>
  <si>
    <t>Dylan Parham</t>
  </si>
  <si>
    <t>Memphis</t>
  </si>
  <si>
    <t>Brandon Parker</t>
  </si>
  <si>
    <t>North Carolina A&amp;T</t>
  </si>
  <si>
    <t>Kyle Peko</t>
  </si>
  <si>
    <t>Denzel Perryman</t>
  </si>
  <si>
    <t>Darius Phillips</t>
  </si>
  <si>
    <t>Isaiah Pola-Mao</t>
  </si>
  <si>
    <t>Hunter Renfrow</t>
  </si>
  <si>
    <t>Amik Robertson</t>
  </si>
  <si>
    <t>Demarcus Robinson</t>
  </si>
  <si>
    <t>Trent Sieg</t>
  </si>
  <si>
    <t>John Simpson</t>
  </si>
  <si>
    <t>Jarrett Stidham</t>
  </si>
  <si>
    <t>Dillon Stoner</t>
  </si>
  <si>
    <t>Myron Tagovailoa-Amosa</t>
  </si>
  <si>
    <t>Roderic Teamer</t>
  </si>
  <si>
    <t>Tulane</t>
  </si>
  <si>
    <t>DJ Turner</t>
  </si>
  <si>
    <t>Zach VanValkenburg</t>
  </si>
  <si>
    <t>Jordan Veasy</t>
  </si>
  <si>
    <t>Kendal Vickers</t>
  </si>
  <si>
    <t>Darren Waller</t>
  </si>
  <si>
    <t>Sam Webb</t>
  </si>
  <si>
    <t>Tyrone Wheatley Jr.</t>
  </si>
  <si>
    <t>Stony Brook</t>
  </si>
  <si>
    <t>Zamir White</t>
  </si>
  <si>
    <t>Rock Ya-Sin</t>
  </si>
  <si>
    <t>Kenny Young</t>
  </si>
  <si>
    <t>Sincere McCormick</t>
  </si>
  <si>
    <t>Army</t>
  </si>
  <si>
    <t>TENN</t>
  </si>
  <si>
    <t>Ola Adeniyi</t>
  </si>
  <si>
    <t>David Anenih</t>
  </si>
  <si>
    <t>Denico Autry</t>
  </si>
  <si>
    <t>Tre Avery</t>
  </si>
  <si>
    <t>Texas State</t>
  </si>
  <si>
    <t>Randy Bullock</t>
  </si>
  <si>
    <t>Treylon Burks</t>
  </si>
  <si>
    <t>Kevin Byard</t>
  </si>
  <si>
    <t>Chance Campbell</t>
  </si>
  <si>
    <t>Trenton Cannon</t>
  </si>
  <si>
    <t>Virginia State</t>
  </si>
  <si>
    <t>Shyheim Carter</t>
  </si>
  <si>
    <t>Tory Carter</t>
  </si>
  <si>
    <t>Julius Chestnut</t>
  </si>
  <si>
    <t>Sacred Heart University</t>
  </si>
  <si>
    <t>Rodney Clemons</t>
  </si>
  <si>
    <t>SMU</t>
  </si>
  <si>
    <t>Dylan Cole</t>
  </si>
  <si>
    <t>Missouri State</t>
  </si>
  <si>
    <t>Morgan Cox</t>
  </si>
  <si>
    <t>Zach Cunningham</t>
  </si>
  <si>
    <t>Nate Davis</t>
  </si>
  <si>
    <t>Charlotte</t>
  </si>
  <si>
    <t>Christian DiLauro</t>
  </si>
  <si>
    <t>Bud Dupree</t>
  </si>
  <si>
    <t>Kentucky</t>
  </si>
  <si>
    <t>Caleb Farley</t>
  </si>
  <si>
    <t>Dez Fitzpatrick</t>
  </si>
  <si>
    <t>Kristian Fulton</t>
  </si>
  <si>
    <t>Haskell Garrett</t>
  </si>
  <si>
    <t>Kenneth George Jr.</t>
  </si>
  <si>
    <t>Jack Gibbens</t>
  </si>
  <si>
    <t>Carson Green</t>
  </si>
  <si>
    <t>Juwan Green</t>
  </si>
  <si>
    <t>Albany</t>
  </si>
  <si>
    <t>Michael Griffin</t>
  </si>
  <si>
    <t>South Dakota State</t>
  </si>
  <si>
    <t>Da'Shawn Hand</t>
  </si>
  <si>
    <t>Hassan Haskins</t>
  </si>
  <si>
    <t>Derrick Henry</t>
  </si>
  <si>
    <t>Dontrell Hilliard</t>
  </si>
  <si>
    <t>Cody Hollister</t>
  </si>
  <si>
    <t>Amani Hooker</t>
  </si>
  <si>
    <t>Austin Hooper</t>
  </si>
  <si>
    <t>Hayden Howerton</t>
  </si>
  <si>
    <t>Tommy Hudson</t>
  </si>
  <si>
    <t>Chris Jackson</t>
  </si>
  <si>
    <t>Marshall</t>
  </si>
  <si>
    <t>Theo Jackson</t>
  </si>
  <si>
    <t>Ben Jones</t>
  </si>
  <si>
    <t>Jamarco Jones</t>
  </si>
  <si>
    <t>Joe Jones</t>
  </si>
  <si>
    <t>Naquan Jones</t>
  </si>
  <si>
    <t>Brett Kern</t>
  </si>
  <si>
    <t>15</t>
  </si>
  <si>
    <t>Mason Kinsey</t>
  </si>
  <si>
    <t>Berry College</t>
  </si>
  <si>
    <t>Harold Landry III</t>
  </si>
  <si>
    <t>Justin Lawler</t>
  </si>
  <si>
    <t>Corey Levin</t>
  </si>
  <si>
    <t>Tennessee-Chattanooga</t>
  </si>
  <si>
    <t>Taylor Lewan</t>
  </si>
  <si>
    <t>Brandon Lewis</t>
  </si>
  <si>
    <t>Air Force</t>
  </si>
  <si>
    <t>Greg Mabin</t>
  </si>
  <si>
    <t>Josh Malone</t>
  </si>
  <si>
    <t>Roger McCreary</t>
  </si>
  <si>
    <t>Jalen McKenzie</t>
  </si>
  <si>
    <t>Racey McMath</t>
  </si>
  <si>
    <t>Elijah Molden</t>
  </si>
  <si>
    <t>A.J. Moore</t>
  </si>
  <si>
    <t>Briley Moore</t>
  </si>
  <si>
    <t>Daniel Munyer</t>
  </si>
  <si>
    <t>Larrell Murchison</t>
  </si>
  <si>
    <t>Xavier Newman</t>
  </si>
  <si>
    <t>Thomas Odukoya</t>
  </si>
  <si>
    <t>Chigoziem Okonkwo</t>
  </si>
  <si>
    <t>Sam Okuayinonu</t>
  </si>
  <si>
    <t>Jayden Peevy</t>
  </si>
  <si>
    <t>Nicholas Petit-Frere</t>
  </si>
  <si>
    <t>Kyle Philips</t>
  </si>
  <si>
    <t>Dillon Radunz</t>
  </si>
  <si>
    <t>Monty Rice</t>
  </si>
  <si>
    <t>Reggie Roberson Jr.</t>
  </si>
  <si>
    <t>Jordan Roos</t>
  </si>
  <si>
    <t>Andrew Rupcich</t>
  </si>
  <si>
    <t>Culver-Stockton College</t>
  </si>
  <si>
    <t>Caleb Shudak</t>
  </si>
  <si>
    <t>Jeffery Simmons</t>
  </si>
  <si>
    <t>Buster Skrine</t>
  </si>
  <si>
    <t>Ryan Stonehouse</t>
  </si>
  <si>
    <t>Kevin Strong</t>
  </si>
  <si>
    <t>Geoff Swaim</t>
  </si>
  <si>
    <t>Tre Swilling</t>
  </si>
  <si>
    <t>Ryan Tannehill</t>
  </si>
  <si>
    <t>Teair Tart</t>
  </si>
  <si>
    <t>Florida International</t>
  </si>
  <si>
    <t>DeMarcus Walker</t>
  </si>
  <si>
    <t>Rashad Weaver</t>
  </si>
  <si>
    <t>Nick Westbrook-Ikhine</t>
  </si>
  <si>
    <t>Jordan Wilkins</t>
  </si>
  <si>
    <t>Chris Williamson</t>
  </si>
  <si>
    <t>Malik Willis</t>
  </si>
  <si>
    <t>Robert Woods</t>
  </si>
  <si>
    <t>Logan Woodside</t>
  </si>
  <si>
    <t>JAX</t>
  </si>
  <si>
    <t>Tyrell Adams</t>
  </si>
  <si>
    <t>West Georgia</t>
  </si>
  <si>
    <t>Jamal Agnew</t>
  </si>
  <si>
    <t>Israel Antwine</t>
  </si>
  <si>
    <t>Ryquell Armstead</t>
  </si>
  <si>
    <t>Dan Arnold</t>
  </si>
  <si>
    <t>Wisconsin-Platteville</t>
  </si>
  <si>
    <t>Kevin Austin Jr.</t>
  </si>
  <si>
    <t>Ben Bartch</t>
  </si>
  <si>
    <t>St. John's (Minn.)</t>
  </si>
  <si>
    <t>C.J. Beathard</t>
  </si>
  <si>
    <t>Rashod Berry</t>
  </si>
  <si>
    <t>Naz Bohannon</t>
  </si>
  <si>
    <t>Malcom Brown</t>
  </si>
  <si>
    <t>Montaric Brown</t>
  </si>
  <si>
    <t>Tyson Campbell</t>
  </si>
  <si>
    <t>K'Lavon Chaisson</t>
  </si>
  <si>
    <t>Andre Cisco</t>
  </si>
  <si>
    <t>Chris Claybrooks</t>
  </si>
  <si>
    <t>Snoop Conner</t>
  </si>
  <si>
    <t>Logan Cooke</t>
  </si>
  <si>
    <t>Jeff Cotton Jr.</t>
  </si>
  <si>
    <t>Idaho</t>
  </si>
  <si>
    <t>Nathan Cottrell</t>
  </si>
  <si>
    <t>Xavier Crawford</t>
  </si>
  <si>
    <t>Coy Cronk</t>
  </si>
  <si>
    <t>Shabari Davis</t>
  </si>
  <si>
    <t>De'Shaan Dixon</t>
  </si>
  <si>
    <t>Norfolk State</t>
  </si>
  <si>
    <t>Evan Engram</t>
  </si>
  <si>
    <t>Travis Etienne Jr.</t>
  </si>
  <si>
    <t>Luke Farrell</t>
  </si>
  <si>
    <t>Folorunso Fatukasi</t>
  </si>
  <si>
    <t>Connecticut</t>
  </si>
  <si>
    <t>Rudy Ford</t>
  </si>
  <si>
    <t>Nick Ford</t>
  </si>
  <si>
    <t>Luke Fortner</t>
  </si>
  <si>
    <t>Benjie Franklin</t>
  </si>
  <si>
    <t>Tarleton State</t>
  </si>
  <si>
    <t>Adam Gotsis</t>
  </si>
  <si>
    <t>Shaquill Griffin</t>
  </si>
  <si>
    <t>Grayson Gunter</t>
  </si>
  <si>
    <t>Marvin Hall</t>
  </si>
  <si>
    <t>DaVon Hamilton</t>
  </si>
  <si>
    <t>Tre Herndon</t>
  </si>
  <si>
    <t>Jared Hocker</t>
  </si>
  <si>
    <t>Rayshawn Jenkins</t>
  </si>
  <si>
    <t>Willie Johnson</t>
  </si>
  <si>
    <t>Zay Jones</t>
  </si>
  <si>
    <t>East Carolina</t>
  </si>
  <si>
    <t>Jamir Jones</t>
  </si>
  <si>
    <t>Marvin Jones Jr.</t>
  </si>
  <si>
    <t>Tim Jones</t>
  </si>
  <si>
    <t>Gregory Junior</t>
  </si>
  <si>
    <t>Ouachita Baptist University</t>
  </si>
  <si>
    <t>Arden Key</t>
  </si>
  <si>
    <t>Christian Kirk</t>
  </si>
  <si>
    <t>Trevor Lawrence</t>
  </si>
  <si>
    <t>Jeremiah Ledbetter</t>
  </si>
  <si>
    <t>Walker Little</t>
  </si>
  <si>
    <t>Devin Lloyd</t>
  </si>
  <si>
    <t>Jake Luton</t>
  </si>
  <si>
    <t>Chris Manhertz</t>
  </si>
  <si>
    <t>Canisius College</t>
  </si>
  <si>
    <t>Wes Martin</t>
  </si>
  <si>
    <t>Ross Matiscik</t>
  </si>
  <si>
    <t>Ryan McDaniel</t>
  </si>
  <si>
    <t>North Carolina Central</t>
  </si>
  <si>
    <t>KC McDermott</t>
  </si>
  <si>
    <t>Andrew Mevis</t>
  </si>
  <si>
    <t>Grant Morgan</t>
  </si>
  <si>
    <t>Chad Muma</t>
  </si>
  <si>
    <t>Foyesade Oluokun</t>
  </si>
  <si>
    <t>Yale</t>
  </si>
  <si>
    <t>Ayo Oyelola</t>
  </si>
  <si>
    <t>Nottingham</t>
  </si>
  <si>
    <t>E.J. Perry</t>
  </si>
  <si>
    <t>Brown</t>
  </si>
  <si>
    <t>Gerrit Prince</t>
  </si>
  <si>
    <t>Shaquille Quarterman</t>
  </si>
  <si>
    <t>Wyatt Ray</t>
  </si>
  <si>
    <t>Will Richardson Jr.</t>
  </si>
  <si>
    <t>Roy Robertson-Harris</t>
  </si>
  <si>
    <t>Cam Robinson</t>
  </si>
  <si>
    <t>James Robinson</t>
  </si>
  <si>
    <t>Illinois State</t>
  </si>
  <si>
    <t>Brandon Rusnak</t>
  </si>
  <si>
    <t>Chapelle Russell</t>
  </si>
  <si>
    <t>Ryan Santoso</t>
  </si>
  <si>
    <t>Mekhi Sargent</t>
  </si>
  <si>
    <t>Brandon Scherff</t>
  </si>
  <si>
    <t>Tyler Shatley</t>
  </si>
  <si>
    <t>Laviska Shenault Jr.</t>
  </si>
  <si>
    <t>Dawuane Smoot</t>
  </si>
  <si>
    <t>Jawaan Taylor</t>
  </si>
  <si>
    <t>Daniel Thomas</t>
  </si>
  <si>
    <t>Josh Thompson</t>
  </si>
  <si>
    <t>Badara Traore</t>
  </si>
  <si>
    <t>Laquon Treadwell</t>
  </si>
  <si>
    <t>Jay Tufele</t>
  </si>
  <si>
    <t>Travon Walker</t>
  </si>
  <si>
    <t>Darious Williams</t>
  </si>
  <si>
    <t>Raequan Williams</t>
  </si>
  <si>
    <t>Andrew Wingard</t>
  </si>
  <si>
    <t>Lujuan Winningham</t>
  </si>
  <si>
    <t>Jordan Smith</t>
  </si>
  <si>
    <t>HOU</t>
  </si>
  <si>
    <t>Mario Addison</t>
  </si>
  <si>
    <t>Troy</t>
  </si>
  <si>
    <t>Kyle Allen</t>
  </si>
  <si>
    <t>Darius Anderson</t>
  </si>
  <si>
    <t>Grayland Arnold</t>
  </si>
  <si>
    <t>Antony Auclair</t>
  </si>
  <si>
    <t>Laval</t>
  </si>
  <si>
    <t>Chad Beebe</t>
  </si>
  <si>
    <t>Ross Blacklock</t>
  </si>
  <si>
    <t>Thomas Booker IV</t>
  </si>
  <si>
    <t>Justin Britt</t>
  </si>
  <si>
    <t>Terrence Brooks</t>
  </si>
  <si>
    <t>Pharaoh Brown</t>
  </si>
  <si>
    <t>Rex Burkhead</t>
  </si>
  <si>
    <t>Jalen Camp</t>
  </si>
  <si>
    <t>A.J. Cann</t>
  </si>
  <si>
    <t>Blake Cashman</t>
  </si>
  <si>
    <t>Maliek Collins</t>
  </si>
  <si>
    <t>Nico Collins</t>
  </si>
  <si>
    <t>Chris Conley</t>
  </si>
  <si>
    <t>Brandin Cooks</t>
  </si>
  <si>
    <t>Myron Cunningham</t>
  </si>
  <si>
    <t>Damion Daniels</t>
  </si>
  <si>
    <t>Davion Davis</t>
  </si>
  <si>
    <t>Sam Houston State</t>
  </si>
  <si>
    <t>Tae Davis</t>
  </si>
  <si>
    <t>Austin Deculus</t>
  </si>
  <si>
    <t>Phillip Dorsett</t>
  </si>
  <si>
    <t>Jeff Driskel</t>
  </si>
  <si>
    <t>Michael Dwumfour</t>
  </si>
  <si>
    <t>Drew Estrada</t>
  </si>
  <si>
    <t>Ka'imi Fairbairn</t>
  </si>
  <si>
    <t>Jacobi Francis</t>
  </si>
  <si>
    <t>Royce Freeman</t>
  </si>
  <si>
    <t>Kenyon Green</t>
  </si>
  <si>
    <t>Rasheem Green</t>
  </si>
  <si>
    <t>Seth Green</t>
  </si>
  <si>
    <t>Jonathan Greenard</t>
  </si>
  <si>
    <t>Kamu Grugier-Hill</t>
  </si>
  <si>
    <t>Troy Hairston</t>
  </si>
  <si>
    <t>Jake Hansen</t>
  </si>
  <si>
    <t>Christian Harris</t>
  </si>
  <si>
    <t>Demone Harris</t>
  </si>
  <si>
    <t>Charlie Heck</t>
  </si>
  <si>
    <t>Neville Hewitt</t>
  </si>
  <si>
    <t>Kurt Hinish</t>
  </si>
  <si>
    <t>Kevin Hogan</t>
  </si>
  <si>
    <t>Tytus Howard</t>
  </si>
  <si>
    <t>Alabama State</t>
  </si>
  <si>
    <t>Jerry Hughes</t>
  </si>
  <si>
    <t>Andy Janovich</t>
  </si>
  <si>
    <t>Jordan Jenkins</t>
  </si>
  <si>
    <t>Johnny Johnson III</t>
  </si>
  <si>
    <t>Cameron Johnston</t>
  </si>
  <si>
    <t>Brevin Jordan</t>
  </si>
  <si>
    <t>Desmond King II</t>
  </si>
  <si>
    <t>Christian Kirksey</t>
  </si>
  <si>
    <t>Roy Lopez</t>
  </si>
  <si>
    <t>Marlon Mack</t>
  </si>
  <si>
    <t>Tristin McCollum</t>
  </si>
  <si>
    <t>Justin McCray</t>
  </si>
  <si>
    <t>John Metchie III</t>
  </si>
  <si>
    <t>Davis Mills</t>
  </si>
  <si>
    <t>Chris Moore</t>
  </si>
  <si>
    <t>Fabian Moreau</t>
  </si>
  <si>
    <t>Jimmy Morrissey</t>
  </si>
  <si>
    <t>Eric Murray</t>
  </si>
  <si>
    <t>Steven Nelson</t>
  </si>
  <si>
    <t>Adedayo Odeleye</t>
  </si>
  <si>
    <t/>
  </si>
  <si>
    <t>Cedric Ogbuehi</t>
  </si>
  <si>
    <t>Dare Ogunbowale</t>
  </si>
  <si>
    <t>Ogbonnia Okoronkwo</t>
  </si>
  <si>
    <t>Jonathan Owens</t>
  </si>
  <si>
    <t>Missouri Western State</t>
  </si>
  <si>
    <t>Dameon Pierce</t>
  </si>
  <si>
    <t>Kevin Pierre-Louis</t>
  </si>
  <si>
    <t>Jalen Pitre</t>
  </si>
  <si>
    <t>Paul Quessenberry</t>
  </si>
  <si>
    <t>Navy</t>
  </si>
  <si>
    <t>Scott Quessenberry</t>
  </si>
  <si>
    <t>Teagan Quitoriano</t>
  </si>
  <si>
    <t>Jalen Reeves-Maybin</t>
  </si>
  <si>
    <t>Derek Rivers</t>
  </si>
  <si>
    <t>Youngstown State</t>
  </si>
  <si>
    <t>Max Scharping</t>
  </si>
  <si>
    <t>Mason Schreck</t>
  </si>
  <si>
    <t>Kendall Sheffield</t>
  </si>
  <si>
    <t>Tremon Smith</t>
  </si>
  <si>
    <t>Jordan Steckler</t>
  </si>
  <si>
    <t>M.J. Stewart</t>
  </si>
  <si>
    <t>Derek Stingley Jr.</t>
  </si>
  <si>
    <t>Tavierre Thomas</t>
  </si>
  <si>
    <t>Laremy Tunsil</t>
  </si>
  <si>
    <t>Tre'Vour Wallace-Simms</t>
  </si>
  <si>
    <t>Garret Wallow</t>
  </si>
  <si>
    <t>Connor Wedington</t>
  </si>
  <si>
    <t>Jon Weeks</t>
  </si>
  <si>
    <t>Isaac Yiadom</t>
  </si>
  <si>
    <t>PIT</t>
  </si>
  <si>
    <t>Montravius Adams</t>
  </si>
  <si>
    <t>Marcus Allen</t>
  </si>
  <si>
    <t>Tyson Alualu</t>
  </si>
  <si>
    <t>Daniel Archibong</t>
  </si>
  <si>
    <t>Calvin Austin III</t>
  </si>
  <si>
    <t>Genard Avery</t>
  </si>
  <si>
    <t>Chris Boswell</t>
  </si>
  <si>
    <t>Rice</t>
  </si>
  <si>
    <t>Miles Boykin</t>
  </si>
  <si>
    <t>Devin Bush</t>
  </si>
  <si>
    <t>Chase Claypool</t>
  </si>
  <si>
    <t>Mason Cole</t>
  </si>
  <si>
    <t>James Daniels</t>
  </si>
  <si>
    <t>Carlos Davis</t>
  </si>
  <si>
    <t>Khalil Davis</t>
  </si>
  <si>
    <t>Jake Dixon</t>
  </si>
  <si>
    <t>Duquesne</t>
  </si>
  <si>
    <t>Kevin Dotson</t>
  </si>
  <si>
    <t>Mataeo Durant</t>
  </si>
  <si>
    <t>Terrell Edmunds</t>
  </si>
  <si>
    <t>Trey Edmunds</t>
  </si>
  <si>
    <t>Minkah Fitzpatrick</t>
  </si>
  <si>
    <t>Pat Freiermuth</t>
  </si>
  <si>
    <t>Zach Gentry</t>
  </si>
  <si>
    <t>Ulysees Gilbert III</t>
  </si>
  <si>
    <t>Akron</t>
  </si>
  <si>
    <t>Nate Gilliam</t>
  </si>
  <si>
    <t>Chaz Green</t>
  </si>
  <si>
    <t>Kendrick Green</t>
  </si>
  <si>
    <t>Joe Haeg</t>
  </si>
  <si>
    <t>Najee Harris</t>
  </si>
  <si>
    <t>Pressley Harvin III</t>
  </si>
  <si>
    <t>J.C. Hassenauer</t>
  </si>
  <si>
    <t>Cameron Heyward</t>
  </si>
  <si>
    <t>Connor Heyward</t>
  </si>
  <si>
    <t>Alex Highsmith</t>
  </si>
  <si>
    <t>Myles Jack</t>
  </si>
  <si>
    <t>Donovan Jeter</t>
  </si>
  <si>
    <t>Buddy Johnson</t>
  </si>
  <si>
    <t>Diontae Johnson</t>
  </si>
  <si>
    <t>Tyree Johnson</t>
  </si>
  <si>
    <t>Karl Joseph</t>
  </si>
  <si>
    <t>Damontae Kazee</t>
  </si>
  <si>
    <t>Miles Killebrew</t>
  </si>
  <si>
    <t>Southern Utah State</t>
  </si>
  <si>
    <t>Christian Kuntz</t>
  </si>
  <si>
    <t>Justin Layne</t>
  </si>
  <si>
    <t>DeMarvin Leal</t>
  </si>
  <si>
    <t>John Leglue</t>
  </si>
  <si>
    <t>Isaiahh Loudermilk</t>
  </si>
  <si>
    <t>Arthur Maulet</t>
  </si>
  <si>
    <t>Anthony McFarland Jr.</t>
  </si>
  <si>
    <t>Anthony Miller</t>
  </si>
  <si>
    <t>Henry Mondeaux</t>
  </si>
  <si>
    <t>Dan Moore Jr.</t>
  </si>
  <si>
    <t>T.D. Moultry</t>
  </si>
  <si>
    <t>Cameron Nizialek</t>
  </si>
  <si>
    <t>Tre Norwood</t>
  </si>
  <si>
    <t>Larry Ogunjobi</t>
  </si>
  <si>
    <t>Chukwuma Okorafor</t>
  </si>
  <si>
    <t>Chris Oladokun</t>
  </si>
  <si>
    <t>Gunner Olszewski</t>
  </si>
  <si>
    <t>Bemidji State</t>
  </si>
  <si>
    <t>Chris Owens</t>
  </si>
  <si>
    <t>George Pickens</t>
  </si>
  <si>
    <t>Kenny Pickett</t>
  </si>
  <si>
    <t>James Pierre</t>
  </si>
  <si>
    <t>Carlins Platel</t>
  </si>
  <si>
    <t>Kevin Rader</t>
  </si>
  <si>
    <t>Mark Robinson</t>
  </si>
  <si>
    <t>Mason Rudolph</t>
  </si>
  <si>
    <t>Nick Sciba</t>
  </si>
  <si>
    <t>Delontae Scott</t>
  </si>
  <si>
    <t>Trent Scott</t>
  </si>
  <si>
    <t>Grambling State</t>
  </si>
  <si>
    <t>Steven Sims</t>
  </si>
  <si>
    <t>Kansas</t>
  </si>
  <si>
    <t>Tuzar Skipper</t>
  </si>
  <si>
    <t>Tyler Snead</t>
  </si>
  <si>
    <t>Benny Snell Jr.</t>
  </si>
  <si>
    <t>Robert Spillane</t>
  </si>
  <si>
    <t>Chris Steele</t>
  </si>
  <si>
    <t>Linden Stephens</t>
  </si>
  <si>
    <t>Jace Sternberger</t>
  </si>
  <si>
    <t>Donovan Stiner</t>
  </si>
  <si>
    <t>Cameron Sutton</t>
  </si>
  <si>
    <t>Mitch Trubisky</t>
  </si>
  <si>
    <t>Jordan Tucker</t>
  </si>
  <si>
    <t>Derrek Tuszka</t>
  </si>
  <si>
    <t>Tyler Vaughns</t>
  </si>
  <si>
    <t>Levi Wallace</t>
  </si>
  <si>
    <t>Jaylen Warren</t>
  </si>
  <si>
    <t>Derek Watt</t>
  </si>
  <si>
    <t>T.J. Watt</t>
  </si>
  <si>
    <t>Cody White</t>
  </si>
  <si>
    <t>Ahkello Witherspoon</t>
  </si>
  <si>
    <t>Chris Wormley</t>
  </si>
  <si>
    <t>CLE</t>
  </si>
  <si>
    <t>Dakota Allen</t>
  </si>
  <si>
    <t>D'Anthony Bell</t>
  </si>
  <si>
    <t>West Florida</t>
  </si>
  <si>
    <t>David Bell</t>
  </si>
  <si>
    <t>Joel Bitonio</t>
  </si>
  <si>
    <t>Nevada</t>
  </si>
  <si>
    <t>Corey Bojorquez</t>
  </si>
  <si>
    <t>New Mexico</t>
  </si>
  <si>
    <t>Ja'Marcus Bradley</t>
  </si>
  <si>
    <t>Jacoby Brissett</t>
  </si>
  <si>
    <t>Taven Bryan</t>
  </si>
  <si>
    <t>Harrison Bryant</t>
  </si>
  <si>
    <t>Joseph Charlton</t>
  </si>
  <si>
    <t>Nick Chubb</t>
  </si>
  <si>
    <t>Jadeveon Clowney</t>
  </si>
  <si>
    <t>Jack Conklin</t>
  </si>
  <si>
    <t>Amari Cooper</t>
  </si>
  <si>
    <t>Sheldon Day</t>
  </si>
  <si>
    <t>Dawson Deaton</t>
  </si>
  <si>
    <t>Grant Delpit</t>
  </si>
  <si>
    <t>Joshua Dobbs</t>
  </si>
  <si>
    <t>Michael Dunn</t>
  </si>
  <si>
    <t>Jordan Elliott</t>
  </si>
  <si>
    <t>Martin Emerson Jr.</t>
  </si>
  <si>
    <t>Demetric Felton Jr.</t>
  </si>
  <si>
    <t>Tony Fields II</t>
  </si>
  <si>
    <t>Drew Forbes</t>
  </si>
  <si>
    <t>Jerome Ford</t>
  </si>
  <si>
    <t>Miller Forristall</t>
  </si>
  <si>
    <t>Hjalte Froholdt</t>
  </si>
  <si>
    <t>Myles Garrett</t>
  </si>
  <si>
    <t>Jakeem Grant Sr.</t>
  </si>
  <si>
    <t>Nakia Griffin-Stewart</t>
  </si>
  <si>
    <t>Blake Hance</t>
  </si>
  <si>
    <t>Mike Harley Jr.</t>
  </si>
  <si>
    <t>Nick Harris</t>
  </si>
  <si>
    <t>Travell Harris</t>
  </si>
  <si>
    <t>Ronnie Harrison Jr.</t>
  </si>
  <si>
    <t>Willie Harvey Jr.</t>
  </si>
  <si>
    <t>Brock Hoffman</t>
  </si>
  <si>
    <t>Chris Hubbard</t>
  </si>
  <si>
    <t>James Hudson III</t>
  </si>
  <si>
    <t>Charley Hughlett</t>
  </si>
  <si>
    <t>Kareem Hunt</t>
  </si>
  <si>
    <t>D'Ernest Johnson</t>
  </si>
  <si>
    <t>John Johnson III</t>
  </si>
  <si>
    <t>Shaun Jolly</t>
  </si>
  <si>
    <t>John Kelly Jr.</t>
  </si>
  <si>
    <t>Silas Kelly</t>
  </si>
  <si>
    <t>Luther Kirk IV</t>
  </si>
  <si>
    <t>Richard LeCounte III</t>
  </si>
  <si>
    <t>Glen Logan</t>
  </si>
  <si>
    <t>Nate Meadors</t>
  </si>
  <si>
    <t>Herb Miller</t>
  </si>
  <si>
    <t>Zaire Mitchell-Paden</t>
  </si>
  <si>
    <t>David Moore</t>
  </si>
  <si>
    <t>Parnell Motley</t>
  </si>
  <si>
    <t>Greg Newsome II</t>
  </si>
  <si>
    <t>David Njoku</t>
  </si>
  <si>
    <t>Elijah Nkansah</t>
  </si>
  <si>
    <t>Jeremiah Owusu-Koramoah</t>
  </si>
  <si>
    <t>Donovan Peoples-Jones</t>
  </si>
  <si>
    <t>Roderick Perry II</t>
  </si>
  <si>
    <t>Ben Petrula</t>
  </si>
  <si>
    <t>Jacob Phillips</t>
  </si>
  <si>
    <t>Ethan Pocic</t>
  </si>
  <si>
    <t>Reggie Robinson II</t>
  </si>
  <si>
    <t>Isaac Rochell</t>
  </si>
  <si>
    <t>Marcus Santos-Silva</t>
  </si>
  <si>
    <t>Anthony Schwartz</t>
  </si>
  <si>
    <t>Johnny Stanton IV</t>
  </si>
  <si>
    <t>UNLV</t>
  </si>
  <si>
    <t>Sione Takitaki</t>
  </si>
  <si>
    <t>Alex Taylor</t>
  </si>
  <si>
    <t>Wyatt Teller</t>
  </si>
  <si>
    <t>Isaiah Thomas</t>
  </si>
  <si>
    <t>Tommy Togiai</t>
  </si>
  <si>
    <t>Anthony Walker Jr.</t>
  </si>
  <si>
    <t>Denzel Ward</t>
  </si>
  <si>
    <t>Deshaun Watson</t>
  </si>
  <si>
    <t>Stephen Weatherly</t>
  </si>
  <si>
    <t>Curtis Weaver</t>
  </si>
  <si>
    <t>Isaiah Weston</t>
  </si>
  <si>
    <t>Greedy Williams</t>
  </si>
  <si>
    <t>Jedrick Wills Jr.</t>
  </si>
  <si>
    <t>Javon Wims</t>
  </si>
  <si>
    <t>Chase Winovich</t>
  </si>
  <si>
    <t>Michael Woods II</t>
  </si>
  <si>
    <t>Alex Wright</t>
  </si>
  <si>
    <t>Cade York</t>
  </si>
  <si>
    <t>Perrion Winfrey</t>
  </si>
  <si>
    <t>NWE</t>
  </si>
  <si>
    <t>Nelson Agholor</t>
  </si>
  <si>
    <t>Henry Anderson</t>
  </si>
  <si>
    <t>David Andrews</t>
  </si>
  <si>
    <t>Devin Asiasi</t>
  </si>
  <si>
    <t>Jake Bailey</t>
  </si>
  <si>
    <t>Christian Barmore</t>
  </si>
  <si>
    <t>Ja'Whaun Bentley</t>
  </si>
  <si>
    <t>Justin Bethel</t>
  </si>
  <si>
    <t>Presbyterian</t>
  </si>
  <si>
    <t>Joshuah Bledsoe</t>
  </si>
  <si>
    <t>Kendrick Bourne</t>
  </si>
  <si>
    <t>Trent Brown</t>
  </si>
  <si>
    <t>Myles Bryant</t>
  </si>
  <si>
    <t>Malcolm Butler</t>
  </si>
  <si>
    <t>West Alabama</t>
  </si>
  <si>
    <t>Yodny Cajuste</t>
  </si>
  <si>
    <t>Joe Cardona</t>
  </si>
  <si>
    <t>Byron Cowart</t>
  </si>
  <si>
    <t>Carl Davis Jr.</t>
  </si>
  <si>
    <t>Cody Davis</t>
  </si>
  <si>
    <t>Drew Desjarlais</t>
  </si>
  <si>
    <t>University of Windsor</t>
  </si>
  <si>
    <t>Kyle Dugger</t>
  </si>
  <si>
    <t>Lenoir-Rhyne</t>
  </si>
  <si>
    <t>Yasir Durant</t>
  </si>
  <si>
    <t>Daniel Ekuale</t>
  </si>
  <si>
    <t>James Ferentz</t>
  </si>
  <si>
    <t>Nick Folk</t>
  </si>
  <si>
    <t>Davon Godchaux</t>
  </si>
  <si>
    <t>Lawrence Guy</t>
  </si>
  <si>
    <t>Arlington Hambright</t>
  </si>
  <si>
    <t>Damien Harris</t>
  </si>
  <si>
    <t>Kevin Harris</t>
  </si>
  <si>
    <t>N'Keal Harry</t>
  </si>
  <si>
    <t>Hunter Henry</t>
  </si>
  <si>
    <t>Justin Herron</t>
  </si>
  <si>
    <t>Chasen Hines</t>
  </si>
  <si>
    <t>Brian Hoyer</t>
  </si>
  <si>
    <t>14</t>
  </si>
  <si>
    <t>Lil'Jordan Humphrey</t>
  </si>
  <si>
    <t>Anfernee Jennings</t>
  </si>
  <si>
    <t>Jack Jones</t>
  </si>
  <si>
    <t>Jonathan Jones</t>
  </si>
  <si>
    <t>Marcus Jones</t>
  </si>
  <si>
    <t>Mac Jones</t>
  </si>
  <si>
    <t>Matthew Judon</t>
  </si>
  <si>
    <t>Grand Valley</t>
  </si>
  <si>
    <t>Jake Julien</t>
  </si>
  <si>
    <t>Dalton Keene</t>
  </si>
  <si>
    <t>Harvey Langi</t>
  </si>
  <si>
    <t>Devin McCourty</t>
  </si>
  <si>
    <t>Cameron McGrone</t>
  </si>
  <si>
    <t>Raekwon McMillan</t>
  </si>
  <si>
    <t>Jakobi Meyers</t>
  </si>
  <si>
    <t>Jalen Mills</t>
  </si>
  <si>
    <t>DaMarcus Mitchell</t>
  </si>
  <si>
    <t>Terrance Mitchell</t>
  </si>
  <si>
    <t>Ty Montgomery</t>
  </si>
  <si>
    <t>Bill Murray</t>
  </si>
  <si>
    <t>William &amp; Mary</t>
  </si>
  <si>
    <t>Tre Nixon</t>
  </si>
  <si>
    <t>Mike Onwenu</t>
  </si>
  <si>
    <t>DeVante Parker</t>
  </si>
  <si>
    <t>Jabrill Peppers</t>
  </si>
  <si>
    <t>Ronnie Perkins</t>
  </si>
  <si>
    <t>Malcolm Perry</t>
  </si>
  <si>
    <t>Adrian Phillips</t>
  </si>
  <si>
    <t>LaBryan Ray</t>
  </si>
  <si>
    <t>Sam Roberts</t>
  </si>
  <si>
    <t>Kody Russey</t>
  </si>
  <si>
    <t>Brenden Schooler</t>
  </si>
  <si>
    <t>Will Sherman</t>
  </si>
  <si>
    <t>Matthew Slater</t>
  </si>
  <si>
    <t>Jonnu Smith</t>
  </si>
  <si>
    <t>Matt Sokol</t>
  </si>
  <si>
    <t>Rhamondre Stevenson</t>
  </si>
  <si>
    <t>Cole Strange</t>
  </si>
  <si>
    <t>Pierre Strong Jr.</t>
  </si>
  <si>
    <t>Andrew Stueber</t>
  </si>
  <si>
    <t>Jahlani Tavai</t>
  </si>
  <si>
    <t>MLB</t>
  </si>
  <si>
    <t>J.J. Taylor</t>
  </si>
  <si>
    <t>5-6</t>
  </si>
  <si>
    <t>Tyquan Thornton</t>
  </si>
  <si>
    <t>Josh Uche</t>
  </si>
  <si>
    <t>Tristan Vizcaino</t>
  </si>
  <si>
    <t>Shaun Wade</t>
  </si>
  <si>
    <t>James White</t>
  </si>
  <si>
    <t>Kristian Wilkerson</t>
  </si>
  <si>
    <t>Darryl Williams</t>
  </si>
  <si>
    <t>Joejuan Williams</t>
  </si>
  <si>
    <t>Mack Wilson</t>
  </si>
  <si>
    <t>Deatrich Wise Jr.</t>
  </si>
  <si>
    <t>Isaiah Wynn</t>
  </si>
  <si>
    <t>Bailey Zappe</t>
  </si>
  <si>
    <t>Jamie Collins Sr.</t>
  </si>
  <si>
    <t>Dont'a Hightower</t>
  </si>
  <si>
    <t>NYJ</t>
  </si>
  <si>
    <t>Keshunn Abram</t>
  </si>
  <si>
    <t>Kent State</t>
  </si>
  <si>
    <t>Tony Adams</t>
  </si>
  <si>
    <t>Bradlee Anae</t>
  </si>
  <si>
    <t>Nick Bawden</t>
  </si>
  <si>
    <t>Mekhi Becton</t>
  </si>
  <si>
    <t>Braxton Berrios</t>
  </si>
  <si>
    <t>Tarik Black</t>
  </si>
  <si>
    <t>Lawrence Cager</t>
  </si>
  <si>
    <t>Michael Carter</t>
  </si>
  <si>
    <t>Michael Carter II</t>
  </si>
  <si>
    <t>Irvin Charles</t>
  </si>
  <si>
    <t>Indiana (Pa.)</t>
  </si>
  <si>
    <t>Micheal Clemons</t>
  </si>
  <si>
    <t>Tevin Coleman</t>
  </si>
  <si>
    <t>Tyler Conklin</t>
  </si>
  <si>
    <t>Vinny Curry</t>
  </si>
  <si>
    <t>Ashtyn Davis</t>
  </si>
  <si>
    <t>Corey Davis</t>
  </si>
  <si>
    <t>Isaiah Dunn</t>
  </si>
  <si>
    <t>Brandin Echols</t>
  </si>
  <si>
    <t>Chuma Edoga</t>
  </si>
  <si>
    <t>George Fant</t>
  </si>
  <si>
    <t>Dan Feeney</t>
  </si>
  <si>
    <t>Parker Ferguson</t>
  </si>
  <si>
    <t>Joe Flacco</t>
  </si>
  <si>
    <t>John Franklin-Myers</t>
  </si>
  <si>
    <t>Sauce Gardner</t>
  </si>
  <si>
    <t>Javelin Guidry</t>
  </si>
  <si>
    <t>Bryce Hall</t>
  </si>
  <si>
    <t>Justin Hardee</t>
  </si>
  <si>
    <t>Marcell Harris</t>
  </si>
  <si>
    <t>Thomas Hennessy</t>
  </si>
  <si>
    <t>Nate Herbig</t>
  </si>
  <si>
    <t>Grant Hermanns</t>
  </si>
  <si>
    <t>Bryce Huff</t>
  </si>
  <si>
    <t>Calvin Jackson</t>
  </si>
  <si>
    <t>Jermaine Johnson</t>
  </si>
  <si>
    <t>Ty Johnson</t>
  </si>
  <si>
    <t>Lamarcus Joyner</t>
  </si>
  <si>
    <t>Derrick Kelly</t>
  </si>
  <si>
    <t>Zonovan Knight</t>
  </si>
  <si>
    <t>Carl Lawson</t>
  </si>
  <si>
    <t>Braden Mann</t>
  </si>
  <si>
    <t>Jonathan Marshall</t>
  </si>
  <si>
    <t>Jacob Martin</t>
  </si>
  <si>
    <t>Conor McDermott</t>
  </si>
  <si>
    <t>Connor McGovern</t>
  </si>
  <si>
    <t>Denzel Mims</t>
  </si>
  <si>
    <t>Max Mitchell</t>
  </si>
  <si>
    <t>Jovante Moffatt</t>
  </si>
  <si>
    <t>D.J. Montgomery</t>
  </si>
  <si>
    <t>Austin Peay</t>
  </si>
  <si>
    <t>Elijah Moore</t>
  </si>
  <si>
    <t>C.J. Mosley</t>
  </si>
  <si>
    <t>Kai Nacua</t>
  </si>
  <si>
    <t>Hamsah Nasirildeen</t>
  </si>
  <si>
    <t>Will Parks</t>
  </si>
  <si>
    <t>La'Mical Perine</t>
  </si>
  <si>
    <t>Del'Shawn Phillips</t>
  </si>
  <si>
    <t>Ross Pierschbacher</t>
  </si>
  <si>
    <t>Eddy Pineiro</t>
  </si>
  <si>
    <t>Jason Pinnock</t>
  </si>
  <si>
    <t>Sheldon Rankins</t>
  </si>
  <si>
    <t>Hamilcar Rashed Jr.</t>
  </si>
  <si>
    <t>D.J. Reed</t>
  </si>
  <si>
    <t>Elijah Riley</t>
  </si>
  <si>
    <t>Jeremy Ruckert</t>
  </si>
  <si>
    <t>Dru Samia</t>
  </si>
  <si>
    <t>Greg Senat</t>
  </si>
  <si>
    <t>Wagner</t>
  </si>
  <si>
    <t>Nathan Shepherd</t>
  </si>
  <si>
    <t>Fort Hays State</t>
  </si>
  <si>
    <t>Jamien Sherwood</t>
  </si>
  <si>
    <t>Tanzel Smart</t>
  </si>
  <si>
    <t>Jeff Smith</t>
  </si>
  <si>
    <t>DQ Thomas</t>
  </si>
  <si>
    <t>Solomon Thomas</t>
  </si>
  <si>
    <t>Laken Tomlinson</t>
  </si>
  <si>
    <t>C.J. Uzomah</t>
  </si>
  <si>
    <t>Alijah Vera-Tucker</t>
  </si>
  <si>
    <t>Tim Ward</t>
  </si>
  <si>
    <t>Old Dominion</t>
  </si>
  <si>
    <t>Trevon Wesco</t>
  </si>
  <si>
    <t>Javin White</t>
  </si>
  <si>
    <t>Mike White</t>
  </si>
  <si>
    <t>Jordan Whitehead</t>
  </si>
  <si>
    <t>Rachad Wildgoose</t>
  </si>
  <si>
    <t>Quincy Williams</t>
  </si>
  <si>
    <t>Murray State</t>
  </si>
  <si>
    <t>Quinnen Williams</t>
  </si>
  <si>
    <t>Garrett Wilson</t>
  </si>
  <si>
    <t>Zach Wilson</t>
  </si>
  <si>
    <t>Kenny Yeboah</t>
  </si>
  <si>
    <t>Greg Zuerlein</t>
  </si>
  <si>
    <t>Jabari Zuniga</t>
  </si>
  <si>
    <t>Breece Hall</t>
  </si>
  <si>
    <t>MIA</t>
  </si>
  <si>
    <t>Salvon Ahmed</t>
  </si>
  <si>
    <t>Blaise Andries</t>
  </si>
  <si>
    <t>Terron Armstead</t>
  </si>
  <si>
    <t>Jerome Baker</t>
  </si>
  <si>
    <t>Cole Banwart</t>
  </si>
  <si>
    <t>Lynn Bowden Jr.</t>
  </si>
  <si>
    <t>Teddy Bridgewater</t>
  </si>
  <si>
    <t>Adam Butler</t>
  </si>
  <si>
    <t>Elijah Campbell</t>
  </si>
  <si>
    <t>Owen Carney</t>
  </si>
  <si>
    <t>Cethan Carter</t>
  </si>
  <si>
    <t>Larnel Coleman</t>
  </si>
  <si>
    <t>Tanner Conner</t>
  </si>
  <si>
    <t>Idaho State</t>
  </si>
  <si>
    <t>Cody Core</t>
  </si>
  <si>
    <t>River Cracraft</t>
  </si>
  <si>
    <t>Keion Crossen</t>
  </si>
  <si>
    <t>Western Carolina</t>
  </si>
  <si>
    <t>Raekwon Davis</t>
  </si>
  <si>
    <t>DeVonte Dedmon</t>
  </si>
  <si>
    <t>Michael Deiter</t>
  </si>
  <si>
    <t>Kellen Diesch</t>
  </si>
  <si>
    <t>Gerrid Doaks</t>
  </si>
  <si>
    <t>Chase Edmonds</t>
  </si>
  <si>
    <t>Sam Eguavoen</t>
  </si>
  <si>
    <t>Liam Eichenberg</t>
  </si>
  <si>
    <t>Erik Ezukanma</t>
  </si>
  <si>
    <t>Clayton Fejedelem</t>
  </si>
  <si>
    <t>Blake Ferguson</t>
  </si>
  <si>
    <t>Myles Gaskin</t>
  </si>
  <si>
    <t>Mike Gesicki</t>
  </si>
  <si>
    <t>Cameron Goode</t>
  </si>
  <si>
    <t>Porter Gustin</t>
  </si>
  <si>
    <t>Elijah Hamilton</t>
  </si>
  <si>
    <t>Tommy Heatherly</t>
  </si>
  <si>
    <t>Tyreek Hill</t>
  </si>
  <si>
    <t>Darius Hodge</t>
  </si>
  <si>
    <t>Jevon Holland</t>
  </si>
  <si>
    <t>Xavien Howard</t>
  </si>
  <si>
    <t>Robert Hunt</t>
  </si>
  <si>
    <t>Noah Igbinoghene</t>
  </si>
  <si>
    <t>Alec Ingold</t>
  </si>
  <si>
    <t>Melvin Ingram III</t>
  </si>
  <si>
    <t>Austin Jackson</t>
  </si>
  <si>
    <t>John Jenkins</t>
  </si>
  <si>
    <t>Deandre Johnson</t>
  </si>
  <si>
    <t>Benito Jones</t>
  </si>
  <si>
    <t>Brandon Jones</t>
  </si>
  <si>
    <t>Byron Jones</t>
  </si>
  <si>
    <t>Robert Jones</t>
  </si>
  <si>
    <t>Solomon Kindley</t>
  </si>
  <si>
    <t>Kader Kohou</t>
  </si>
  <si>
    <t>Texas A&amp;M-Commerce</t>
  </si>
  <si>
    <t>Greg Little</t>
  </si>
  <si>
    <t>Hunter Long</t>
  </si>
  <si>
    <t>John Lovett</t>
  </si>
  <si>
    <t>Verone McKinley III</t>
  </si>
  <si>
    <t>Sony Michel</t>
  </si>
  <si>
    <t>Thomas Morstead</t>
  </si>
  <si>
    <t>Raheem Mostert</t>
  </si>
  <si>
    <t>Calvin Munson</t>
  </si>
  <si>
    <t>Nik Needham</t>
  </si>
  <si>
    <t>Emmanuel Ogbah</t>
  </si>
  <si>
    <t>Adam Pankey</t>
  </si>
  <si>
    <t>Jaelan Phillips</t>
  </si>
  <si>
    <t>Sheldrick Redwine</t>
  </si>
  <si>
    <t>Duke Riley</t>
  </si>
  <si>
    <t>Elandon Roberts</t>
  </si>
  <si>
    <t>D'Angelo Ross</t>
  </si>
  <si>
    <t>Eric Rowe</t>
  </si>
  <si>
    <t>Jason Sanders</t>
  </si>
  <si>
    <t>Braylon Sanders</t>
  </si>
  <si>
    <t>Brennan Scarlett</t>
  </si>
  <si>
    <t>Adam Shaheen</t>
  </si>
  <si>
    <t>Ashland</t>
  </si>
  <si>
    <t>Trent Sherfield</t>
  </si>
  <si>
    <t>Zach Sieler</t>
  </si>
  <si>
    <t>Kion Smith</t>
  </si>
  <si>
    <t>Fayetteville State University</t>
  </si>
  <si>
    <t>Durham Smythe</t>
  </si>
  <si>
    <t>Ben Stille</t>
  </si>
  <si>
    <t>Tua Tagovailoa</t>
  </si>
  <si>
    <t>Skylar Thompson</t>
  </si>
  <si>
    <t>Channing Tindall</t>
  </si>
  <si>
    <t>Andrew Van Ginkel</t>
  </si>
  <si>
    <t>Jaylen Waddle</t>
  </si>
  <si>
    <t>ZaQuandre White</t>
  </si>
  <si>
    <t>Christian Wilkins</t>
  </si>
  <si>
    <t>Trill Williams</t>
  </si>
  <si>
    <t>Connor Williams</t>
  </si>
  <si>
    <t>Jordan Williams</t>
  </si>
  <si>
    <t>Preston Williams</t>
  </si>
  <si>
    <t>Cedrick Wilson Jr.</t>
  </si>
  <si>
    <t>Quincy Wilson</t>
  </si>
  <si>
    <t>IND</t>
  </si>
  <si>
    <t>Mo Alie-Cox</t>
  </si>
  <si>
    <t>Virginia Commonwealth</t>
  </si>
  <si>
    <t>Ben Banogu</t>
  </si>
  <si>
    <t>Julian Blackmon</t>
  </si>
  <si>
    <t>Rodrigo Blankenship</t>
  </si>
  <si>
    <t>Curtis Brooks</t>
  </si>
  <si>
    <t>Tony Brown</t>
  </si>
  <si>
    <t>DeForest Buckner</t>
  </si>
  <si>
    <t>Parris Campbell</t>
  </si>
  <si>
    <t>Anthony Chesley</t>
  </si>
  <si>
    <t>Kameron Cline</t>
  </si>
  <si>
    <t>South Dakota</t>
  </si>
  <si>
    <t>Jack Coan</t>
  </si>
  <si>
    <t>Keke Coutee</t>
  </si>
  <si>
    <t>Bryan Cox</t>
  </si>
  <si>
    <t>Kekoa Crawford</t>
  </si>
  <si>
    <t>Nick Cross</t>
  </si>
  <si>
    <t>Marcel Dabo</t>
  </si>
  <si>
    <t>Stuttgart</t>
  </si>
  <si>
    <t>Trevor Denbow</t>
  </si>
  <si>
    <t>JoJo Domann</t>
  </si>
  <si>
    <t>Ashton Dulin</t>
  </si>
  <si>
    <t>Malone University</t>
  </si>
  <si>
    <t>Sam Ehlinger</t>
  </si>
  <si>
    <t>Brandon Facyson</t>
  </si>
  <si>
    <t>Ethan Fernea</t>
  </si>
  <si>
    <t>Dallis Flowers</t>
  </si>
  <si>
    <t>Nick Foles</t>
  </si>
  <si>
    <t>Zaire Franklin</t>
  </si>
  <si>
    <t>Wesley French</t>
  </si>
  <si>
    <t>Will Fries</t>
  </si>
  <si>
    <t>Stephon Gilmore</t>
  </si>
  <si>
    <t>Kylen Granson</t>
  </si>
  <si>
    <t>DeMichael Harris</t>
  </si>
  <si>
    <t>Nyheim Hines</t>
  </si>
  <si>
    <t>Deon Jackson</t>
  </si>
  <si>
    <t>Michael Jacobson</t>
  </si>
  <si>
    <t>Eric Johnson</t>
  </si>
  <si>
    <t>Nikola Kalinic</t>
  </si>
  <si>
    <t>York (Canada)</t>
  </si>
  <si>
    <t>Dennis Kelly</t>
  </si>
  <si>
    <t>Ryan Kelly</t>
  </si>
  <si>
    <t>Brandon Kemp</t>
  </si>
  <si>
    <t>Brandon King</t>
  </si>
  <si>
    <t>Darius Leonard</t>
  </si>
  <si>
    <t>Tyquan Lewis</t>
  </si>
  <si>
    <t>Phillip Lindsay</t>
  </si>
  <si>
    <t>R.J. McIntosh</t>
  </si>
  <si>
    <t>Rodney McLeod</t>
  </si>
  <si>
    <t>Kenny Moore II</t>
  </si>
  <si>
    <t>Jordan Murray</t>
  </si>
  <si>
    <t>Alexander Myres</t>
  </si>
  <si>
    <t>Samson Nacua</t>
  </si>
  <si>
    <t>Quenton Nelson</t>
  </si>
  <si>
    <t>Yannick Ngakoue</t>
  </si>
  <si>
    <t>Carter O'Donnell</t>
  </si>
  <si>
    <t>Alberta (Canada)</t>
  </si>
  <si>
    <t>Ifeadi Odenigbo</t>
  </si>
  <si>
    <t>Dayo Odeyingbo</t>
  </si>
  <si>
    <t>Andrew Ogletree</t>
  </si>
  <si>
    <t>Bobby Okereke</t>
  </si>
  <si>
    <t>Scott Patchan</t>
  </si>
  <si>
    <t>Dezmon Patmon</t>
  </si>
  <si>
    <t>Caeveon Patton</t>
  </si>
  <si>
    <t>Kwity Paye</t>
  </si>
  <si>
    <t>Alec Pierce</t>
  </si>
  <si>
    <t>Danny Pinter</t>
  </si>
  <si>
    <t>Michael Pittman Jr.</t>
  </si>
  <si>
    <t>D'vonte Price</t>
  </si>
  <si>
    <t>Matt Pryor</t>
  </si>
  <si>
    <t>Bernhard Raimann</t>
  </si>
  <si>
    <t>Will Redmond</t>
  </si>
  <si>
    <t>Luke Rhodes</t>
  </si>
  <si>
    <t>Forrest Rhyne</t>
  </si>
  <si>
    <t>Isaiah Rodgers</t>
  </si>
  <si>
    <t>Matt Ryan</t>
  </si>
  <si>
    <t>Rigoberto Sanchez</t>
  </si>
  <si>
    <t>Josh Seltzner</t>
  </si>
  <si>
    <t>James Skalski</t>
  </si>
  <si>
    <t>Braden Smith</t>
  </si>
  <si>
    <t>E.J. Speed</t>
  </si>
  <si>
    <t>Jason Spriggs</t>
  </si>
  <si>
    <t>Grover Stewart</t>
  </si>
  <si>
    <t>Albany State (Ga.)</t>
  </si>
  <si>
    <t>Mike Strachan</t>
  </si>
  <si>
    <t>Charleston</t>
  </si>
  <si>
    <t>Jonathan Taylor</t>
  </si>
  <si>
    <t>Marvell Tell III</t>
  </si>
  <si>
    <t>Rodney Thomas II</t>
  </si>
  <si>
    <t>Ryan Van Demark</t>
  </si>
  <si>
    <t>CJ Verdell</t>
  </si>
  <si>
    <t>Jake Verity</t>
  </si>
  <si>
    <t>Armani Watts</t>
  </si>
  <si>
    <t>Sterling Weatherford</t>
  </si>
  <si>
    <t>Chris Wilcox</t>
  </si>
  <si>
    <t>Chris Williams</t>
  </si>
  <si>
    <t>Ty'Son Williams</t>
  </si>
  <si>
    <t>Jelani Woods</t>
  </si>
  <si>
    <t>Michael Young Jr.</t>
  </si>
  <si>
    <t>Khari Willis</t>
  </si>
  <si>
    <t>LAC</t>
  </si>
  <si>
    <t>Nasir Adderley</t>
  </si>
  <si>
    <t>Keenan Allen</t>
  </si>
  <si>
    <t>Zack Bailey</t>
  </si>
  <si>
    <t>Michael Bandy</t>
  </si>
  <si>
    <t>Joey Bosa</t>
  </si>
  <si>
    <t>Trevon Bradford</t>
  </si>
  <si>
    <t>Andrew Brown</t>
  </si>
  <si>
    <t>Leddie Brown</t>
  </si>
  <si>
    <t>Bryce Callahan</t>
  </si>
  <si>
    <t>Tevaughn Campbell</t>
  </si>
  <si>
    <t>Regina</t>
  </si>
  <si>
    <t>DeAndre Carter</t>
  </si>
  <si>
    <t>Sacramento State</t>
  </si>
  <si>
    <t>Cole Christiansen</t>
  </si>
  <si>
    <t>Will Clapp</t>
  </si>
  <si>
    <t>Christian Covington</t>
  </si>
  <si>
    <t>Chase Daniel</t>
  </si>
  <si>
    <t>Jamal Davis II</t>
  </si>
  <si>
    <t>Michael Davis</t>
  </si>
  <si>
    <t>Ben DeLuca</t>
  </si>
  <si>
    <t>Emeke Egbule</t>
  </si>
  <si>
    <t>Austin Ekeler</t>
  </si>
  <si>
    <t>Western State Colorado</t>
  </si>
  <si>
    <t>Gerald Everett</t>
  </si>
  <si>
    <t>South Alabama</t>
  </si>
  <si>
    <t>Breiden Fehoko</t>
  </si>
  <si>
    <t>Matt Feiler</t>
  </si>
  <si>
    <t>Bloomsburg</t>
  </si>
  <si>
    <t>Maurice Ffrench</t>
  </si>
  <si>
    <t>Morgan Fox</t>
  </si>
  <si>
    <t>Joe Gaziano</t>
  </si>
  <si>
    <t>Alohi Gilman</t>
  </si>
  <si>
    <t>Jalen Guyton</t>
  </si>
  <si>
    <t>Kemon Hall</t>
  </si>
  <si>
    <t>Josh Harris</t>
  </si>
  <si>
    <t>Justin Herbert</t>
  </si>
  <si>
    <t>Dustin Hopkins</t>
  </si>
  <si>
    <t>Zander Horvath</t>
  </si>
  <si>
    <t>Ryan Hunter</t>
  </si>
  <si>
    <t>J.C. Jackson</t>
  </si>
  <si>
    <t>Brenden Jaimes</t>
  </si>
  <si>
    <t>Derwin James Jr.</t>
  </si>
  <si>
    <t>Austin Johnson</t>
  </si>
  <si>
    <t>Zion Johnson</t>
  </si>
  <si>
    <t>Sebastian Joseph-Day</t>
  </si>
  <si>
    <t>Hunter Kampmoyer</t>
  </si>
  <si>
    <t>Joshua Kelley</t>
  </si>
  <si>
    <t>Erik Krommenhoek</t>
  </si>
  <si>
    <t>Raheem Layne</t>
  </si>
  <si>
    <t>Deane Leonard</t>
  </si>
  <si>
    <t>Corey Linsley</t>
  </si>
  <si>
    <t>Damon Lloyd</t>
  </si>
  <si>
    <t>Khalil Mack</t>
  </si>
  <si>
    <t>Tyreek Maddox-Williams</t>
  </si>
  <si>
    <t>Kevin Marks Jr.</t>
  </si>
  <si>
    <t>James McCourt</t>
  </si>
  <si>
    <t>Tre' McKitty</t>
  </si>
  <si>
    <t>Forrest Merrill</t>
  </si>
  <si>
    <t>Arkansas State</t>
  </si>
  <si>
    <t>Jason Moore Jr.</t>
  </si>
  <si>
    <t>Findlay</t>
  </si>
  <si>
    <t>Kenneth Murray Jr.</t>
  </si>
  <si>
    <t>Gabe Nabers</t>
  </si>
  <si>
    <t>Nick Niemann</t>
  </si>
  <si>
    <t>Storm Norton</t>
  </si>
  <si>
    <t>Amen Ogbongbemiga</t>
  </si>
  <si>
    <t>Otito Ogbonnia</t>
  </si>
  <si>
    <t>Joshua Palmer</t>
  </si>
  <si>
    <t>Donald Parham Jr.</t>
  </si>
  <si>
    <t>Stetson University</t>
  </si>
  <si>
    <t>Brandon Peters</t>
  </si>
  <si>
    <t>Trey Pipkins III</t>
  </si>
  <si>
    <t>Joe Reed</t>
  </si>
  <si>
    <t>Troy Reeder</t>
  </si>
  <si>
    <t>Larry Rountree III</t>
  </si>
  <si>
    <t>Chris Rumph II</t>
  </si>
  <si>
    <t>Jamaree Salyer</t>
  </si>
  <si>
    <t>Asante Samuel Jr.</t>
  </si>
  <si>
    <t>Foster Sarell</t>
  </si>
  <si>
    <t>JK Scott</t>
  </si>
  <si>
    <t>Brandon Sebastian</t>
  </si>
  <si>
    <t>Ty Shelby</t>
  </si>
  <si>
    <t>Louisiana-Monroe</t>
  </si>
  <si>
    <t>Rashawn Slater</t>
  </si>
  <si>
    <t>Stone Smartt</t>
  </si>
  <si>
    <t>Isaiah Spiller</t>
  </si>
  <si>
    <t>Easton Stick</t>
  </si>
  <si>
    <t>Ja'Sir Taylor</t>
  </si>
  <si>
    <t>Skyler Thomas</t>
  </si>
  <si>
    <t>Jerry Tillery</t>
  </si>
  <si>
    <t>Andrew Trainer</t>
  </si>
  <si>
    <t>Drue Tranquill</t>
  </si>
  <si>
    <t>Kyle Van Noy</t>
  </si>
  <si>
    <t>Isaac Weaver</t>
  </si>
  <si>
    <t>Mark Webb Jr.</t>
  </si>
  <si>
    <t>Mike Williams</t>
  </si>
  <si>
    <t>JT Woods</t>
  </si>
  <si>
    <t>KAN</t>
  </si>
  <si>
    <t>Nick Allegretti</t>
  </si>
  <si>
    <t>Zayne Anderson</t>
  </si>
  <si>
    <t>DeAndre Baker</t>
  </si>
  <si>
    <t>Omar Bayless</t>
  </si>
  <si>
    <t>Blake Bell</t>
  </si>
  <si>
    <t>Nick Bolton</t>
  </si>
  <si>
    <t>Dicaprio Bootle</t>
  </si>
  <si>
    <t>Cortez Broughton</t>
  </si>
  <si>
    <t>Orlando Brown</t>
  </si>
  <si>
    <t>Shane Buechele</t>
  </si>
  <si>
    <t>Michael Burton</t>
  </si>
  <si>
    <t>Deon Bush</t>
  </si>
  <si>
    <t>Matt Bushman</t>
  </si>
  <si>
    <t>Harrison Butker</t>
  </si>
  <si>
    <t>Shilique Calhoun</t>
  </si>
  <si>
    <t>Mike Caliendo</t>
  </si>
  <si>
    <t>Jermaine Carter</t>
  </si>
  <si>
    <t>Leo Chenal</t>
  </si>
  <si>
    <t>Geron Christian</t>
  </si>
  <si>
    <t>Frank Clark</t>
  </si>
  <si>
    <t>Jack Cochrane</t>
  </si>
  <si>
    <t>Corey Coleman</t>
  </si>
  <si>
    <t>Bryan Cook</t>
  </si>
  <si>
    <t>Dustin Crum</t>
  </si>
  <si>
    <t>Brandin Dandridge</t>
  </si>
  <si>
    <t>Mike Danna</t>
  </si>
  <si>
    <t>Jerrion Ealy</t>
  </si>
  <si>
    <t>Austin Edwards</t>
  </si>
  <si>
    <t>Clyde Edwards-Helaire</t>
  </si>
  <si>
    <t>Rashad Fenton</t>
  </si>
  <si>
    <t>Tayon Fleet-Davis</t>
  </si>
  <si>
    <t>Jody Fortson</t>
  </si>
  <si>
    <t>Daurice Fountain</t>
  </si>
  <si>
    <t>Jordan Franks</t>
  </si>
  <si>
    <t>Willie Gay</t>
  </si>
  <si>
    <t>Chris Glaser</t>
  </si>
  <si>
    <t>Josh Gordon</t>
  </si>
  <si>
    <t>Derrick Gore</t>
  </si>
  <si>
    <t>Noah Gray</t>
  </si>
  <si>
    <t>Nasir Greer</t>
  </si>
  <si>
    <t>Vitaliy Gurman</t>
  </si>
  <si>
    <t>Mecole Hardman</t>
  </si>
  <si>
    <t>Darius Harris</t>
  </si>
  <si>
    <t>Chad Henne</t>
  </si>
  <si>
    <t>Malik Herring</t>
  </si>
  <si>
    <t>Creed Humphrey</t>
  </si>
  <si>
    <t>Gary Jennings</t>
  </si>
  <si>
    <t>Lonnie Johnson</t>
  </si>
  <si>
    <t>Nazeeh Johnson</t>
  </si>
  <si>
    <t>Roderick Johnson</t>
  </si>
  <si>
    <t>Ronald Jones</t>
  </si>
  <si>
    <t>Joshua Kaindoh</t>
  </si>
  <si>
    <t>George Karlaftis</t>
  </si>
  <si>
    <t>Travis Kelce</t>
  </si>
  <si>
    <t>Devon Key</t>
  </si>
  <si>
    <t>Darian Kinnard</t>
  </si>
  <si>
    <t>Chris Lammons</t>
  </si>
  <si>
    <t>Elijah Lee</t>
  </si>
  <si>
    <t>Patrick Mahomes</t>
  </si>
  <si>
    <t>Trent McDuffie</t>
  </si>
  <si>
    <t>Jerick McKinnon</t>
  </si>
  <si>
    <t>Skyy Moore</t>
  </si>
  <si>
    <t>Lucas Niang</t>
  </si>
  <si>
    <t>Derrick Nnadi</t>
  </si>
  <si>
    <t>Kehinde Oginni Hassan</t>
  </si>
  <si>
    <t>Isiah Pacheco</t>
  </si>
  <si>
    <t>Aaron Parker</t>
  </si>
  <si>
    <t>Rhode Island</t>
  </si>
  <si>
    <t>Cornell Powell</t>
  </si>
  <si>
    <t>Justin Reid</t>
  </si>
  <si>
    <t>Austin Reiter</t>
  </si>
  <si>
    <t>Mike Rose</t>
  </si>
  <si>
    <t>Justyn Ross</t>
  </si>
  <si>
    <t>Khalen Saunders</t>
  </si>
  <si>
    <t>Western Illinois</t>
  </si>
  <si>
    <t>Trey Smith</t>
  </si>
  <si>
    <t>JuJu Smith-Schuster</t>
  </si>
  <si>
    <t>L'Jarius Sneed</t>
  </si>
  <si>
    <t>Taylor Stallworth</t>
  </si>
  <si>
    <t>Juan Thornhill</t>
  </si>
  <si>
    <t>Joe Thuney</t>
  </si>
  <si>
    <t>Tommy Townsend</t>
  </si>
  <si>
    <t>Marquez Valdes-Scantling</t>
  </si>
  <si>
    <t>Mark Vital</t>
  </si>
  <si>
    <t>Prince Tega Wanogho</t>
  </si>
  <si>
    <t>Jaylen Watson</t>
  </si>
  <si>
    <t>Justin Watson</t>
  </si>
  <si>
    <t>Pennsylvania</t>
  </si>
  <si>
    <t>Tershawn Wharton</t>
  </si>
  <si>
    <t>Missouri S&amp;T</t>
  </si>
  <si>
    <t>Joshua Williams</t>
  </si>
  <si>
    <t>James Winchester</t>
  </si>
  <si>
    <t>Andrew Wylie</t>
  </si>
  <si>
    <t>DEN</t>
  </si>
  <si>
    <t>McTelvin Agim</t>
  </si>
  <si>
    <t>Christopher Allen</t>
  </si>
  <si>
    <t>Calvin Anderson</t>
  </si>
  <si>
    <t>Bless Austin</t>
  </si>
  <si>
    <t>Quinn Bailey</t>
  </si>
  <si>
    <t>Essang Bassey</t>
  </si>
  <si>
    <t>Andrew Beck</t>
  </si>
  <si>
    <t>Jacob Bobenmoyer</t>
  </si>
  <si>
    <t>Northern Colorado</t>
  </si>
  <si>
    <t>Garett Bolles</t>
  </si>
  <si>
    <t>Nik Bonitto</t>
  </si>
  <si>
    <t>Mike Boone</t>
  </si>
  <si>
    <t>Ben Braden</t>
  </si>
  <si>
    <t>Baron Browning</t>
  </si>
  <si>
    <t>Bradley Chubb</t>
  </si>
  <si>
    <t>Tyrie Cleveland</t>
  </si>
  <si>
    <t>Tom Compton</t>
  </si>
  <si>
    <t>Jonathon Cooper</t>
  </si>
  <si>
    <t>Damarea Crockett</t>
  </si>
  <si>
    <t>Lloyd Cushenberry III</t>
  </si>
  <si>
    <t>Ronald Darby</t>
  </si>
  <si>
    <t>Kaden Davis</t>
  </si>
  <si>
    <t>NW Missouri State</t>
  </si>
  <si>
    <t>Greg Dulcich</t>
  </si>
  <si>
    <t>Travis Fulgham</t>
  </si>
  <si>
    <t>Graham Glasgow</t>
  </si>
  <si>
    <t>Melvin Gordon III</t>
  </si>
  <si>
    <t>Randy Gregory</t>
  </si>
  <si>
    <t>Jonas Griffith</t>
  </si>
  <si>
    <t>Indiana State</t>
  </si>
  <si>
    <t>Sebastian Gutierrez</t>
  </si>
  <si>
    <t>Minot State University</t>
  </si>
  <si>
    <t>KJ Hamler</t>
  </si>
  <si>
    <t>Jonathan Harris</t>
  </si>
  <si>
    <t>Lindenwood</t>
  </si>
  <si>
    <t>Matt Henningsen</t>
  </si>
  <si>
    <t>Faion Hicks</t>
  </si>
  <si>
    <t>Kendall Hinton</t>
  </si>
  <si>
    <t>Kareem Jackson</t>
  </si>
  <si>
    <t>Jerry Jeudy</t>
  </si>
  <si>
    <t>Josey Jewell</t>
  </si>
  <si>
    <t>Brandon Johnson</t>
  </si>
  <si>
    <t>Jamar Johnson</t>
  </si>
  <si>
    <t>Josh Johnson</t>
  </si>
  <si>
    <t>Zack Johnson</t>
  </si>
  <si>
    <t>D.J. Jones</t>
  </si>
  <si>
    <t>Dre'Mont Jones</t>
  </si>
  <si>
    <t>Jonathan Kongbo</t>
  </si>
  <si>
    <t>Donnie Lewis Jr.</t>
  </si>
  <si>
    <t>P.J. Locke</t>
  </si>
  <si>
    <t>Sam Martin</t>
  </si>
  <si>
    <t>Damarri Mathis</t>
  </si>
  <si>
    <t>Kana'i Mauga</t>
  </si>
  <si>
    <t>Tyreik McAllister</t>
  </si>
  <si>
    <t>Brandon McManus</t>
  </si>
  <si>
    <t>Ja'Quan McMillian</t>
  </si>
  <si>
    <t>Quinn Meinerz</t>
  </si>
  <si>
    <t>Wisconsin-Whitewater</t>
  </si>
  <si>
    <t>Netane Muti</t>
  </si>
  <si>
    <t>Michael Niese</t>
  </si>
  <si>
    <t>Michael Ojemudia</t>
  </si>
  <si>
    <t>Albert Okwuegbunam</t>
  </si>
  <si>
    <t>Aaron Patrick</t>
  </si>
  <si>
    <t>Eastern Kentucky</t>
  </si>
  <si>
    <t>Tim Patrick</t>
  </si>
  <si>
    <t>Mike Purcell</t>
  </si>
  <si>
    <t>Trey Quinn</t>
  </si>
  <si>
    <t>J.R. Reed</t>
  </si>
  <si>
    <t>Malik Reed</t>
  </si>
  <si>
    <t>Dalton Risner</t>
  </si>
  <si>
    <t>Brett Rypien</t>
  </si>
  <si>
    <t>Eric Saubert</t>
  </si>
  <si>
    <t>Drake</t>
  </si>
  <si>
    <t>Justin Simmons</t>
  </si>
  <si>
    <t>Alex Singleton</t>
  </si>
  <si>
    <t>Marquiss Spencer</t>
  </si>
  <si>
    <t>Caden Sterns</t>
  </si>
  <si>
    <t>Justin Strnad</t>
  </si>
  <si>
    <t>Pat Surtain II</t>
  </si>
  <si>
    <t>Courtland Sutton</t>
  </si>
  <si>
    <t>Eric Tomlinson</t>
  </si>
  <si>
    <t>Casey Tucker</t>
  </si>
  <si>
    <t>Billy Turner</t>
  </si>
  <si>
    <t>Delarrin Turner-Yell</t>
  </si>
  <si>
    <t>Eyioma Uwazurike</t>
  </si>
  <si>
    <t>Jalen Virgil</t>
  </si>
  <si>
    <t>Barrington Wade</t>
  </si>
  <si>
    <t>Corliss Waitman</t>
  </si>
  <si>
    <t>Montrell Washington</t>
  </si>
  <si>
    <t>Samford</t>
  </si>
  <si>
    <t>Luke Wattenberg</t>
  </si>
  <si>
    <t>DeShawn Williams</t>
  </si>
  <si>
    <t>Javonte Williams</t>
  </si>
  <si>
    <t>K'Waun Williams</t>
  </si>
  <si>
    <t>Rodney Williams</t>
  </si>
  <si>
    <t>Tennessee-Martin</t>
  </si>
  <si>
    <t>Seth Williams</t>
  </si>
  <si>
    <t>Russell Wilson</t>
  </si>
  <si>
    <t>Kadofi Wright</t>
  </si>
  <si>
    <t>CIN</t>
  </si>
  <si>
    <t>Hakeem Adeniji</t>
  </si>
  <si>
    <t>Cal Adomitis</t>
  </si>
  <si>
    <t>Brandon Allen</t>
  </si>
  <si>
    <t>Tycen Anderson</t>
  </si>
  <si>
    <t>Eli Apple</t>
  </si>
  <si>
    <t>Chidobe Awuzie</t>
  </si>
  <si>
    <t>Joe Bachie</t>
  </si>
  <si>
    <t>Markus Bailey</t>
  </si>
  <si>
    <t>Jessie Bates III</t>
  </si>
  <si>
    <t>Vonn Bell</t>
  </si>
  <si>
    <t>Tyler Boyd</t>
  </si>
  <si>
    <t>John Brannon</t>
  </si>
  <si>
    <t>Ben Brown</t>
  </si>
  <si>
    <t>Jake Browning</t>
  </si>
  <si>
    <t>Joe Burrow</t>
  </si>
  <si>
    <t>Alex Cappa</t>
  </si>
  <si>
    <t>Humboldt State</t>
  </si>
  <si>
    <t>Jackson Carman</t>
  </si>
  <si>
    <t>Zach Carter</t>
  </si>
  <si>
    <t>Ja'Marr Chase</t>
  </si>
  <si>
    <t>Drue Chrisman</t>
  </si>
  <si>
    <t>Devin Cochran</t>
  </si>
  <si>
    <t>La'el Collins</t>
  </si>
  <si>
    <t>Abu Daramy-Swaray</t>
  </si>
  <si>
    <t>Colgate</t>
  </si>
  <si>
    <t>Jalen Davis</t>
  </si>
  <si>
    <t>Akeem Davis-Gaither</t>
  </si>
  <si>
    <t>Nick Eubanks</t>
  </si>
  <si>
    <t>Chris Evans</t>
  </si>
  <si>
    <t>Tre Flowers</t>
  </si>
  <si>
    <t>Lamont Gaillard</t>
  </si>
  <si>
    <t>Allan George</t>
  </si>
  <si>
    <t>Jeff Gunter</t>
  </si>
  <si>
    <t>Clark Harris</t>
  </si>
  <si>
    <t>Jaivon Heiligh</t>
  </si>
  <si>
    <t>Trayvon Henderson</t>
  </si>
  <si>
    <t>Trey Hendrickson</t>
  </si>
  <si>
    <t>Clarence Hicks</t>
  </si>
  <si>
    <t>Tee Higgins</t>
  </si>
  <si>
    <t>B.J. Hill</t>
  </si>
  <si>
    <t>Dax Hill</t>
  </si>
  <si>
    <t>Trey Hill</t>
  </si>
  <si>
    <t>Mike Hilton</t>
  </si>
  <si>
    <t>Elijah Holyfield</t>
  </si>
  <si>
    <t>Delonte Hood</t>
  </si>
  <si>
    <t>Peru State College (Ne)</t>
  </si>
  <si>
    <t>Sam Hubbard</t>
  </si>
  <si>
    <t>Kevin Huber</t>
  </si>
  <si>
    <t>Wyatt Hubert</t>
  </si>
  <si>
    <t>Hayden Hurst</t>
  </si>
  <si>
    <t>Trenton Irwin</t>
  </si>
  <si>
    <t>Clay Johnston</t>
  </si>
  <si>
    <t>Keandre Jones</t>
  </si>
  <si>
    <t>Shermari Jones</t>
  </si>
  <si>
    <t>Khalid Kareem</t>
  </si>
  <si>
    <t>Ted Karras</t>
  </si>
  <si>
    <t>Kwamie Lassiter II</t>
  </si>
  <si>
    <t>Evan McPherson</t>
  </si>
  <si>
    <t>Joe Mixon</t>
  </si>
  <si>
    <t>Stanley Morgan</t>
  </si>
  <si>
    <t>Thaddeus Moss</t>
  </si>
  <si>
    <t>Desmond Noel</t>
  </si>
  <si>
    <t>Joseph Ossai</t>
  </si>
  <si>
    <t>Samaje Perine</t>
  </si>
  <si>
    <t>Germaine Pratt</t>
  </si>
  <si>
    <t>Isaiah Prince</t>
  </si>
  <si>
    <t>Kendric Pryor</t>
  </si>
  <si>
    <t>Bookie Radley-Hiles</t>
  </si>
  <si>
    <t>DJ Reader</t>
  </si>
  <si>
    <t>Justin Rigg</t>
  </si>
  <si>
    <t>Cam Sample</t>
  </si>
  <si>
    <t>Drew Sample</t>
  </si>
  <si>
    <t>Tyler Shelvin</t>
  </si>
  <si>
    <t>D'Ante Smith</t>
  </si>
  <si>
    <t>Jack Sorenson</t>
  </si>
  <si>
    <t>Noah Spence</t>
  </si>
  <si>
    <t>Trent Taylor</t>
  </si>
  <si>
    <t>Cam Taylor-Britt</t>
  </si>
  <si>
    <t>Michael Thomas</t>
  </si>
  <si>
    <t>Mike Thomas</t>
  </si>
  <si>
    <t>Tariqious Tisdale</t>
  </si>
  <si>
    <t>Josh Tupou</t>
  </si>
  <si>
    <t>Cordell Volson</t>
  </si>
  <si>
    <t>Scotty Washington</t>
  </si>
  <si>
    <t>Carson Wells</t>
  </si>
  <si>
    <t>Mitchell Wilcox</t>
  </si>
  <si>
    <t>Pooka Williams Jr.</t>
  </si>
  <si>
    <t>Jonah Williams</t>
  </si>
  <si>
    <t>Trayveon Williams</t>
  </si>
  <si>
    <t>Brandon Wilson</t>
  </si>
  <si>
    <t>Logan Wilson</t>
  </si>
  <si>
    <t>BAL</t>
  </si>
  <si>
    <t>Mark Andrews</t>
  </si>
  <si>
    <t>Jalyn Armour-Davis</t>
  </si>
  <si>
    <t>Tyler Badie</t>
  </si>
  <si>
    <t>Rashod Bateman</t>
  </si>
  <si>
    <t>Vince Biegel</t>
  </si>
  <si>
    <t>Slade Bolden</t>
  </si>
  <si>
    <t>Tyus Bowser</t>
  </si>
  <si>
    <t>Nick Boyle</t>
  </si>
  <si>
    <t>Shemar Bridges</t>
  </si>
  <si>
    <t>Fort Valley State College</t>
  </si>
  <si>
    <t>Anthony Brown</t>
  </si>
  <si>
    <t>Josh Bynes</t>
  </si>
  <si>
    <t>Calais Campbell</t>
  </si>
  <si>
    <t>Chuck Clark</t>
  </si>
  <si>
    <t>Trevon Clark</t>
  </si>
  <si>
    <t>Ben Cleveland</t>
  </si>
  <si>
    <t>Trystan Colon</t>
  </si>
  <si>
    <t>Aaron Crawford</t>
  </si>
  <si>
    <t>Mike Davis</t>
  </si>
  <si>
    <t>J.K. Dobbins</t>
  </si>
  <si>
    <t>Devin Duvernay</t>
  </si>
  <si>
    <t>Gus Edwards</t>
  </si>
  <si>
    <t>Daniel Faalele</t>
  </si>
  <si>
    <t>Diego Fagot</t>
  </si>
  <si>
    <t>Kyle Fuller</t>
  </si>
  <si>
    <t>Kyle Hamilton</t>
  </si>
  <si>
    <t>Malik Harrison</t>
  </si>
  <si>
    <t>Daelin Hayes</t>
  </si>
  <si>
    <t>Justice Hill</t>
  </si>
  <si>
    <t>Marlon Humphrey</t>
  </si>
  <si>
    <t>Brett Hundley</t>
  </si>
  <si>
    <t>Tyler Huntley</t>
  </si>
  <si>
    <t>Lamar Jackson</t>
  </si>
  <si>
    <t>Robert Jackson</t>
  </si>
  <si>
    <t>Ja'Wuan James</t>
  </si>
  <si>
    <t>Tony Jefferson</t>
  </si>
  <si>
    <t>Travis Jones</t>
  </si>
  <si>
    <t>Jaryd Jones-Smith</t>
  </si>
  <si>
    <t>Charlie Kolar</t>
  </si>
  <si>
    <t>Isaiah Likely</t>
  </si>
  <si>
    <t>Tyler Linderbaum</t>
  </si>
  <si>
    <t>Isaiah Mack</t>
  </si>
  <si>
    <t>Justin Madubuike</t>
  </si>
  <si>
    <t>Iman Marshall</t>
  </si>
  <si>
    <t>Ben Mason</t>
  </si>
  <si>
    <t>Zakoby McClain</t>
  </si>
  <si>
    <t>Nate McCrary</t>
  </si>
  <si>
    <t>Saginaw Valley State</t>
  </si>
  <si>
    <t>Kahlil McKenzie</t>
  </si>
  <si>
    <t>Steven Means</t>
  </si>
  <si>
    <t>Patrick Mekari</t>
  </si>
  <si>
    <t>Jeremiah Moon</t>
  </si>
  <si>
    <t>Nick Moore</t>
  </si>
  <si>
    <t>Morgan Moses</t>
  </si>
  <si>
    <t>Jimmy Murray</t>
  </si>
  <si>
    <t>Holy Cross</t>
  </si>
  <si>
    <t>Rayshad Nichols</t>
  </si>
  <si>
    <t>Stephen F. Austin State</t>
  </si>
  <si>
    <t>David Ojabo</t>
  </si>
  <si>
    <t>Josh Oliver</t>
  </si>
  <si>
    <t>Odafe Oweh</t>
  </si>
  <si>
    <t>Ricky Person</t>
  </si>
  <si>
    <t>Marcus Peters</t>
  </si>
  <si>
    <t>Tyre Phillips</t>
  </si>
  <si>
    <t>Michael Pierce</t>
  </si>
  <si>
    <t>Tony Poljan</t>
  </si>
  <si>
    <t>Makai Polk</t>
  </si>
  <si>
    <t>Ben Powers</t>
  </si>
  <si>
    <t>James Proche II</t>
  </si>
  <si>
    <t>Patrick Queen</t>
  </si>
  <si>
    <t>Patrick Ricard</t>
  </si>
  <si>
    <t>Maine</t>
  </si>
  <si>
    <t>Josh Ross</t>
  </si>
  <si>
    <t>Kevon Seymour</t>
  </si>
  <si>
    <t>Ronnie Stanley</t>
  </si>
  <si>
    <t>Brandon Stephens</t>
  </si>
  <si>
    <t>Geno Stone</t>
  </si>
  <si>
    <t>Jordan Stout</t>
  </si>
  <si>
    <t>Justin Tucker</t>
  </si>
  <si>
    <t>Brent Urban</t>
  </si>
  <si>
    <t>David Vereen</t>
  </si>
  <si>
    <t>Newberry</t>
  </si>
  <si>
    <t>Binjimen Victor</t>
  </si>
  <si>
    <t>Tylan Wallace</t>
  </si>
  <si>
    <t>Ar'Darius Washington</t>
  </si>
  <si>
    <t>Broderick Washington</t>
  </si>
  <si>
    <t>Raleigh Webb</t>
  </si>
  <si>
    <t>The Citadel</t>
  </si>
  <si>
    <t>Kristian Welch</t>
  </si>
  <si>
    <t>Chuck Wiley</t>
  </si>
  <si>
    <t>Damarion Williams</t>
  </si>
  <si>
    <t>Denzel Williams</t>
  </si>
  <si>
    <t>Devon Williams</t>
  </si>
  <si>
    <t>Marcus Williams</t>
  </si>
  <si>
    <t>Kevin Zeitler</t>
  </si>
  <si>
    <t>Sam Koch</t>
  </si>
  <si>
    <t>17</t>
  </si>
  <si>
    <t>Team</t>
  </si>
  <si>
    <t>LAR</t>
  </si>
  <si>
    <t>Cam Akers</t>
  </si>
  <si>
    <t>Brian Allen</t>
  </si>
  <si>
    <t>Tremayne Anchrum Jr.</t>
  </si>
  <si>
    <t>AJ Arcuri</t>
  </si>
  <si>
    <t>Kendall Blanton</t>
  </si>
  <si>
    <t>Bobby Brown III</t>
  </si>
  <si>
    <t>Logan Bruss</t>
  </si>
  <si>
    <t>Terrell Burgess</t>
  </si>
  <si>
    <t>Georgia State</t>
  </si>
  <si>
    <t>TJ Carter</t>
  </si>
  <si>
    <t>Marquise Copeland</t>
  </si>
  <si>
    <t>Caesar Dancy-Williams</t>
  </si>
  <si>
    <t>Cameron Dicker</t>
  </si>
  <si>
    <t>Riley Dixon</t>
  </si>
  <si>
    <t>Aaron Donald</t>
  </si>
  <si>
    <t>Cobie Durant</t>
  </si>
  <si>
    <t>David Edwards</t>
  </si>
  <si>
    <t>Bobby Evans</t>
  </si>
  <si>
    <t>Leonard Floyd</t>
  </si>
  <si>
    <t>Jake Funk</t>
  </si>
  <si>
    <t>Greg Gaines</t>
  </si>
  <si>
    <t>Elijah Garcia</t>
  </si>
  <si>
    <t>Chris Garrett</t>
  </si>
  <si>
    <t>Concordia College St. Paul</t>
  </si>
  <si>
    <t>Matt Gay</t>
  </si>
  <si>
    <t>Jake Gervase</t>
  </si>
  <si>
    <t>Grant Haley</t>
  </si>
  <si>
    <t>Daniel Hardy</t>
  </si>
  <si>
    <t>Rob Havenstein</t>
  </si>
  <si>
    <t>Darrell Henderson Jr.</t>
  </si>
  <si>
    <t>Troy Hill</t>
  </si>
  <si>
    <t>Michael Hoecht</t>
  </si>
  <si>
    <t>Justin Hollins</t>
  </si>
  <si>
    <t>Brycen Hopkins</t>
  </si>
  <si>
    <t>Travin Howard</t>
  </si>
  <si>
    <t>Jake Hummel</t>
  </si>
  <si>
    <t>Dan Isom</t>
  </si>
  <si>
    <t>AJ Jackson</t>
  </si>
  <si>
    <t>Van Jefferson</t>
  </si>
  <si>
    <t>Ernest Jones</t>
  </si>
  <si>
    <t>Derion Kendrick</t>
  </si>
  <si>
    <t>Cooper Kupp</t>
  </si>
  <si>
    <t>Quentin Lake</t>
  </si>
  <si>
    <t>Terrell Lewis</t>
  </si>
  <si>
    <t>David Long Jr.</t>
  </si>
  <si>
    <t>Duron Lowe</t>
  </si>
  <si>
    <t>Lance McCutcheon</t>
  </si>
  <si>
    <t>Jairon McVea</t>
  </si>
  <si>
    <t>Matthew Orzech</t>
  </si>
  <si>
    <t>Azusa Pacific</t>
  </si>
  <si>
    <t>Bryce Perkins</t>
  </si>
  <si>
    <t>Jamal Pettigrew</t>
  </si>
  <si>
    <t>McNeese State</t>
  </si>
  <si>
    <t>Jared Pinkney</t>
  </si>
  <si>
    <t>Brandon Powell</t>
  </si>
  <si>
    <t>Jalen Ramsey</t>
  </si>
  <si>
    <t>Taylor Rapp</t>
  </si>
  <si>
    <t>A'Shawn Robinson</t>
  </si>
  <si>
    <t>Allen Robinson II</t>
  </si>
  <si>
    <t>A.J. Rose</t>
  </si>
  <si>
    <t>Christian Rozeboom</t>
  </si>
  <si>
    <t>Nick Scott</t>
  </si>
  <si>
    <t>Coleman Shelton</t>
  </si>
  <si>
    <t>Ben Skowronek</t>
  </si>
  <si>
    <t>Jack Snyder</t>
  </si>
  <si>
    <t>Matthew Stafford</t>
  </si>
  <si>
    <t>Brayden Thomas</t>
  </si>
  <si>
    <t>Keir Thomas</t>
  </si>
  <si>
    <t>Bobby Wagner</t>
  </si>
  <si>
    <t>Benton Whitley</t>
  </si>
  <si>
    <t>Kyren Williams</t>
  </si>
  <si>
    <t>John Wolford</t>
  </si>
  <si>
    <t>Landen Akers</t>
  </si>
  <si>
    <t>Chandler Brewer</t>
  </si>
  <si>
    <t>Earnest Brown IV</t>
  </si>
  <si>
    <t>Adrian Ealy</t>
  </si>
  <si>
    <t>Tyler Hall</t>
  </si>
  <si>
    <t>Anthony Hines III</t>
  </si>
  <si>
    <t>Warren Jackson</t>
  </si>
  <si>
    <t>Jeremiah Kolone</t>
  </si>
  <si>
    <t>J.J. Koski</t>
  </si>
  <si>
    <t>Cal Poly</t>
  </si>
  <si>
    <t>Kyle Markway</t>
  </si>
  <si>
    <t>Max Pircher</t>
  </si>
  <si>
    <t>Italy</t>
  </si>
  <si>
    <t>Tutu Atwell</t>
  </si>
  <si>
    <t>Raymond Calais</t>
  </si>
  <si>
    <t>Jordan Fuller</t>
  </si>
  <si>
    <t>Jacob Harris</t>
  </si>
  <si>
    <t>Tyler Higbee</t>
  </si>
  <si>
    <t>Xavier Jones</t>
  </si>
  <si>
    <t>Joe Noteboom</t>
  </si>
  <si>
    <t>Robert Rochell</t>
  </si>
  <si>
    <t>SEA</t>
  </si>
  <si>
    <t>Jamal Adams</t>
  </si>
  <si>
    <t>SS</t>
  </si>
  <si>
    <t>Myles Adams</t>
  </si>
  <si>
    <t>Deontez Alexander</t>
  </si>
  <si>
    <t>Franklin College of Indiana</t>
  </si>
  <si>
    <t>Ugo Amadi</t>
  </si>
  <si>
    <t>Cody Barton</t>
  </si>
  <si>
    <t>Nick Bellore</t>
  </si>
  <si>
    <t>Marquise Blair</t>
  </si>
  <si>
    <t>Joey Blount</t>
  </si>
  <si>
    <t>Austin Blythe</t>
  </si>
  <si>
    <t>Bubba Bolden</t>
  </si>
  <si>
    <t>Cade Brewer</t>
  </si>
  <si>
    <t>Jordyn Brooks</t>
  </si>
  <si>
    <t>Tre Brown</t>
  </si>
  <si>
    <t>Coby Bryant</t>
  </si>
  <si>
    <t>Artie Burns</t>
  </si>
  <si>
    <t>Ben Burr-Kirven</t>
  </si>
  <si>
    <t>Chris Carson</t>
  </si>
  <si>
    <t>Justin Coleman</t>
  </si>
  <si>
    <t>L.J. Collier</t>
  </si>
  <si>
    <t>Charles Cross</t>
  </si>
  <si>
    <t>Jake Curhan</t>
  </si>
  <si>
    <t>DeeJay Dallas</t>
  </si>
  <si>
    <t>Michael Dickson</t>
  </si>
  <si>
    <t>Quandre Diggs</t>
  </si>
  <si>
    <t>Will Dissly</t>
  </si>
  <si>
    <t>Aaron Donkor</t>
  </si>
  <si>
    <t>Jacob Eason</t>
  </si>
  <si>
    <t>Greg Eiland</t>
  </si>
  <si>
    <t>Dee Eskridge</t>
  </si>
  <si>
    <t>Noah Fant</t>
  </si>
  <si>
    <t>Poona Ford</t>
  </si>
  <si>
    <t>Stone Forsythe</t>
  </si>
  <si>
    <t>Aaron Fuller</t>
  </si>
  <si>
    <t>Shamarious Gilmore</t>
  </si>
  <si>
    <t>Marquise Goodwin</t>
  </si>
  <si>
    <t>Matt Gotel</t>
  </si>
  <si>
    <t>Shelby Harris</t>
  </si>
  <si>
    <t>Penny Hart</t>
  </si>
  <si>
    <t>Phil Haynes</t>
  </si>
  <si>
    <t>Jarrod Hewitt</t>
  </si>
  <si>
    <t>Travis Homer</t>
  </si>
  <si>
    <t>Gabe Jackson</t>
  </si>
  <si>
    <t>Mike Jackson</t>
  </si>
  <si>
    <t>Quinton Jefferson</t>
  </si>
  <si>
    <t>Cade Johnson</t>
  </si>
  <si>
    <t>Elijah Jones</t>
  </si>
  <si>
    <t>Sidney Jones IV</t>
  </si>
  <si>
    <t>Kevin Kassis</t>
  </si>
  <si>
    <t>Damien Lewis</t>
  </si>
  <si>
    <t>Drew Lock</t>
  </si>
  <si>
    <t>Tyler Lockett</t>
  </si>
  <si>
    <t>Abraham Lucas</t>
  </si>
  <si>
    <t>Tyler Mabry</t>
  </si>
  <si>
    <t>Boye Mafe</t>
  </si>
  <si>
    <t>Bo Melton</t>
  </si>
  <si>
    <t>DK Metcalf</t>
  </si>
  <si>
    <t>Bryan Mone</t>
  </si>
  <si>
    <t>Tanner Muse</t>
  </si>
  <si>
    <t>Jason Myers</t>
  </si>
  <si>
    <t>Marist</t>
  </si>
  <si>
    <t>Ryan Neal</t>
  </si>
  <si>
    <t>Southern Illinois</t>
  </si>
  <si>
    <t>Scott Nelson</t>
  </si>
  <si>
    <t>Uchenna Nwosu</t>
  </si>
  <si>
    <t>Joshua Onujiogu</t>
  </si>
  <si>
    <t>Framingham State College</t>
  </si>
  <si>
    <t>Tyler Ott</t>
  </si>
  <si>
    <t>Colby Parkinson</t>
  </si>
  <si>
    <t>Rashaad Penny</t>
  </si>
  <si>
    <t>John Reid</t>
  </si>
  <si>
    <t>Jon Rhattigan</t>
  </si>
  <si>
    <t>Alton Robinson</t>
  </si>
  <si>
    <t>Liam Ryan</t>
  </si>
  <si>
    <t>Dakoda Shepley</t>
  </si>
  <si>
    <t>University of British Columbia</t>
  </si>
  <si>
    <t>Geno Smith</t>
  </si>
  <si>
    <t>Tyreke Smith</t>
  </si>
  <si>
    <t>Freddie Swain</t>
  </si>
  <si>
    <t>Darrell Taylor</t>
  </si>
  <si>
    <t>Cody Thompson</t>
  </si>
  <si>
    <t>Darwin Thompson</t>
  </si>
  <si>
    <t>Kenneth Walker III</t>
  </si>
  <si>
    <t>Deontai Williams</t>
  </si>
  <si>
    <t>Lakiem Williams</t>
  </si>
  <si>
    <t>Al Woods</t>
  </si>
  <si>
    <t>Tariq Woolen</t>
  </si>
  <si>
    <t>Dareke Young</t>
  </si>
  <si>
    <t>CAR</t>
  </si>
  <si>
    <t>Robbie Anderson</t>
  </si>
  <si>
    <t>Josh Babicz</t>
  </si>
  <si>
    <t>Kalon Barnes</t>
  </si>
  <si>
    <t>AmarÃ© Barno</t>
  </si>
  <si>
    <t>Bradley Bozeman</t>
  </si>
  <si>
    <t>Darius Bradwell</t>
  </si>
  <si>
    <t>Deonte Brown</t>
  </si>
  <si>
    <t>Derrick Brown</t>
  </si>
  <si>
    <t>Brian Burns</t>
  </si>
  <si>
    <t>Juston Burris</t>
  </si>
  <si>
    <t>Sean Chandler</t>
  </si>
  <si>
    <t>Elon</t>
  </si>
  <si>
    <t>Jeremy Chinn</t>
  </si>
  <si>
    <t>Brady Christensen</t>
  </si>
  <si>
    <t>Austin Corbett</t>
  </si>
  <si>
    <t>Matt Corral</t>
  </si>
  <si>
    <t>Dennis Daley</t>
  </si>
  <si>
    <t>Sam Darnold</t>
  </si>
  <si>
    <t>Ikem Ekwonu</t>
  </si>
  <si>
    <t>Pat Elflein</t>
  </si>
  <si>
    <t>Cameron Erving</t>
  </si>
  <si>
    <t>Thomas Fletcher</t>
  </si>
  <si>
    <t>D'Onta Foreman</t>
  </si>
  <si>
    <t>Sam Franklin Jr.</t>
  </si>
  <si>
    <t>Zane Gonzalez</t>
  </si>
  <si>
    <t>Isaiah Graham-Mobley</t>
  </si>
  <si>
    <t>Yetur Gross-Matos</t>
  </si>
  <si>
    <t>Madre Harper</t>
  </si>
  <si>
    <t>Myles Hartsfield</t>
  </si>
  <si>
    <t>Marquis Haynes Sr.</t>
  </si>
  <si>
    <t>Johnny Hekker</t>
  </si>
  <si>
    <t>CJ Henderson</t>
  </si>
  <si>
    <t>Ra'Shaun Henry</t>
  </si>
  <si>
    <t>Frank Herron</t>
  </si>
  <si>
    <t>Rashard Higgins</t>
  </si>
  <si>
    <t>Jaycee Horn</t>
  </si>
  <si>
    <t>Mike Horton</t>
  </si>
  <si>
    <t>Phil Hoskins</t>
  </si>
  <si>
    <t>Chuba Hubbard</t>
  </si>
  <si>
    <t>Matt Ioannidis</t>
  </si>
  <si>
    <t>Donte Jackson</t>
  </si>
  <si>
    <t>JJ Jansen</t>
  </si>
  <si>
    <t>Darryl Johnson</t>
  </si>
  <si>
    <t>Drew Jordan</t>
  </si>
  <si>
    <t>Michael Jordan</t>
  </si>
  <si>
    <t>Keith Kirkwood</t>
  </si>
  <si>
    <t>Austin Larkin</t>
  </si>
  <si>
    <t>Cory Littleton</t>
  </si>
  <si>
    <t>Frankie Luvu</t>
  </si>
  <si>
    <t>Terrace Marshall Jr.</t>
  </si>
  <si>
    <t>Kamal Martin</t>
  </si>
  <si>
    <t>Cade Mays</t>
  </si>
  <si>
    <t>Christian McCaffrey</t>
  </si>
  <si>
    <t>Marquan McCall</t>
  </si>
  <si>
    <t>Rashaan Melvin</t>
  </si>
  <si>
    <t>Wyatt Miller</t>
  </si>
  <si>
    <t>DJ Moore</t>
  </si>
  <si>
    <t>Arron Mosby</t>
  </si>
  <si>
    <t>Taylor Moton</t>
  </si>
  <si>
    <t>Daviyon Nixon</t>
  </si>
  <si>
    <t>Andrew Parchment</t>
  </si>
  <si>
    <t>Austen Pleasants</t>
  </si>
  <si>
    <t>Ohio</t>
  </si>
  <si>
    <t>Charleston Rambo</t>
  </si>
  <si>
    <t>Giovanni Ricci</t>
  </si>
  <si>
    <t>Andre Roberts</t>
  </si>
  <si>
    <t>Kenny Robinson</t>
  </si>
  <si>
    <t>Bravvion Roy</t>
  </si>
  <si>
    <t>C.J. Saunders</t>
  </si>
  <si>
    <t>Jared Scott</t>
  </si>
  <si>
    <t>Brandon Smith</t>
  </si>
  <si>
    <t>Shi Smith</t>
  </si>
  <si>
    <t>Julian Stanford</t>
  </si>
  <si>
    <t>Stephen Sullivan</t>
  </si>
  <si>
    <t>Keith Taylor Jr.</t>
  </si>
  <si>
    <t>Sam Tecklenburg</t>
  </si>
  <si>
    <t>Ian Thomas</t>
  </si>
  <si>
    <t>Stantley Thomas-Oliver III</t>
  </si>
  <si>
    <t>Colin Thompson</t>
  </si>
  <si>
    <t>Shaq Thompson</t>
  </si>
  <si>
    <t>Khalan Tolson</t>
  </si>
  <si>
    <t>Tommy Tremble</t>
  </si>
  <si>
    <t>Jacob Tuioti-Mariner</t>
  </si>
  <si>
    <t>PJ Walker</t>
  </si>
  <si>
    <t>Chris Westry</t>
  </si>
  <si>
    <t>Damien Wilson</t>
  </si>
  <si>
    <t>Xavier Woods</t>
  </si>
  <si>
    <t>Derek Wright</t>
  </si>
  <si>
    <t>Brandon Zylstra</t>
  </si>
  <si>
    <t>Concordia (Minn.)</t>
  </si>
  <si>
    <t>NOR</t>
  </si>
  <si>
    <t>Paulson Adebo</t>
  </si>
  <si>
    <t>Josh Andrews</t>
  </si>
  <si>
    <t>Kawaan Baker</t>
  </si>
  <si>
    <t>Zack Baun</t>
  </si>
  <si>
    <t>Josh Black</t>
  </si>
  <si>
    <t>Ian Book</t>
  </si>
  <si>
    <t>Marquez Callaway</t>
  </si>
  <si>
    <t>Taco Charlton</t>
  </si>
  <si>
    <t>Andy Dalton</t>
  </si>
  <si>
    <t>Marcus Davenport</t>
  </si>
  <si>
    <t>Demario Davis</t>
  </si>
  <si>
    <t>Brandon Dillon</t>
  </si>
  <si>
    <t>Marian</t>
  </si>
  <si>
    <t>Dai'Jean Dixon</t>
  </si>
  <si>
    <t>Nicholls State</t>
  </si>
  <si>
    <t>Andrew Dowell</t>
  </si>
  <si>
    <t>Sage Doxtater</t>
  </si>
  <si>
    <t>New Mexico State</t>
  </si>
  <si>
    <t>Kaden Elliss</t>
  </si>
  <si>
    <t>Justin Evans</t>
  </si>
  <si>
    <t>DaMarcus Fields</t>
  </si>
  <si>
    <t>C.J. Gardner-Johnson</t>
  </si>
  <si>
    <t>Blake Gillikin</t>
  </si>
  <si>
    <t>Carl Granderson</t>
  </si>
  <si>
    <t>J.T. Gray</t>
  </si>
  <si>
    <t>Vincent Gray</t>
  </si>
  <si>
    <t>Ethan Greenidge</t>
  </si>
  <si>
    <t>Deonte Harty</t>
  </si>
  <si>
    <t>Assumption College</t>
  </si>
  <si>
    <t>Jerald Hawkins</t>
  </si>
  <si>
    <t>Taysom Hill</t>
  </si>
  <si>
    <t>J.P. Holtz</t>
  </si>
  <si>
    <t>Albert Huggins</t>
  </si>
  <si>
    <t>James Hurst</t>
  </si>
  <si>
    <t>Mark Ingram II</t>
  </si>
  <si>
    <t>D'Marco Jackson</t>
  </si>
  <si>
    <t>Jordan Jackson</t>
  </si>
  <si>
    <t>Jaleel Johnson</t>
  </si>
  <si>
    <t>Juwan Johnson</t>
  </si>
  <si>
    <t>Tony Jones Jr.</t>
  </si>
  <si>
    <t>Cameron Jordan</t>
  </si>
  <si>
    <t>Alvin Kamara</t>
  </si>
  <si>
    <t>Lewis Kidd</t>
  </si>
  <si>
    <t>Tanoh Kpassagnon</t>
  </si>
  <si>
    <t>Lucas Krull</t>
  </si>
  <si>
    <t>Forrest Lamp</t>
  </si>
  <si>
    <t>Jarvis Landry</t>
  </si>
  <si>
    <t>Marshon Lattimore</t>
  </si>
  <si>
    <t>Wil Lutz</t>
  </si>
  <si>
    <t>Dylan Mabin</t>
  </si>
  <si>
    <t>Tyrann Mathieu</t>
  </si>
  <si>
    <t>Marcus Maye</t>
  </si>
  <si>
    <t>Erik McCoy</t>
  </si>
  <si>
    <t>Kirk Merritt</t>
  </si>
  <si>
    <t>Jordan Miller</t>
  </si>
  <si>
    <t>Smoke Monday</t>
  </si>
  <si>
    <t>Chris Olave</t>
  </si>
  <si>
    <t>David Onyemata</t>
  </si>
  <si>
    <t>Manitoba (Canada)</t>
  </si>
  <si>
    <t>Devine Ozigbo</t>
  </si>
  <si>
    <t>Andrus Peat</t>
  </si>
  <si>
    <t>Trevor Penning</t>
  </si>
  <si>
    <t>Adam Prentice</t>
  </si>
  <si>
    <t>Isaiah Pryor</t>
  </si>
  <si>
    <t>Ryan Ramczyk</t>
  </si>
  <si>
    <t>Malcolm Roach</t>
  </si>
  <si>
    <t>Bradley Roby</t>
  </si>
  <si>
    <t>John Parker Romo</t>
  </si>
  <si>
    <t>Cesar Ruiz</t>
  </si>
  <si>
    <t>Derek Schweiger</t>
  </si>
  <si>
    <t>Nephi Sewell</t>
  </si>
  <si>
    <t>Rashid Shaheed</t>
  </si>
  <si>
    <t>Abram Smith</t>
  </si>
  <si>
    <t>Tre'Quan Smith</t>
  </si>
  <si>
    <t>Daniel Sorensen</t>
  </si>
  <si>
    <t>Kentavius Street</t>
  </si>
  <si>
    <t>Bryce Thompson</t>
  </si>
  <si>
    <t>Calvin Throckmorton</t>
  </si>
  <si>
    <t>Adam Trautman</t>
  </si>
  <si>
    <t>Dayton</t>
  </si>
  <si>
    <t>Payton Turner</t>
  </si>
  <si>
    <t>Shy Tuttle</t>
  </si>
  <si>
    <t>Nick Vannett</t>
  </si>
  <si>
    <t>Dwayne Washington</t>
  </si>
  <si>
    <t>Khalique Washington</t>
  </si>
  <si>
    <t>Pete Werner</t>
  </si>
  <si>
    <t>Daniel Whelan</t>
  </si>
  <si>
    <t>Kevin White</t>
  </si>
  <si>
    <t>P.J. Williams</t>
  </si>
  <si>
    <t>Eric Wilson</t>
  </si>
  <si>
    <t>Easop Winston Jr.</t>
  </si>
  <si>
    <t>Jameis Winston</t>
  </si>
  <si>
    <t>Zach Wood</t>
  </si>
  <si>
    <t>Landon Young</t>
  </si>
  <si>
    <t>Dylan Soehner</t>
  </si>
  <si>
    <t>Alontae Taylor</t>
  </si>
  <si>
    <t>TAM</t>
  </si>
  <si>
    <t>Andre Anthony</t>
  </si>
  <si>
    <t>Kenjon Barner</t>
  </si>
  <si>
    <t>Shaquil Barrett</t>
  </si>
  <si>
    <t>Ben Beise</t>
  </si>
  <si>
    <t>Wisconsin River Falls</t>
  </si>
  <si>
    <t>Giovani Bernard</t>
  </si>
  <si>
    <t>Curtis Blackwell</t>
  </si>
  <si>
    <t>Jose Borregales</t>
  </si>
  <si>
    <t>Tom Brady</t>
  </si>
  <si>
    <t>23</t>
  </si>
  <si>
    <t>Cameron Brate</t>
  </si>
  <si>
    <t>K.J. Britt</t>
  </si>
  <si>
    <t>Kameron Brown</t>
  </si>
  <si>
    <t>Jake Camarda</t>
  </si>
  <si>
    <t>Ross Cockrell</t>
  </si>
  <si>
    <t>Dylan Cook</t>
  </si>
  <si>
    <t>Montana</t>
  </si>
  <si>
    <t>Chris Cooper</t>
  </si>
  <si>
    <t>Jaelon Darden</t>
  </si>
  <si>
    <t>Lavonte David</t>
  </si>
  <si>
    <t>Carlton Davis III</t>
  </si>
  <si>
    <t>Jamel Dean</t>
  </si>
  <si>
    <t>Dee Delaney</t>
  </si>
  <si>
    <t>Mike Edwards</t>
  </si>
  <si>
    <t>Mike Evans</t>
  </si>
  <si>
    <t>Olakunle Fatukasi</t>
  </si>
  <si>
    <t>Leonard Fournette</t>
  </si>
  <si>
    <t>Blaine Gabbert</t>
  </si>
  <si>
    <t>Russell Gage</t>
  </si>
  <si>
    <t>Don Gardner</t>
  </si>
  <si>
    <t>Kaylon Geiger</t>
  </si>
  <si>
    <t>William Gholston</t>
  </si>
  <si>
    <t>Cam Gill</t>
  </si>
  <si>
    <t>Chris Godwin</t>
  </si>
  <si>
    <t>Luke Goedeke</t>
  </si>
  <si>
    <t>Cyril Grayson Jr.</t>
  </si>
  <si>
    <t>Mike Greene</t>
  </si>
  <si>
    <t>Ryan Griffin</t>
  </si>
  <si>
    <t>Robert Hainsey</t>
  </si>
  <si>
    <t>Akiem Hicks</t>
  </si>
  <si>
    <t>Sterling Hofrichter</t>
  </si>
  <si>
    <t>JJ Howland</t>
  </si>
  <si>
    <t>Jonathan Hubbard</t>
  </si>
  <si>
    <t>Northwestern State (LA)</t>
  </si>
  <si>
    <t>Sadarius Hutcherson</t>
  </si>
  <si>
    <t>Ryan Jensen</t>
  </si>
  <si>
    <t>Colorado State-Pueblo</t>
  </si>
  <si>
    <t>Fred Johnson</t>
  </si>
  <si>
    <t>Tyler Johnson</t>
  </si>
  <si>
    <t>Ko Kieft</t>
  </si>
  <si>
    <t>Nick Leverett</t>
  </si>
  <si>
    <t>Shaq Mason</t>
  </si>
  <si>
    <t>Zyon McCollum</t>
  </si>
  <si>
    <t>Codey McElroy</t>
  </si>
  <si>
    <t>Southeastern Oklahoma State</t>
  </si>
  <si>
    <t>Kyler McMichael</t>
  </si>
  <si>
    <t>Scotty Miller</t>
  </si>
  <si>
    <t>John Molchon</t>
  </si>
  <si>
    <t>Sean Murphy-Bunting</t>
  </si>
  <si>
    <t>Keanu Neal</t>
  </si>
  <si>
    <t>Anthony Nelson</t>
  </si>
  <si>
    <t>Rakeem Nunez-Roches</t>
  </si>
  <si>
    <t>Patrick O'Connor</t>
  </si>
  <si>
    <t>JoJo Ozougwu</t>
  </si>
  <si>
    <t>Breshad Perriman</t>
  </si>
  <si>
    <t>Elijah Ponder</t>
  </si>
  <si>
    <t>Benning Potoa'e</t>
  </si>
  <si>
    <t>Willington Previlon</t>
  </si>
  <si>
    <t>Rashard Robinson</t>
  </si>
  <si>
    <t>J.J. Russell</t>
  </si>
  <si>
    <t>Logan Ryan</t>
  </si>
  <si>
    <t>Deadrin Senat</t>
  </si>
  <si>
    <t>Donovan Smith</t>
  </si>
  <si>
    <t>Vyncint Smith</t>
  </si>
  <si>
    <t>Limestone</t>
  </si>
  <si>
    <t>Jerreth Sterns</t>
  </si>
  <si>
    <t>Aaron Stinnie</t>
  </si>
  <si>
    <t>Grant Stuard</t>
  </si>
  <si>
    <t>Ryan Succop</t>
  </si>
  <si>
    <t>Deven Thompkins</t>
  </si>
  <si>
    <t>Kyle Trask</t>
  </si>
  <si>
    <t>Zach Triner</t>
  </si>
  <si>
    <t>Assumption</t>
  </si>
  <si>
    <t>Joe Tryon-Shoyinka</t>
  </si>
  <si>
    <t>Nolan Turner</t>
  </si>
  <si>
    <t>Ke'Shawn Vaughn</t>
  </si>
  <si>
    <t>Vita Vea</t>
  </si>
  <si>
    <t>Brandon Walton</t>
  </si>
  <si>
    <t>Troy Warner</t>
  </si>
  <si>
    <t>Josh Wells</t>
  </si>
  <si>
    <t>Devin White</t>
  </si>
  <si>
    <t>Rachaad White</t>
  </si>
  <si>
    <t>Antoine Winfield Jr.</t>
  </si>
  <si>
    <t>Tristan Wirfs</t>
  </si>
  <si>
    <t>Jordan Young</t>
  </si>
  <si>
    <t>Logan Hall</t>
  </si>
  <si>
    <t>Cade Otton</t>
  </si>
  <si>
    <t>Ali Marpet</t>
  </si>
  <si>
    <t>Hobart</t>
  </si>
  <si>
    <t>CHI</t>
  </si>
  <si>
    <t>Matt Adams</t>
  </si>
  <si>
    <t>Christian Albright</t>
  </si>
  <si>
    <t>Jon Alexander</t>
  </si>
  <si>
    <t>Chase Allen</t>
  </si>
  <si>
    <t>Auzoyah Alufohai</t>
  </si>
  <si>
    <t>C.J. Avery</t>
  </si>
  <si>
    <t>Angelo Blackson</t>
  </si>
  <si>
    <t>Khari Blasingame</t>
  </si>
  <si>
    <t>Larry Borom</t>
  </si>
  <si>
    <t>Jaquan Brisker</t>
  </si>
  <si>
    <t>Ja'Tyre Carter</t>
  </si>
  <si>
    <t>Southern</t>
  </si>
  <si>
    <t>Shon Coleman</t>
  </si>
  <si>
    <t>Isaiah Coulter</t>
  </si>
  <si>
    <t>Dane Cruikshank</t>
  </si>
  <si>
    <t>JuliÃ©n Davenport</t>
  </si>
  <si>
    <t>Bucknell</t>
  </si>
  <si>
    <t>Noah Dawkins</t>
  </si>
  <si>
    <t>Jean Delance</t>
  </si>
  <si>
    <t>Micah Dew-Treadway</t>
  </si>
  <si>
    <t>Trestan Ebner</t>
  </si>
  <si>
    <t>Mario Edwards Jr.</t>
  </si>
  <si>
    <t>Dieter Eiselen</t>
  </si>
  <si>
    <t>Darrynton Evans</t>
  </si>
  <si>
    <t>Justin Fields</t>
  </si>
  <si>
    <t>Chris Finke</t>
  </si>
  <si>
    <t>Trenton Gill</t>
  </si>
  <si>
    <t>Trevis Gipson</t>
  </si>
  <si>
    <t>Kyler Gordon</t>
  </si>
  <si>
    <t>Thomas Graham Jr.</t>
  </si>
  <si>
    <t>Allie Green IV</t>
  </si>
  <si>
    <t>Khalil Herbert</t>
  </si>
  <si>
    <t>Elijah Hicks</t>
  </si>
  <si>
    <t>DeAndre Houston-Carson</t>
  </si>
  <si>
    <t>Eddie Jackson</t>
  </si>
  <si>
    <t>Teven Jenkins</t>
  </si>
  <si>
    <t>Rysen John</t>
  </si>
  <si>
    <t>Simon Fraser</t>
  </si>
  <si>
    <t>Caleb Johnson</t>
  </si>
  <si>
    <t>Houston Baptist University</t>
  </si>
  <si>
    <t>Jaylon Johnson</t>
  </si>
  <si>
    <t>Braxton Jones</t>
  </si>
  <si>
    <t>Jaylon Jones</t>
  </si>
  <si>
    <t>Justin Jones</t>
  </si>
  <si>
    <t>Velus Jones Jr.</t>
  </si>
  <si>
    <t>Michael Joseph</t>
  </si>
  <si>
    <t>Dubuque</t>
  </si>
  <si>
    <t>Sam Kamara</t>
  </si>
  <si>
    <t>BoPete Keyes</t>
  </si>
  <si>
    <t>Cole Kmet</t>
  </si>
  <si>
    <t>Doug Kramer</t>
  </si>
  <si>
    <t>LaCale London</t>
  </si>
  <si>
    <t>David Montgomery</t>
  </si>
  <si>
    <t>Darnell Mooney</t>
  </si>
  <si>
    <t>East Central</t>
  </si>
  <si>
    <t>Nicholas Morrow</t>
  </si>
  <si>
    <t>Greenville</t>
  </si>
  <si>
    <t>Al-Quadin Muhammad</t>
  </si>
  <si>
    <t>Sam Mustipher</t>
  </si>
  <si>
    <t>Dazz Newsome</t>
  </si>
  <si>
    <t>James O'Shaughnessy</t>
  </si>
  <si>
    <t>Lucas Patrick</t>
  </si>
  <si>
    <t>Mike Pennel Jr.</t>
  </si>
  <si>
    <t>Nathan Peterman</t>
  </si>
  <si>
    <t>Dante Pettis</t>
  </si>
  <si>
    <t>Byron Pringle</t>
  </si>
  <si>
    <t>Robert Quinn</t>
  </si>
  <si>
    <t>Dominique Robinson</t>
  </si>
  <si>
    <t>Jack Sanborn</t>
  </si>
  <si>
    <t>Cairo Santos</t>
  </si>
  <si>
    <t>Patrick Scales</t>
  </si>
  <si>
    <t>Kevin Shaa</t>
  </si>
  <si>
    <t>Tajae Sharpe</t>
  </si>
  <si>
    <t>Duke Shelley</t>
  </si>
  <si>
    <t>Trevor Siemian</t>
  </si>
  <si>
    <t>Lachavious Simmons</t>
  </si>
  <si>
    <t>Tennessee State</t>
  </si>
  <si>
    <t>Roquan Smith</t>
  </si>
  <si>
    <t>Charles Snowden</t>
  </si>
  <si>
    <t>Equanimeous St. Brown</t>
  </si>
  <si>
    <t>Jayson Stanley</t>
  </si>
  <si>
    <t>Greg Stroman Jr.</t>
  </si>
  <si>
    <t>Carson Taylor</t>
  </si>
  <si>
    <t>Northern Arizona</t>
  </si>
  <si>
    <t>A.J. Thomas</t>
  </si>
  <si>
    <t>Joe Thomas</t>
  </si>
  <si>
    <t>Zachary Thomas</t>
  </si>
  <si>
    <t>Khyiris Tonga</t>
  </si>
  <si>
    <t>Jake Tonges</t>
  </si>
  <si>
    <t>De'Montre Tuggle</t>
  </si>
  <si>
    <t>Kindle Vildor</t>
  </si>
  <si>
    <t>Nsimba Webster</t>
  </si>
  <si>
    <t>Cody Whitehair</t>
  </si>
  <si>
    <t>Willie Wright</t>
  </si>
  <si>
    <t>Tavon Young</t>
  </si>
  <si>
    <t>Dakota Dozier</t>
  </si>
  <si>
    <t>Furman</t>
  </si>
  <si>
    <t>DAL</t>
  </si>
  <si>
    <t>Isaac AlarcÃ³n</t>
  </si>
  <si>
    <t>Monterrey Tech</t>
  </si>
  <si>
    <t>Bryan Anger</t>
  </si>
  <si>
    <t>Dorance Armstrong</t>
  </si>
  <si>
    <t>Josh Ball</t>
  </si>
  <si>
    <t>Tarell Basham</t>
  </si>
  <si>
    <t>Markquese Bell</t>
  </si>
  <si>
    <t>Florida A&amp;M</t>
  </si>
  <si>
    <t>Tyler Biadasz</t>
  </si>
  <si>
    <t>DaRon Bland</t>
  </si>
  <si>
    <t>Quinton Bohanna</t>
  </si>
  <si>
    <t>Devante Bond</t>
  </si>
  <si>
    <t>Josiah Bronson</t>
  </si>
  <si>
    <t>Kyron Brown</t>
  </si>
  <si>
    <t>Noah Brown</t>
  </si>
  <si>
    <t>Markaviest Bryant</t>
  </si>
  <si>
    <t>Ian Bunting</t>
  </si>
  <si>
    <t>Damone Clark</t>
  </si>
  <si>
    <t>Aviante Collins</t>
  </si>
  <si>
    <t>Jabril Cox</t>
  </si>
  <si>
    <t>Tyler Coyle</t>
  </si>
  <si>
    <t>Malik Davis</t>
  </si>
  <si>
    <t>Trevon Diggs</t>
  </si>
  <si>
    <t>Ben DiNucci</t>
  </si>
  <si>
    <t>Rico Dowdle</t>
  </si>
  <si>
    <t>Dontario Drummond</t>
  </si>
  <si>
    <t>Ezekiel Elliott</t>
  </si>
  <si>
    <t>James Empey</t>
  </si>
  <si>
    <t>Austin Faoliu</t>
  </si>
  <si>
    <t>Matt Farniok</t>
  </si>
  <si>
    <t>Simi Fehoko</t>
  </si>
  <si>
    <t>Jake Ferguson</t>
  </si>
  <si>
    <t>Dante Fowler Jr.</t>
  </si>
  <si>
    <t>Ty Fryfogle</t>
  </si>
  <si>
    <t>Neville Gallimore</t>
  </si>
  <si>
    <t>Michael Gallup</t>
  </si>
  <si>
    <t>Jonathan Garibay</t>
  </si>
  <si>
    <t>Luke Gifford</t>
  </si>
  <si>
    <t>Chauncey Golston</t>
  </si>
  <si>
    <t>C.J. Goodwin</t>
  </si>
  <si>
    <t>Will Grier</t>
  </si>
  <si>
    <t>Aaron Hansford</t>
  </si>
  <si>
    <t>Devin Harper</t>
  </si>
  <si>
    <t>Peyton Hendershot</t>
  </si>
  <si>
    <t>Trysten Hill</t>
  </si>
  <si>
    <t>Malik Hooker</t>
  </si>
  <si>
    <t>Dennis Houston</t>
  </si>
  <si>
    <t>Storey Jackson</t>
  </si>
  <si>
    <t>Braylon Jones</t>
  </si>
  <si>
    <t>Kelvin Joseph</t>
  </si>
  <si>
    <t>Jayron Kearse</t>
  </si>
  <si>
    <t>CeeDee Lamb</t>
  </si>
  <si>
    <t>DeMarcus Lawrence</t>
  </si>
  <si>
    <t>Jourdan Lewis</t>
  </si>
  <si>
    <t>Alec Lindstrom</t>
  </si>
  <si>
    <t>Zack Martin</t>
  </si>
  <si>
    <t>Sean McKeon</t>
  </si>
  <si>
    <t>Jake McQuaide</t>
  </si>
  <si>
    <t>Quandre Mosely</t>
  </si>
  <si>
    <t>Israel Mukuamu</t>
  </si>
  <si>
    <t>Ryan Nall</t>
  </si>
  <si>
    <t>Osa Odighizuwa</t>
  </si>
  <si>
    <t>Micah Parsons</t>
  </si>
  <si>
    <t>Tony Pollard</t>
  </si>
  <si>
    <t>Dak Prescott</t>
  </si>
  <si>
    <t>Nick Ralston</t>
  </si>
  <si>
    <t>John Ridgeway</t>
  </si>
  <si>
    <t>Jaquarii Robinson</t>
  </si>
  <si>
    <t>Cooper Rush</t>
  </si>
  <si>
    <t>Dalton Schultz</t>
  </si>
  <si>
    <t>Aaron Shampklin</t>
  </si>
  <si>
    <t>Amon Simon</t>
  </si>
  <si>
    <t>Tyler Smith</t>
  </si>
  <si>
    <t>Tyron Smith</t>
  </si>
  <si>
    <t>Jeremy Sprinkle</t>
  </si>
  <si>
    <t>Terence Steele</t>
  </si>
  <si>
    <t>Mike Tafua</t>
  </si>
  <si>
    <t>Isaac Taylor-Stuart</t>
  </si>
  <si>
    <t>Juanyeh Thomas</t>
  </si>
  <si>
    <t>Jalen Tolbert</t>
  </si>
  <si>
    <t>Leighton Vander Esch</t>
  </si>
  <si>
    <t>T.J. Vasher</t>
  </si>
  <si>
    <t>Matt Waletzko</t>
  </si>
  <si>
    <t>North Dakota</t>
  </si>
  <si>
    <t>James Washington</t>
  </si>
  <si>
    <t>Carlos Watkins</t>
  </si>
  <si>
    <t>Sam Williams</t>
  </si>
  <si>
    <t>Donovan Wilson</t>
  </si>
  <si>
    <t>Nahshon Wright</t>
  </si>
  <si>
    <t>PHI</t>
  </si>
  <si>
    <t>Devon Allen</t>
  </si>
  <si>
    <t>Jack Anderson</t>
  </si>
  <si>
    <t>J.J. Arcega-Whiteside</t>
  </si>
  <si>
    <t>Kayode Awosika</t>
  </si>
  <si>
    <t>Derek Barnett</t>
  </si>
  <si>
    <t>Josh Blackwell</t>
  </si>
  <si>
    <t>Reed Blankenship</t>
  </si>
  <si>
    <t>James Bradberry</t>
  </si>
  <si>
    <t>Shaun Bradley</t>
  </si>
  <si>
    <t>Kennedy Brooks</t>
  </si>
  <si>
    <t>A.J. Brown</t>
  </si>
  <si>
    <t>Deon Cain</t>
  </si>
  <si>
    <t>Grant Calcaterra</t>
  </si>
  <si>
    <t>Andre Chachere</t>
  </si>
  <si>
    <t>Le'Raven Clark</t>
  </si>
  <si>
    <t>Britain Covey</t>
  </si>
  <si>
    <t>Fletcher Cox</t>
  </si>
  <si>
    <t>Jordan Davis</t>
  </si>
  <si>
    <t>Nakobe Dean</t>
  </si>
  <si>
    <t>Landon Dickerson</t>
  </si>
  <si>
    <t>Andre Dillard</t>
  </si>
  <si>
    <t>Jack Driscoll</t>
  </si>
  <si>
    <t>William Dunkle</t>
  </si>
  <si>
    <t>T.J. Edwards</t>
  </si>
  <si>
    <t>Jake Elliott</t>
  </si>
  <si>
    <t>Christian Elliss</t>
  </si>
  <si>
    <t>Noah Elliss</t>
  </si>
  <si>
    <t>Marcus Epps</t>
  </si>
  <si>
    <t>Ali Fayad</t>
  </si>
  <si>
    <t>Kenneth Gainwell</t>
  </si>
  <si>
    <t>Dallas Goedert</t>
  </si>
  <si>
    <t>Mario Goodrich</t>
  </si>
  <si>
    <t>Tay Gowan</t>
  </si>
  <si>
    <t>Brandon Graham</t>
  </si>
  <si>
    <t>Josh Hammond</t>
  </si>
  <si>
    <t>Javon Hargrave</t>
  </si>
  <si>
    <t>Anthony Harris</t>
  </si>
  <si>
    <t>John Hightower</t>
  </si>
  <si>
    <t>Jason Huntley</t>
  </si>
  <si>
    <t>Jalen Hurts</t>
  </si>
  <si>
    <t>Tarron Jackson</t>
  </si>
  <si>
    <t>Tyree Jackson</t>
  </si>
  <si>
    <t>Josh Jobe</t>
  </si>
  <si>
    <t>Lane Johnson</t>
  </si>
  <si>
    <t>Kyron Johnson</t>
  </si>
  <si>
    <t>Patrick Johnson</t>
  </si>
  <si>
    <t>Jason Kelce</t>
  </si>
  <si>
    <t>Matt Leo</t>
  </si>
  <si>
    <t>Rick Lovato</t>
  </si>
  <si>
    <t>Avonte Maddox</t>
  </si>
  <si>
    <t>Jordan Mailata</t>
  </si>
  <si>
    <t>Jared Mayden</t>
  </si>
  <si>
    <t>Mac McCain III</t>
  </si>
  <si>
    <t>Zech McPhearson</t>
  </si>
  <si>
    <t>Gardner Minshew</t>
  </si>
  <si>
    <t>Jimmy Moreland</t>
  </si>
  <si>
    <t>Sua Opeta</t>
  </si>
  <si>
    <t>Zach Pascal</t>
  </si>
  <si>
    <t>Jalen Reagor</t>
  </si>
  <si>
    <t>Haason Reddick</t>
  </si>
  <si>
    <t>Richard Rodgers</t>
  </si>
  <si>
    <t>Miles Sanders</t>
  </si>
  <si>
    <t>Boston Scott</t>
  </si>
  <si>
    <t>Josiah Scott</t>
  </si>
  <si>
    <t>Isaac Seumalo</t>
  </si>
  <si>
    <t>Josh Sills</t>
  </si>
  <si>
    <t>Reid Sinnett</t>
  </si>
  <si>
    <t>Arryn Siposs</t>
  </si>
  <si>
    <t>Darius Slay</t>
  </si>
  <si>
    <t>DeVonta Smith</t>
  </si>
  <si>
    <t>JaCoby Stevens</t>
  </si>
  <si>
    <t>Jack Stoll</t>
  </si>
  <si>
    <t>Carson Strong</t>
  </si>
  <si>
    <t>Josh Sweat</t>
  </si>
  <si>
    <t>Davion Taylor</t>
  </si>
  <si>
    <t>Noah Togiai</t>
  </si>
  <si>
    <t>Brett Toth</t>
  </si>
  <si>
    <t>Marlon Tuipulotu</t>
  </si>
  <si>
    <t>Kary Vincent Jr.</t>
  </si>
  <si>
    <t>K'Von Wallace</t>
  </si>
  <si>
    <t>Greg Ward</t>
  </si>
  <si>
    <t>Quez Watkins</t>
  </si>
  <si>
    <t>Keric Wheatfall</t>
  </si>
  <si>
    <t>Kyzir White</t>
  </si>
  <si>
    <t>Jarrid Williams</t>
  </si>
  <si>
    <t>Milton Williams</t>
  </si>
  <si>
    <t>Marvin Wilson</t>
  </si>
  <si>
    <t>Renell Wren</t>
  </si>
  <si>
    <t>Cam Jurgens</t>
  </si>
  <si>
    <t>NYG</t>
  </si>
  <si>
    <t>Jordan Akins</t>
  </si>
  <si>
    <t>Austin Allen</t>
  </si>
  <si>
    <t>Ryder Anderson</t>
  </si>
  <si>
    <t>Alex Bachman</t>
  </si>
  <si>
    <t>Saquon Barkley</t>
  </si>
  <si>
    <t>Darrian Beavers</t>
  </si>
  <si>
    <t>Henry Black</t>
  </si>
  <si>
    <t>C.J. Board</t>
  </si>
  <si>
    <t>Ben Bredeson</t>
  </si>
  <si>
    <t>Matt Breida</t>
  </si>
  <si>
    <t>Gary Brightwell</t>
  </si>
  <si>
    <t>Cam Brown</t>
  </si>
  <si>
    <t>Maurice Canady</t>
  </si>
  <si>
    <t>Jashaun Corbin</t>
  </si>
  <si>
    <t>Yusuf Corker</t>
  </si>
  <si>
    <t>Carter Coughlin</t>
  </si>
  <si>
    <t>Tae Crowder</t>
  </si>
  <si>
    <t>Korey Cunningham</t>
  </si>
  <si>
    <t>D.J. Davidson</t>
  </si>
  <si>
    <t>Khalil Dorsey</t>
  </si>
  <si>
    <t>Keelan Doss</t>
  </si>
  <si>
    <t>Jamil Douglas</t>
  </si>
  <si>
    <t>Jabari Ellis</t>
  </si>
  <si>
    <t>Justin Ellis</t>
  </si>
  <si>
    <t>Darren Evans</t>
  </si>
  <si>
    <t>Joshua Ezeudu</t>
  </si>
  <si>
    <t>Jon Feliciano</t>
  </si>
  <si>
    <t>Cor'Dale Flott</t>
  </si>
  <si>
    <t>Robert Foster</t>
  </si>
  <si>
    <t>Tomon Fox</t>
  </si>
  <si>
    <t>Graham Gano</t>
  </si>
  <si>
    <t>Max Garcia</t>
  </si>
  <si>
    <t>Nick Gates</t>
  </si>
  <si>
    <t>Zyon Gilbert</t>
  </si>
  <si>
    <t>Jamie Gillan</t>
  </si>
  <si>
    <t>Mark Glowinski</t>
  </si>
  <si>
    <t>Kenny Golladay</t>
  </si>
  <si>
    <t>Matt Gono</t>
  </si>
  <si>
    <t>Wesley</t>
  </si>
  <si>
    <t>Jeremiah Hall</t>
  </si>
  <si>
    <t>Devery Hamilton</t>
  </si>
  <si>
    <t>Justin Hilliard</t>
  </si>
  <si>
    <t>Christopher Hinton</t>
  </si>
  <si>
    <t>Darnay Holmes</t>
  </si>
  <si>
    <t>Jalyn Holmes</t>
  </si>
  <si>
    <t>Adoree' Jackson</t>
  </si>
  <si>
    <t>Michael Jacquet III</t>
  </si>
  <si>
    <t>Richie James</t>
  </si>
  <si>
    <t>Collin Johnson</t>
  </si>
  <si>
    <t>Daniel Jones</t>
  </si>
  <si>
    <t>Casey Kreiter</t>
  </si>
  <si>
    <t>Niko Lalos</t>
  </si>
  <si>
    <t>Dartmouth</t>
  </si>
  <si>
    <t>Dexter Lawrence</t>
  </si>
  <si>
    <t>Shane Lemieux</t>
  </si>
  <si>
    <t>Julian Love</t>
  </si>
  <si>
    <t>Blake Martinez</t>
  </si>
  <si>
    <t>Roy Mbaeteka</t>
  </si>
  <si>
    <t>Micah McFadden</t>
  </si>
  <si>
    <t>Marcus McKethan</t>
  </si>
  <si>
    <t>Xavier McKinney</t>
  </si>
  <si>
    <t>Andre Miller</t>
  </si>
  <si>
    <t>David Moa</t>
  </si>
  <si>
    <t>Chris Myarick</t>
  </si>
  <si>
    <t>Evan Neal</t>
  </si>
  <si>
    <t>Azeez Ojulari</t>
  </si>
  <si>
    <t>Matt Peart</t>
  </si>
  <si>
    <t>Sandro Platzgummer</t>
  </si>
  <si>
    <t>Austin Proehl</t>
  </si>
  <si>
    <t>Josh Rivas</t>
  </si>
  <si>
    <t>Aaron Robinson</t>
  </si>
  <si>
    <t>Quincy Roche</t>
  </si>
  <si>
    <t>Ricky Seals-Jones</t>
  </si>
  <si>
    <t>Sterling Shepard</t>
  </si>
  <si>
    <t>David Sills V</t>
  </si>
  <si>
    <t>Darius Slayton</t>
  </si>
  <si>
    <t>Elerson Smith</t>
  </si>
  <si>
    <t>Tyrod Taylor</t>
  </si>
  <si>
    <t>Kayvon Thibodeaux</t>
  </si>
  <si>
    <t>Andrew Thomas</t>
  </si>
  <si>
    <t>Trenton Thompson</t>
  </si>
  <si>
    <t>Travis Toivonen</t>
  </si>
  <si>
    <t>Kadarius Toney</t>
  </si>
  <si>
    <t>Jihad Ward</t>
  </si>
  <si>
    <t>Davis Webb</t>
  </si>
  <si>
    <t>Antonio Williams</t>
  </si>
  <si>
    <t>Jarren Williams</t>
  </si>
  <si>
    <t>Leonard Williams</t>
  </si>
  <si>
    <t>Rodarius Williams</t>
  </si>
  <si>
    <t>Oshane Ximines</t>
  </si>
  <si>
    <t>Daniel Bellinger</t>
  </si>
  <si>
    <t>Dane Belton</t>
  </si>
  <si>
    <t>Wan'Dale Robinson</t>
  </si>
  <si>
    <t>WAS</t>
  </si>
  <si>
    <t>Jonathan Allen</t>
  </si>
  <si>
    <t>Troy Apke</t>
  </si>
  <si>
    <t>Alex Armah</t>
  </si>
  <si>
    <t>David Bada</t>
  </si>
  <si>
    <t>John Bates</t>
  </si>
  <si>
    <t>Willie Beavers</t>
  </si>
  <si>
    <t>Beau Benzschawel</t>
  </si>
  <si>
    <t>Reggie Bonofon</t>
  </si>
  <si>
    <t>Will Bradley-King</t>
  </si>
  <si>
    <t>Dyami Brown</t>
  </si>
  <si>
    <t>Percy Butler</t>
  </si>
  <si>
    <t>Deion Calhoun</t>
  </si>
  <si>
    <t>Saahdiq Charles</t>
  </si>
  <si>
    <t>Camaron Cheeseman</t>
  </si>
  <si>
    <t>Tyler Clark</t>
  </si>
  <si>
    <t>Sam Cosmi</t>
  </si>
  <si>
    <t>Kamren Curl</t>
  </si>
  <si>
    <t>Jamin Davis</t>
  </si>
  <si>
    <t>Jahan Dotson</t>
  </si>
  <si>
    <t>Josh Drayden</t>
  </si>
  <si>
    <t>Milo Eifler</t>
  </si>
  <si>
    <t>Corn Elder</t>
  </si>
  <si>
    <t>Alex Erickson</t>
  </si>
  <si>
    <t>Jequez Ezzard</t>
  </si>
  <si>
    <t>Darrick Forrest</t>
  </si>
  <si>
    <t>Kendall Fuller</t>
  </si>
  <si>
    <t>Antonio Gandy-Golden</t>
  </si>
  <si>
    <t>Ferrod Gardner</t>
  </si>
  <si>
    <t>Antonio Gibson</t>
  </si>
  <si>
    <t>Justin Hamilton</t>
  </si>
  <si>
    <t>Kelvin Harmon</t>
  </si>
  <si>
    <t>De'Jon Harris</t>
  </si>
  <si>
    <t>Taylor Heinicke</t>
  </si>
  <si>
    <t>Curtis Hodges</t>
  </si>
  <si>
    <t>Cole Holcomb</t>
  </si>
  <si>
    <t>Christian Holmes</t>
  </si>
  <si>
    <t>Sam Howell</t>
  </si>
  <si>
    <t>Khaleke Hudson</t>
  </si>
  <si>
    <t>Keith Ismael</t>
  </si>
  <si>
    <t>William Jackson III</t>
  </si>
  <si>
    <t>Danny Johnson</t>
  </si>
  <si>
    <t>Southern University</t>
  </si>
  <si>
    <t>Cole Kelley</t>
  </si>
  <si>
    <t>Southeastern Louisiana</t>
  </si>
  <si>
    <t>Tyler Larsen</t>
  </si>
  <si>
    <t>Nolan Laufenberg</t>
  </si>
  <si>
    <t>Charles Leno Jr.</t>
  </si>
  <si>
    <t>Cornelius Lucas</t>
  </si>
  <si>
    <t>Phidarian Mathis</t>
  </si>
  <si>
    <t>David Mayo</t>
  </si>
  <si>
    <t>Bobby McCain</t>
  </si>
  <si>
    <t>Kyric McGowan</t>
  </si>
  <si>
    <t>J.D. McKissic</t>
  </si>
  <si>
    <t>Terry McLaurin</t>
  </si>
  <si>
    <t>Marken Michel</t>
  </si>
  <si>
    <t>Dax Milne</t>
  </si>
  <si>
    <t>Aaron Monteiro</t>
  </si>
  <si>
    <t>Andrew Norwell</t>
  </si>
  <si>
    <t>Bryce Notree</t>
  </si>
  <si>
    <t>Efe Obada</t>
  </si>
  <si>
    <t>Jacub Panasiuk</t>
  </si>
  <si>
    <t>Jaret Patterson</t>
  </si>
  <si>
    <t>Chris Paul</t>
  </si>
  <si>
    <t>Daron Payne</t>
  </si>
  <si>
    <t>Jeremy Reaves</t>
  </si>
  <si>
    <t>Sammis Reyes</t>
  </si>
  <si>
    <t>Loyola University</t>
  </si>
  <si>
    <t>Brian Robinson</t>
  </si>
  <si>
    <t>Tyrese Robinson</t>
  </si>
  <si>
    <t>Armani Rogers</t>
  </si>
  <si>
    <t>Bunmi Rotimi</t>
  </si>
  <si>
    <t>Chase Roullier</t>
  </si>
  <si>
    <t>Curtis Samuel</t>
  </si>
  <si>
    <t>Wes Schweitzer</t>
  </si>
  <si>
    <t>Cam Sims</t>
  </si>
  <si>
    <t>Joey Slye</t>
  </si>
  <si>
    <t>James Smith-Williams</t>
  </si>
  <si>
    <t>Benjamin St-Juste</t>
  </si>
  <si>
    <t>Montez Sweat</t>
  </si>
  <si>
    <t>Logan Thomas</t>
  </si>
  <si>
    <t>Shaka Toney</t>
  </si>
  <si>
    <t>Casey Toohill</t>
  </si>
  <si>
    <t>Jon Toth</t>
  </si>
  <si>
    <t>Cole Turner</t>
  </si>
  <si>
    <t>Trai Turner</t>
  </si>
  <si>
    <t>Tre Walker</t>
  </si>
  <si>
    <t>Tress Way</t>
  </si>
  <si>
    <t>Carson Wentz</t>
  </si>
  <si>
    <t>Drew White</t>
  </si>
  <si>
    <t>Jonathan Williams</t>
  </si>
  <si>
    <t>Daniel Wise</t>
  </si>
  <si>
    <t>Chase Young</t>
  </si>
  <si>
    <t>DET</t>
  </si>
  <si>
    <t>Alex Anzalone</t>
  </si>
  <si>
    <t>Eric Banks</t>
  </si>
  <si>
    <t>Derrick Barnes</t>
  </si>
  <si>
    <t>Greg Bell</t>
  </si>
  <si>
    <t>Trinity Benson</t>
  </si>
  <si>
    <t>David Blough</t>
  </si>
  <si>
    <t>Chris Board</t>
  </si>
  <si>
    <t>Cedric Boswell</t>
  </si>
  <si>
    <t>Tim Boyle</t>
  </si>
  <si>
    <t>Brady Breeze</t>
  </si>
  <si>
    <t>Michael Brockers</t>
  </si>
  <si>
    <t>Evan Brown</t>
  </si>
  <si>
    <t>Austin Bryant</t>
  </si>
  <si>
    <t>Jason Cabinda</t>
  </si>
  <si>
    <t>Quintez Cephus</t>
  </si>
  <si>
    <t>DJ Chark</t>
  </si>
  <si>
    <t>John Cominsky</t>
  </si>
  <si>
    <t>Jashon Cornell</t>
  </si>
  <si>
    <t>Scott Daly</t>
  </si>
  <si>
    <t>Jarrad Davis</t>
  </si>
  <si>
    <t>Taylor Decker</t>
  </si>
  <si>
    <t>Derrick Deese Jr.</t>
  </si>
  <si>
    <t>DeShon Elliott</t>
  </si>
  <si>
    <t>Obinna Eze</t>
  </si>
  <si>
    <t>Jack Fox</t>
  </si>
  <si>
    <t>Devin Funchess</t>
  </si>
  <si>
    <t>Mark Gilbert</t>
  </si>
  <si>
    <t>Nolan Givan</t>
  </si>
  <si>
    <t>Jared Goff</t>
  </si>
  <si>
    <t>Garrett Griffin</t>
  </si>
  <si>
    <t>Shaun Dion Hamilton</t>
  </si>
  <si>
    <t>Charles Harris</t>
  </si>
  <si>
    <t>Will Harris</t>
  </si>
  <si>
    <t>Bruce Hector</t>
  </si>
  <si>
    <t>T.J. Hockenson</t>
  </si>
  <si>
    <t>James Houston</t>
  </si>
  <si>
    <t>JuJu Hughes</t>
  </si>
  <si>
    <t>Mike Hughes</t>
  </si>
  <si>
    <t>Aidan Hutchinson</t>
  </si>
  <si>
    <t>Godwin Igwebuike</t>
  </si>
  <si>
    <t>Jonah Jackson</t>
  </si>
  <si>
    <t>Jerry Jacobs</t>
  </si>
  <si>
    <t>Kevin Jarvis</t>
  </si>
  <si>
    <t>Jermar Jefferson</t>
  </si>
  <si>
    <t>Kerby Joseph</t>
  </si>
  <si>
    <t>Tom Kennedy</t>
  </si>
  <si>
    <t>Bryant</t>
  </si>
  <si>
    <t>Tommy Kraemer</t>
  </si>
  <si>
    <t>Chase Lucas</t>
  </si>
  <si>
    <t>Ryan McCollum</t>
  </si>
  <si>
    <t>Alim McNeill</t>
  </si>
  <si>
    <t>Ifeatu Melifonwu</t>
  </si>
  <si>
    <t>James Mitchell</t>
  </si>
  <si>
    <t>C.J. Moore</t>
  </si>
  <si>
    <t>Matt Nelson</t>
  </si>
  <si>
    <t>Zein Obeid</t>
  </si>
  <si>
    <t>Jeff Okudah</t>
  </si>
  <si>
    <t>Julian Okwara</t>
  </si>
  <si>
    <t>Romeo Okwara</t>
  </si>
  <si>
    <t>Levi Onwuzurike</t>
  </si>
  <si>
    <t>Amani Oruwariye</t>
  </si>
  <si>
    <t>AJ Parker</t>
  </si>
  <si>
    <t>Josh Paschal</t>
  </si>
  <si>
    <t>Natrez Patrick</t>
  </si>
  <si>
    <t>Riley Patterson</t>
  </si>
  <si>
    <t>John Penisini</t>
  </si>
  <si>
    <t>Kalil Pimpleton</t>
  </si>
  <si>
    <t>Anthony Pittman</t>
  </si>
  <si>
    <t>Wayne St.</t>
  </si>
  <si>
    <t>Bobby Price</t>
  </si>
  <si>
    <t>Frank Ragnow</t>
  </si>
  <si>
    <t>Kalif Raymond</t>
  </si>
  <si>
    <t>Craig Reynolds</t>
  </si>
  <si>
    <t>Kutztown</t>
  </si>
  <si>
    <t>Josh Reynolds</t>
  </si>
  <si>
    <t>Malcolm Rodriguez</t>
  </si>
  <si>
    <t>Austin Seibert</t>
  </si>
  <si>
    <t>Penei Sewell</t>
  </si>
  <si>
    <t>Dan Skipper</t>
  </si>
  <si>
    <t>Saivion Smith</t>
  </si>
  <si>
    <t>Amon-Ra St. Brown</t>
  </si>
  <si>
    <t>Logan Stenberg</t>
  </si>
  <si>
    <t>Corey Sutton</t>
  </si>
  <si>
    <t>D'Andre Swift</t>
  </si>
  <si>
    <t>Demetrius Taylor</t>
  </si>
  <si>
    <t>Halapoulivaati Vaitai</t>
  </si>
  <si>
    <t>Tracy Walker III</t>
  </si>
  <si>
    <t>Jamaal Williams</t>
  </si>
  <si>
    <t>Jameson Williams</t>
  </si>
  <si>
    <t>Josh Woods</t>
  </si>
  <si>
    <t>Brock Wright</t>
  </si>
  <si>
    <t>Shane Zylstra</t>
  </si>
  <si>
    <t>Minnesota State</t>
  </si>
  <si>
    <t>GNB</t>
  </si>
  <si>
    <t>Jaire Alexander</t>
  </si>
  <si>
    <t>Adrian Amos</t>
  </si>
  <si>
    <t>David Bakhtiari</t>
  </si>
  <si>
    <t>Krys Barnes</t>
  </si>
  <si>
    <t>BJ Baylor</t>
  </si>
  <si>
    <t>Caliph Brice</t>
  </si>
  <si>
    <t>Gabe Brkic</t>
  </si>
  <si>
    <t>Ellis Brooks</t>
  </si>
  <si>
    <t>Akial Byers</t>
  </si>
  <si>
    <t>De'Vondre Campbell</t>
  </si>
  <si>
    <t>Tariq Carpenter</t>
  </si>
  <si>
    <t>Kenny Clark</t>
  </si>
  <si>
    <t>Randall Cobb</t>
  </si>
  <si>
    <t>Jack Coco</t>
  </si>
  <si>
    <t>Mason Crosby</t>
  </si>
  <si>
    <t>Dominique Dafney</t>
  </si>
  <si>
    <t>Danny Davis</t>
  </si>
  <si>
    <t>Shawn Davis</t>
  </si>
  <si>
    <t>Tyler Davis</t>
  </si>
  <si>
    <t>Josiah Deguara</t>
  </si>
  <si>
    <t>AJ Dillon</t>
  </si>
  <si>
    <t>Romeo Doubs</t>
  </si>
  <si>
    <t>Rasul Douglas</t>
  </si>
  <si>
    <t>Kingsley Enagbare</t>
  </si>
  <si>
    <t>Kabion Ento</t>
  </si>
  <si>
    <t>Danny Etling</t>
  </si>
  <si>
    <t>Jonathan Ford</t>
  </si>
  <si>
    <t>Rico Gafford</t>
  </si>
  <si>
    <t>Innis Gaines</t>
  </si>
  <si>
    <t>Tipa Galeai</t>
  </si>
  <si>
    <t>Jonathan Garvin</t>
  </si>
  <si>
    <t>Rashan Gary</t>
  </si>
  <si>
    <t>Tyler Goodson</t>
  </si>
  <si>
    <t>La'Darius Hamilton</t>
  </si>
  <si>
    <t>Jake Hanson</t>
  </si>
  <si>
    <t>Jack Heflin</t>
  </si>
  <si>
    <t>Kylin Hill</t>
  </si>
  <si>
    <t>Shemar Jean-Charles</t>
  </si>
  <si>
    <t>Elgton Jenkins</t>
  </si>
  <si>
    <t>Aaron Jones</t>
  </si>
  <si>
    <t>Caleb Jones</t>
  </si>
  <si>
    <t>Kobe Jones</t>
  </si>
  <si>
    <t>Allen Lazard</t>
  </si>
  <si>
    <t>Marcedes Lewis</t>
  </si>
  <si>
    <t>Jordan Love</t>
  </si>
  <si>
    <t>Dean Lowry</t>
  </si>
  <si>
    <t>AlizÃ© Mack</t>
  </si>
  <si>
    <t>Chauncey Manac</t>
  </si>
  <si>
    <t>Isaiah McDuffie</t>
  </si>
  <si>
    <t>Michal Menet</t>
  </si>
  <si>
    <t>George Moore</t>
  </si>
  <si>
    <t>Josh Myers</t>
  </si>
  <si>
    <t>Royce Newman</t>
  </si>
  <si>
    <t>Yosh Nijman</t>
  </si>
  <si>
    <t>Keisean Nixon</t>
  </si>
  <si>
    <t>Pat O'Donnell</t>
  </si>
  <si>
    <t>Hauati Pututau</t>
  </si>
  <si>
    <t>Randy Ramsey</t>
  </si>
  <si>
    <t>Jarran Reed</t>
  </si>
  <si>
    <t>Sean Rhyan</t>
  </si>
  <si>
    <t>Aaron Rodgers</t>
  </si>
  <si>
    <t>Amari Rodgers</t>
  </si>
  <si>
    <t>Jon Runyan</t>
  </si>
  <si>
    <t>Darnell Savage</t>
  </si>
  <si>
    <t>Cole Schneider</t>
  </si>
  <si>
    <t>Vernon Scott</t>
  </si>
  <si>
    <t>T.J. Slaton</t>
  </si>
  <si>
    <t>Chris Slayton</t>
  </si>
  <si>
    <t>Preston Smith</t>
  </si>
  <si>
    <t>Tre Sterling</t>
  </si>
  <si>
    <t>Eric Stokes</t>
  </si>
  <si>
    <t>Ty Summers</t>
  </si>
  <si>
    <t>Malik Taylor</t>
  </si>
  <si>
    <t>Patrick Taylor</t>
  </si>
  <si>
    <t>Raleigh Texada</t>
  </si>
  <si>
    <t>Kiondre Thomas</t>
  </si>
  <si>
    <t>Zach Tom</t>
  </si>
  <si>
    <t>Robert Tonyan</t>
  </si>
  <si>
    <t>Samori Toure</t>
  </si>
  <si>
    <t>Cole Van Lanen</t>
  </si>
  <si>
    <t>Quay Walker</t>
  </si>
  <si>
    <t>Rasheed Walker</t>
  </si>
  <si>
    <t>Sammy Watkins</t>
  </si>
  <si>
    <t>Ray Wilborn</t>
  </si>
  <si>
    <t>Juwann Winfree</t>
  </si>
  <si>
    <t>Steven Wirtel</t>
  </si>
  <si>
    <t>Eli Wolf</t>
  </si>
  <si>
    <t>Devonte Wyatt</t>
  </si>
  <si>
    <t>Christian Watson</t>
  </si>
  <si>
    <t>MIN</t>
  </si>
  <si>
    <t>Brian Asamoah</t>
  </si>
  <si>
    <t>Jake Bargas</t>
  </si>
  <si>
    <t>Jordan Berry</t>
  </si>
  <si>
    <t>Andrew Booth Jr.</t>
  </si>
  <si>
    <t>Kris Boyd</t>
  </si>
  <si>
    <t>Garrett Bradbury</t>
  </si>
  <si>
    <t>Blake Brandel</t>
  </si>
  <si>
    <t>Mike Brown</t>
  </si>
  <si>
    <t>6-11</t>
  </si>
  <si>
    <t>Jonathan Bullard</t>
  </si>
  <si>
    <t>Camryn Bynum</t>
  </si>
  <si>
    <t>Ty Chandler</t>
  </si>
  <si>
    <t>Dan Chisena</t>
  </si>
  <si>
    <t>Lewis Cine</t>
  </si>
  <si>
    <t>Ezra Cleveland</t>
  </si>
  <si>
    <t>Ryan Connelly</t>
  </si>
  <si>
    <t>Dalvin Cook</t>
  </si>
  <si>
    <t>Kirk Cousins</t>
  </si>
  <si>
    <t>Cameron Dantzler</t>
  </si>
  <si>
    <t>Christian Darrisaw</t>
  </si>
  <si>
    <t>Zach Davidson</t>
  </si>
  <si>
    <t>Central Missouri</t>
  </si>
  <si>
    <t>Jesse Davis</t>
  </si>
  <si>
    <t>Wyatt Davis</t>
  </si>
  <si>
    <t>Andrew DePaola</t>
  </si>
  <si>
    <t>Myles Dorn</t>
  </si>
  <si>
    <t>Troy Dye</t>
  </si>
  <si>
    <t>Ben Ellefson</t>
  </si>
  <si>
    <t>Akayleb Evans</t>
  </si>
  <si>
    <t>Nate Hairston</t>
  </si>
  <si>
    <t>C.J. Ham</t>
  </si>
  <si>
    <t>Augustana (S.D.)</t>
  </si>
  <si>
    <t>Harrison Hand</t>
  </si>
  <si>
    <t>Thomas Hennigan</t>
  </si>
  <si>
    <t>Jordan Hicks</t>
  </si>
  <si>
    <t>Kyle Hinton</t>
  </si>
  <si>
    <t>Danielle Hunter</t>
  </si>
  <si>
    <t>Ed Ingram</t>
  </si>
  <si>
    <t>Trishton Jackson</t>
  </si>
  <si>
    <t>Justin Jefferson</t>
  </si>
  <si>
    <t>Bisi Johnson</t>
  </si>
  <si>
    <t>Patrick Jones II</t>
  </si>
  <si>
    <t>Greg Joseph</t>
  </si>
  <si>
    <t>Eric Kendricks</t>
  </si>
  <si>
    <t>Bryant Koback</t>
  </si>
  <si>
    <t>William Kwenkeu</t>
  </si>
  <si>
    <t>Vederian Lowe</t>
  </si>
  <si>
    <t>Blake Lynch</t>
  </si>
  <si>
    <t>James Lynch</t>
  </si>
  <si>
    <t>Sean Mannion</t>
  </si>
  <si>
    <t>Alexander Mattison</t>
  </si>
  <si>
    <t>Zach McCloud</t>
  </si>
  <si>
    <t>T.Y. McGill</t>
  </si>
  <si>
    <t>Josh Metellus</t>
  </si>
  <si>
    <t>Andre Mintze</t>
  </si>
  <si>
    <t>Myron Mitchell</t>
  </si>
  <si>
    <t>Kellen Mond</t>
  </si>
  <si>
    <t>Johnny Mundt</t>
  </si>
  <si>
    <t>Nick Muse</t>
  </si>
  <si>
    <t>Jalen Nailor</t>
  </si>
  <si>
    <t>Parry Nickerson</t>
  </si>
  <si>
    <t>Kene Nwangwu</t>
  </si>
  <si>
    <t>Brian O'Neill</t>
  </si>
  <si>
    <t>K.J. Osborn</t>
  </si>
  <si>
    <t>Esezi Otomewo</t>
  </si>
  <si>
    <t>Timon Parris</t>
  </si>
  <si>
    <t>Patrick Peterson</t>
  </si>
  <si>
    <t>Harrison Phillips</t>
  </si>
  <si>
    <t>Blake Proehl</t>
  </si>
  <si>
    <t>Chris Reed</t>
  </si>
  <si>
    <t>Janarius Robinson</t>
  </si>
  <si>
    <t>Austin Schlottmann</t>
  </si>
  <si>
    <t>Harrison Smith</t>
  </si>
  <si>
    <t>Irv Smith Jr.</t>
  </si>
  <si>
    <t>T.J. Smith</t>
  </si>
  <si>
    <t>Tye Smith</t>
  </si>
  <si>
    <t>Towson State</t>
  </si>
  <si>
    <t>Za'Darius Smith</t>
  </si>
  <si>
    <t>Ihmir Smith-Marsette</t>
  </si>
  <si>
    <t>Josh Sokol</t>
  </si>
  <si>
    <t>Tyarise Stevenson</t>
  </si>
  <si>
    <t>Chandon Sullivan</t>
  </si>
  <si>
    <t>Chazz Surratt</t>
  </si>
  <si>
    <t>Jullian Taylor</t>
  </si>
  <si>
    <t>Adam Thielen</t>
  </si>
  <si>
    <t>Dalvin Tomlinson</t>
  </si>
  <si>
    <t>Jaylen Twyman</t>
  </si>
  <si>
    <t>Olisaemeka Udoh</t>
  </si>
  <si>
    <t>Luiji Vilain</t>
  </si>
  <si>
    <t>Armon Watts</t>
  </si>
  <si>
    <t>Albert Wilson</t>
  </si>
  <si>
    <t>D.J. Wonnum</t>
  </si>
  <si>
    <t>Ryan Wright</t>
  </si>
  <si>
    <t>Total Geral</t>
  </si>
  <si>
    <t>Penn State</t>
  </si>
  <si>
    <t>Central Florida</t>
  </si>
  <si>
    <t>Missouri Western</t>
  </si>
  <si>
    <t>Central Florida CC</t>
  </si>
  <si>
    <t>Pittsburg State (KS)</t>
  </si>
  <si>
    <t>Baker Mayfield</t>
  </si>
  <si>
    <t>Justin Houston</t>
  </si>
  <si>
    <t>Jaquiski Tartt</t>
  </si>
  <si>
    <t>Quarterbacks</t>
  </si>
  <si>
    <t>Running Backs</t>
  </si>
  <si>
    <t>Wide Receivers</t>
  </si>
  <si>
    <t>Tight Ends</t>
  </si>
  <si>
    <t>Offensive Line</t>
  </si>
  <si>
    <t>Defensive Line</t>
  </si>
  <si>
    <t>Linebackers</t>
  </si>
  <si>
    <t>Defensive Backs</t>
  </si>
  <si>
    <t>Long Snapper(s)</t>
  </si>
  <si>
    <t>Punter(s)</t>
  </si>
  <si>
    <t>Kicker(s)</t>
  </si>
  <si>
    <t>DeJuan Neal</t>
  </si>
  <si>
    <t>Shepherd</t>
  </si>
  <si>
    <t>Channing Stribling</t>
  </si>
  <si>
    <t>Malik Jefferson</t>
  </si>
  <si>
    <t>Contagem de Pos</t>
  </si>
  <si>
    <t>Total Roster</t>
  </si>
  <si>
    <t>Offense</t>
  </si>
  <si>
    <t>Defense</t>
  </si>
  <si>
    <t>Special Teams</t>
  </si>
  <si>
    <t>Running backs</t>
  </si>
  <si>
    <t>Active</t>
  </si>
  <si>
    <t>Proj</t>
  </si>
  <si>
    <t>Out</t>
  </si>
  <si>
    <t>Date</t>
  </si>
  <si>
    <t>Transaction</t>
  </si>
  <si>
    <t>06/03</t>
  </si>
  <si>
    <t xml:space="preserve"> The 49ers have announced that C Alex Mack has retired from the NFL.</t>
  </si>
  <si>
    <t xml:space="preserve"> SFO</t>
  </si>
  <si>
    <t>05/23</t>
  </si>
  <si>
    <t xml:space="preserve"> The 49ers have signed TE Tyler Kroft to a one-year deal. In order to make room on the roster, the team waived DL Chris Slayton.</t>
  </si>
  <si>
    <t>05/17</t>
  </si>
  <si>
    <t xml:space="preserve"> The 49ers have signed TE Troy Fumagalli to a one-year deal and waived TE Garrett Walston.</t>
  </si>
  <si>
    <t>05/13</t>
  </si>
  <si>
    <t xml:space="preserve"> The 49ers have signed 14 undrafted rookie free agents DL Kevin Atkins, LB Jeremiah Gemmel, S Tayler Hawkins, CB Qwantrezz Knight, WR Taysir Mack, WR Tay Martin, RB Jordan Mason, LB Marcelino McCrary-Ball, LB Segun Olubi, S Leon O'Neal, OL Jason Poe, OL Sam Schlueter, TE Garrett Walston, OL Dohnovan West. They also waived WR Connor Wedington.</t>
  </si>
  <si>
    <t>05/02</t>
  </si>
  <si>
    <t xml:space="preserve"> The 49ers have re-signed CB Jason Verrett to a one-year deal. The 49ers also have agreed to terms with 14 undrafted rookie free agents: DL Kevin Atkins, LB Jeremiah Gemmel, S Tayler Hawkins, CB Qwuantrezz Knight, WR Taysir Mack, WR Tay Martin, RB Jordan Mason, LB Marcelino McCrary-Ball, LB Segun Olubi, S Leon O'Neal Jr., OL Jason Poe, OL Sam Schlueter, TE Garrett Walston and OL Dohnovan West.</t>
  </si>
  <si>
    <t>04/25</t>
  </si>
  <si>
    <t xml:space="preserve"> The 49ers announced that LB Azeez Al-Shaair has signed a one-year tendered contract and exercised the fifth-year contract option on DL Nick Bosa for the 2023 season.</t>
  </si>
  <si>
    <t>04/19</t>
  </si>
  <si>
    <t xml:space="preserve"> The 49ers announced that OL Daniel Brunskill and WR Jauan Jennings have each signed one-year tendered contracts.</t>
  </si>
  <si>
    <t>04/18</t>
  </si>
  <si>
    <t xml:space="preserve"> The 49ers have signed DL Kemoko Turay to a one-year deal.</t>
  </si>
  <si>
    <t>04/11</t>
  </si>
  <si>
    <t xml:space="preserve"> The 49ers have signed WR Marcus Johnson and WR Malik Turner to one-year deals. The team also released and re-signed DL Maurice Hurst to the same one-year deal he signed on March 10, 2022.</t>
  </si>
  <si>
    <t>03/29</t>
  </si>
  <si>
    <t xml:space="preserve"> The 49ers have re-signed RB Jeff Wilson Jr. to a one-year deal.</t>
  </si>
  <si>
    <t>03/28</t>
  </si>
  <si>
    <t xml:space="preserve"> The 49ers have signed TE Ross Dwelley to a one-year deal.</t>
  </si>
  <si>
    <t>03/25</t>
  </si>
  <si>
    <t xml:space="preserve"> The 49ers have signed CB Darqueze Dennard to a one-year deal.</t>
  </si>
  <si>
    <t>03/24</t>
  </si>
  <si>
    <t xml:space="preserve"> The 49ers have signed DL Kerry Hyder Jr. to a one-year deal and re-signed CB Dontae Johnson to a one-year deal.</t>
  </si>
  <si>
    <t>03/23</t>
  </si>
  <si>
    <t xml:space="preserve"> The 49ers have re-signed DL Jordan Willis to a one-year deal.</t>
  </si>
  <si>
    <t>03/22</t>
  </si>
  <si>
    <t xml:space="preserve"> The 49ers have signed WR Ray-Ray McCloud to a two-year deal and signed S George Odum to a three-year deal.</t>
  </si>
  <si>
    <t>03/21</t>
  </si>
  <si>
    <t xml:space="preserve"> The 49ers have signed DL Hassan Ridgeway to a one-year deal.</t>
  </si>
  <si>
    <t>03/17</t>
  </si>
  <si>
    <t xml:space="preserve"> The 49ers have signed LB Oren Burks to a two-year deal and CB Charvarius Ward to a three-year deal.</t>
  </si>
  <si>
    <t>03/16</t>
  </si>
  <si>
    <t xml:space="preserve"> The 49ers have tendered one-year contracts to restricted free agents LB Azeez Al-Shaair and OL Daniel Brunskill.</t>
  </si>
  <si>
    <t>03/11</t>
  </si>
  <si>
    <t xml:space="preserve"> The 49ers have signed LB Demetrius Flannigan-Fowles to a one-year extension through the 2022 season.</t>
  </si>
  <si>
    <t>03/10</t>
  </si>
  <si>
    <t xml:space="preserve"> The 49ers have signed DL Kevin Givens, RB JaMycal Hasty, DL Maurice Hurst and OL Colton McKivitz to one-year extensions and signed QB Nate Sudfeld to a Reserve/Future contract.</t>
  </si>
  <si>
    <t>03/09</t>
  </si>
  <si>
    <t xml:space="preserve"> The 49ers have signed OL Jake Brendel to a one-year extension through the 2022 season.</t>
  </si>
  <si>
    <t>03/08</t>
  </si>
  <si>
    <t xml:space="preserve"> The 49ers have signed OL Keaton Sutherland to a Reserve/Future contract.</t>
  </si>
  <si>
    <t>02/02</t>
  </si>
  <si>
    <t xml:space="preserve"> The 49ers have signed the following 11 free agents to Reserve/Future contracts: DL Alex Barrett, OL Alfredo Gutierrez, FB Josh Hokit, CB Ka'dar Hollman, TE Tanner Hudson, WR KeeSean Johnson, WR Austin Mack, TE Jordan Matthews, LB Curtis Robinson, DL Chris Slayton, WR Connor Wedington. All of the players, with the exception of Hollman and Johnson, finished the 2021 season on the team's practice squad.</t>
  </si>
  <si>
    <t>01/29</t>
  </si>
  <si>
    <t xml:space="preserve"> The 49ers have activated RB Trenton Cannon from the Injured Reserve List, activated LB Mark Nzeocha and Nate Sudfeld and waived WR River Cracraft.</t>
  </si>
  <si>
    <t>01/26</t>
  </si>
  <si>
    <t xml:space="preserve"> The 49ers have activated WR Mohamed Sanu Sr. from the Injured Reserve List, signed S Jarrod Wilson to the team's practice squad and released S Doug Middleton from the team's practice squad.</t>
  </si>
  <si>
    <t>01/25</t>
  </si>
  <si>
    <t xml:space="preserve"> The 49ers have waived S Jarrod Wilson.</t>
  </si>
  <si>
    <t>01/21</t>
  </si>
  <si>
    <t xml:space="preserve"> The 49ers announced that DL Nick Bosa has cleared concussion protocol and has no injury designation against the Green Bay Packers. CB Darqueze Dennard and LB Mark Nzeocha have been activated from the team's practice squad (standard elevations).</t>
  </si>
  <si>
    <t>01/18</t>
  </si>
  <si>
    <t xml:space="preserve"> The 49ers have activated RB Raheem Mostert off the Reserve/COVID-19 List, activated FB Josh Hokit from the practice squad/COVID-19 List and released CB Luq Barcoo and P Ryan Winslow from the team's practice squad.</t>
  </si>
  <si>
    <t>01/15</t>
  </si>
  <si>
    <t xml:space="preserve"> The 49ers announced that P Mitch Wishnowsky has cleared concussion protocol and has no injury designation against the Dallas Cowboys. The team also announced that CB Darqueze Dennard and LB Mark Nzeocha have been activated from the team's practice squad (standard elevations).</t>
  </si>
  <si>
    <t>01/12</t>
  </si>
  <si>
    <t xml:space="preserve"> The 49ers have opened the practice window for RB Trenton Cannon, restored S Doug Middleton to the practice squad from the practice squad Injured Reserve List, signed P Ryan Winslow to the team's practice squad and released QB Tyler Bray from the practice squad.</t>
  </si>
  <si>
    <t>01/11</t>
  </si>
  <si>
    <t xml:space="preserve"> The 49ers have activated RB Trey Sermon from the Injured Reserve List.</t>
  </si>
  <si>
    <t>01/10</t>
  </si>
  <si>
    <t xml:space="preserve"> The 49ers have activated DB Deommodore Lenoir  off the Reserve/COVID-19 List, signed TE Tanner Hudson to the team's practice squad and placed CB Luq Barcoo, QB Tyler Bray, and FB Josh Hokit on the practice squad/COVID-19 List.</t>
  </si>
  <si>
    <t>01/08</t>
  </si>
  <si>
    <t xml:space="preserve"> CB Dontae Johnson, DB Jimmie Ward, and CB K'Waun Williams have been activated off the Reserve/COVID-19 List. CB Emmanuel Moseley has been activated from the Injured Reserve List. CB Darqueze Dennard, LB Mark Nzeocha have been activated from the team's practice squad (standard elevations). LB Curtis Robinson has been activated from the team's practice squad (COVID-19 replacement).</t>
  </si>
  <si>
    <t>01/07</t>
  </si>
  <si>
    <t xml:space="preserve"> The 49ers have activated CB Ambry Thomas off the Reserve/COVID-19 List and waived TE Tanner Hudson.</t>
  </si>
  <si>
    <t>01/05</t>
  </si>
  <si>
    <t xml:space="preserve"> The 49ers have opened the practice windows for CB Emmanuel Moseley, WR Mohamed Sanu Sr. and S Tavon Wilson. Additionally, the team placed CB Ambry Thomas and DB Deommodore Lenoir  on the Reserve/COVID-19 List.</t>
  </si>
  <si>
    <t>01/04</t>
  </si>
  <si>
    <t xml:space="preserve"> The 49ers have signed CB Darqueze Dennard to the team's practice squad.</t>
  </si>
  <si>
    <t xml:space="preserve"> The 49ers have placed DB Jimmie Ward on the Reserve/COVID-19 List, signed RB Brian Hill to the team's practice squad and released P Colby Wadman from the team's practice squad.</t>
  </si>
  <si>
    <t>01/03</t>
  </si>
  <si>
    <t xml:space="preserve"> The 49ers have placed CB Dontae Johnson, RB Raheem Mostert and CB K'Waun Williams on the Reserve/COVID-19 List.</t>
  </si>
  <si>
    <t>01/01</t>
  </si>
  <si>
    <t xml:space="preserve"> The 49ers have activated P Mitch Wishnowskyfrom the Reserve/COVID-19 List. TE Tanner Hudson has been promoted to the active roster from the team's practice squad. LB Mark Nzeocha and LB Curtis Robinson have been activated from the team's practice squad (standard elevations). RB Brian Hill has been waived.</t>
  </si>
  <si>
    <t>07/06</t>
  </si>
  <si>
    <t xml:space="preserve"> Falcons sign DT Eddie Goldman to one-year deal</t>
  </si>
  <si>
    <t xml:space="preserve"> ATL</t>
  </si>
  <si>
    <t xml:space="preserve"> Falcons release S Brad Hawkins</t>
  </si>
  <si>
    <t>07/01</t>
  </si>
  <si>
    <t xml:space="preserve"> Falcons sign P Bradley Pinion</t>
  </si>
  <si>
    <t>06/16</t>
  </si>
  <si>
    <t xml:space="preserve"> Falcons released RB Jeremy McNichols, WR Austin Trammell</t>
  </si>
  <si>
    <t xml:space="preserve"> Falcons signed OT Jonotthan Harris, DL Jalen Dalton</t>
  </si>
  <si>
    <t>05/26</t>
  </si>
  <si>
    <t xml:space="preserve"> Falcons sign RB Jeremy McNichols to one-year contract</t>
  </si>
  <si>
    <t xml:space="preserve"> Falcons release DL John Cominsky</t>
  </si>
  <si>
    <t>05/24</t>
  </si>
  <si>
    <t xml:space="preserve"> Falcons signed LB Troy Andersen to four-year contract</t>
  </si>
  <si>
    <t xml:space="preserve"> Falcons signed DeAngelo Malone to four-year contract</t>
  </si>
  <si>
    <t>05/16</t>
  </si>
  <si>
    <t xml:space="preserve"> Falcons released WR Chad Hansen, DB Luther Kirk and TE Daniel Helm</t>
  </si>
  <si>
    <t xml:space="preserve"> Falcons signed WR Geronimo Allison, DB Tre Webb and TE Tucker Fisk</t>
  </si>
  <si>
    <t>05/14</t>
  </si>
  <si>
    <t xml:space="preserve"> Falcons release CB Kendall Sheffield and TE Ryan Becker</t>
  </si>
  <si>
    <t xml:space="preserve"> Falcons acquire WR Bryan Edwards and 2023 seventh-round NFL Draft pick for 2023 fifth-round pick</t>
  </si>
  <si>
    <t>05/12</t>
  </si>
  <si>
    <t xml:space="preserve"> Falcons signed Justin Shaffer to four-year rookie contract</t>
  </si>
  <si>
    <t xml:space="preserve"> Falcons signed Tyler Allgeier to four-year rookie contract</t>
  </si>
  <si>
    <t xml:space="preserve"> Falcons signed Drake London to four-year rookie contract with fifth-year option</t>
  </si>
  <si>
    <t xml:space="preserve"> Falcons signed John FitzPatrick to four-year rookie contract</t>
  </si>
  <si>
    <t xml:space="preserve"> Falcons pick up fifth-year option for OL Chris Lindstrom</t>
  </si>
  <si>
    <t xml:space="preserve"> Falcons release RB Mike Davis</t>
  </si>
  <si>
    <t xml:space="preserve"> Falcons place LS Beau Brinkley on injured reserve</t>
  </si>
  <si>
    <t xml:space="preserve"> Falcons sign college free agents WR Jared Bernhardt, WR Stanley Berryhill, OLB Kuony Deng, CB Matt Hankins, S Brad Hawkins, DL Timothy Horne, WR Tyshaun James, OLB Nathan Landman, DL Bryce Rodgers, DL Derrick Tangelo, P Seth Vernon, OL Tyler Vrabel, TE Leroy Washington.</t>
  </si>
  <si>
    <t xml:space="preserve"> Falcons release OLB James Vaughters</t>
  </si>
  <si>
    <t xml:space="preserve"> Falcons release OT Willie Beavers</t>
  </si>
  <si>
    <t>04/30</t>
  </si>
  <si>
    <t xml:space="preserve"> Falcons selected TE John Fitzpatrick with No. 213 overall NFL Draft pick</t>
  </si>
  <si>
    <t xml:space="preserve"> Falcons selected OL Justin Shaffer with No. 190 overall NFL Draft pick</t>
  </si>
  <si>
    <t xml:space="preserve"> Falcons selected RB Tyler Allgeier with No. 151 overall NFL Draft pick</t>
  </si>
  <si>
    <t>04/29</t>
  </si>
  <si>
    <t xml:space="preserve"> Falcons selected LB Troy Andersen with No. 58 overall NFL Draft pick</t>
  </si>
  <si>
    <t xml:space="preserve"> Falcons selected EDGE Deangelo Malone with No. 82 overall NFL Draft pick</t>
  </si>
  <si>
    <t xml:space="preserve"> Falcons selected QB Desmond Ridder with No. 74 overall NFL Draft pick</t>
  </si>
  <si>
    <t xml:space="preserve"> Falcons selected EDGE Arnold Ebiketie with No. 38 overall NFL Draft pick</t>
  </si>
  <si>
    <t>04/28</t>
  </si>
  <si>
    <t xml:space="preserve"> Falcons selected WR Drake London with No. 8 overall NFL Draft pick</t>
  </si>
  <si>
    <t xml:space="preserve"> Falcons WR Olamide Zaccheaus signed one-year contract tender</t>
  </si>
  <si>
    <t xml:space="preserve"> Falcons signed DT Vincent Taylor to one-year deal</t>
  </si>
  <si>
    <t>04/12</t>
  </si>
  <si>
    <t xml:space="preserve"> Falcons signed TE Anthony Firkser to one-year deal</t>
  </si>
  <si>
    <t>04/08</t>
  </si>
  <si>
    <t xml:space="preserve"> Falcons signed CB Mike Ford to one-year deal</t>
  </si>
  <si>
    <t>04/06</t>
  </si>
  <si>
    <t xml:space="preserve"> Falcons signed LB Rashaan Evans to one-year deal</t>
  </si>
  <si>
    <t xml:space="preserve"> Falcons signed OL Germain Ifedi to one-year deal</t>
  </si>
  <si>
    <t>04/05</t>
  </si>
  <si>
    <t xml:space="preserve"> Falcons signed WR Damiere Byrd to one-year deal</t>
  </si>
  <si>
    <t>04/04</t>
  </si>
  <si>
    <t xml:space="preserve"> Falcons signed LS Beau Brinkley to one-year deal</t>
  </si>
  <si>
    <t>03/31</t>
  </si>
  <si>
    <t xml:space="preserve"> Falcons signed DB Dean Marlowe to one-year deal</t>
  </si>
  <si>
    <t xml:space="preserve"> Falcons signed WR Auden Tate to one-year deal</t>
  </si>
  <si>
    <t xml:space="preserve"> Falcons re-signed RB Qadree Ollison to one-year deal</t>
  </si>
  <si>
    <t xml:space="preserve"> Falcons re-sign S Erik Harris to one-year contract</t>
  </si>
  <si>
    <t xml:space="preserve"> Falcons sign QB Marcus Mariota to two-year contract</t>
  </si>
  <si>
    <t xml:space="preserve"> Falcons sign WR KhaDarel Hodge to one-year contract</t>
  </si>
  <si>
    <t xml:space="preserve"> Falcons signed OLB Lorenzo Carter to one-year deal</t>
  </si>
  <si>
    <t xml:space="preserve"> Falcons re-signed RB Cordarrelle Patterson to two-year contract</t>
  </si>
  <si>
    <t xml:space="preserve"> Falcons traded QB Matt Ryan to Indianapolis Colts for 2022 NFL Draft pick</t>
  </si>
  <si>
    <t>03/18</t>
  </si>
  <si>
    <t xml:space="preserve"> Falcons signed CB Casey Hayward to two-year deal</t>
  </si>
  <si>
    <t xml:space="preserve"> Falcons re-signed CB Isaiah Oliver to one-year deal</t>
  </si>
  <si>
    <t xml:space="preserve"> Falcons signed RB Damien Williams to one-year deal</t>
  </si>
  <si>
    <t xml:space="preserve"> Falcons signed OL Elijah Wilkinson and DB Teez Tabor</t>
  </si>
  <si>
    <t xml:space="preserve"> Falcons re-signed DT Anthony Rush to one-year deal</t>
  </si>
  <si>
    <t xml:space="preserve"> Falcons re-signed OL Colby Gossett</t>
  </si>
  <si>
    <t xml:space="preserve"> Falcons sign OL Jake Matthews to three-year contract extension</t>
  </si>
  <si>
    <t>03/15</t>
  </si>
  <si>
    <t xml:space="preserve"> Falcons release DL Tyeler Davison</t>
  </si>
  <si>
    <t xml:space="preserve"> Falcons gave WR Olamide Zaccheaus right-of-first-refusal contract tender</t>
  </si>
  <si>
    <t xml:space="preserve"> Falcons signed K Younghoe Koo to five-year contract extension</t>
  </si>
  <si>
    <t xml:space="preserve"> Falcons release Duke Ejiofor from non-football injury list</t>
  </si>
  <si>
    <t>03/07</t>
  </si>
  <si>
    <t xml:space="preserve"> WR Calvin Ridley moved to reserve/suspended by commissioner list</t>
  </si>
  <si>
    <t>02/15</t>
  </si>
  <si>
    <t xml:space="preserve"> Falcons signed TE Ryan Becker to active roster</t>
  </si>
  <si>
    <t>01/28</t>
  </si>
  <si>
    <t xml:space="preserve"> Falcons released OL Matt Gono off physically unable to perform list</t>
  </si>
  <si>
    <t>01/24</t>
  </si>
  <si>
    <t xml:space="preserve"> Falcons signed DL Rashaad Coward to reserve-future contract</t>
  </si>
  <si>
    <t>01/20</t>
  </si>
  <si>
    <t xml:space="preserve"> Falcons signed TE Daniel Helm to reserve-future contract</t>
  </si>
  <si>
    <t>01/14</t>
  </si>
  <si>
    <t xml:space="preserve"> Falcons signed LB Duke Ejiofor to reserve-future contract</t>
  </si>
  <si>
    <t xml:space="preserve"> Falcons signed DB Corey Ballentine to reserve-future contract</t>
  </si>
  <si>
    <t xml:space="preserve"> Falcons activated OT Jason Spriggs, DL Jonathan Bullard off reserve/COVID-19 list</t>
  </si>
  <si>
    <t xml:space="preserve"> Falcons signed DB Cornell Armstrong, OL Willie Beavers, OLB Quinton Bell, LB Jordan Brailford, LB Dorian Etheridge, WR Chad Hansen, RB Caleb Huntley, DB Luther Kirk, P Dom Maggio, OL Ryan Neuzil, DB Lafayette Pitts, TE John Raine, LB Rashad Smith, DE Nick Thurman, WR Austin Trammell, DB Dee Alford, WR Brayden Lenius to reserve/future contracts</t>
  </si>
  <si>
    <t xml:space="preserve"> Falcons released WR Marvin Hall from practice squad</t>
  </si>
  <si>
    <t xml:space="preserve"> Falcons activate LB Dorian Etheridge to practice squad from practice squad-reserve/COVID-19 list</t>
  </si>
  <si>
    <t>01/06</t>
  </si>
  <si>
    <t xml:space="preserve"> Falcons sign QB Matt Barkley to practice squad</t>
  </si>
  <si>
    <t xml:space="preserve"> Falcons have waived QB Matt Barkley</t>
  </si>
  <si>
    <t xml:space="preserve"> Falcons activated DL Marlon Davidson, DB Jaylinn Hawkins, TE Hayden Hurst, OLB James Vaughters, WR Tajae Sharpe from reserve/COVID-19 list</t>
  </si>
  <si>
    <t xml:space="preserve"> Falcons activated OL Willie Beavers, LB Dorian Etheridge from practice squad-reserve/COVID-19 list</t>
  </si>
  <si>
    <t xml:space="preserve"> Falcons sign TE Parker Hesse to active roster from practice squad</t>
  </si>
  <si>
    <t xml:space="preserve"> Falcons activated DB Richie Grant, QB Feleipe Franks and LB Brandon Copeland off reserve/COVID-19 list</t>
  </si>
  <si>
    <t xml:space="preserve"> Cardinals sign CB JOSH JACKSON and LB BEN NIEMANN to one-year contracts, release S JAVON HAGAN</t>
  </si>
  <si>
    <t xml:space="preserve"> ARI</t>
  </si>
  <si>
    <t>05/31</t>
  </si>
  <si>
    <t xml:space="preserve"> Cardinals sign RB DARREL WILLIAMS to a one-year contract and release RB JAYLEN SAMUELS</t>
  </si>
  <si>
    <t>05/25</t>
  </si>
  <si>
    <t xml:space="preserve"> Cardinals sign third-round LB CAMERON THOMAS to four-year contract</t>
  </si>
  <si>
    <t>05/18</t>
  </si>
  <si>
    <t xml:space="preserve"> Cardinals sign third-round LB MYJAI SANDERS to four-year contract</t>
  </si>
  <si>
    <t xml:space="preserve"> Cardinals sign second-round TE TREY MCBRIDE, seventh-round CB CHRISTIAN MATTHEW and seventh-round OL MARQUIS HAYES to four-year contracts</t>
  </si>
  <si>
    <t xml:space="preserve"> Cardinals awarded LB JESSIE LEMONIER off waivers from Detroit Lions, release DL LARON STOKES</t>
  </si>
  <si>
    <t xml:space="preserve"> Cardinals sign tryout players WR CHRISTIAN BLAKE, S TAE DAILEY, QB JARRETT GUARANTANO, OL GREG LONG, RB T.J. PLEDGER and WR JARED SMART. Release LB CHANGA HODGE, S KEKAULA KANIHO, WR STEPHON ROBINSON, OL WILL MILES, LB RON'DELL CARTER, and OL MARCUS HENRY.</t>
  </si>
  <si>
    <t xml:space="preserve"> Cardinals sign DL KINGSLEY KEKE to a one-year contract, and place TE ALEX ELLIS on the Non-Football Injury list</t>
  </si>
  <si>
    <t xml:space="preserve"> Cardinals sign three draft picks to four-year contracts: RB KEONTAY INGRAM, OL LECITIUS SMITH and LB JESSE LUKETA</t>
  </si>
  <si>
    <t>05/10</t>
  </si>
  <si>
    <t xml:space="preserve"> Cardinals promote WR coach SHAWN JEFFERSON to associate head coach/wide receivers. Promote QB coach CAM TURNER to co-pass game coordinator/quarterbacks and SPENCER WHIPPLE to co-pass game coordinator. Announce hiring of DL coach MATT BURKE. Promote MIKE BERCOVICI to offensive assistant and KENNY BELL to Chief of Staff/offensive assistant</t>
  </si>
  <si>
    <t xml:space="preserve"> Cardinals re-sign S CHARLES WASHINGTON to a one-year contract</t>
  </si>
  <si>
    <t xml:space="preserve"> NFL announces that WR DEANDRE HOPKINS is suspended for the first six games of the 2022 regular season for violating the league's policy on performance-enhancing drugs.</t>
  </si>
  <si>
    <t xml:space="preserve"> Cardinals agree to terms with 12 undrafted rookies: CB DARRELL BAKER JR., WR CHANGA HODGE, DL MANNY JONES, S KEKAULA KANIHO, WR JONTRE KIRKLIN, DL WILL MILES, WR JAVONTA PAYTON, TE CHRIS PIERCE JR., RB RONNIE RIVERS; WR STEPHON ROBINSON JR., DL LARON STOKES and LB CHANDLER WOOTEN</t>
  </si>
  <si>
    <t xml:space="preserve"> Cardinals acquire WR MARQUISE HOLLYWOOD BROWN and a third-round pick in 2022 from the Baltimore Ravens for a 2022 first-round pick</t>
  </si>
  <si>
    <t xml:space="preserve"> Cardinals pick up fifth-year option on QB KYLER MURRAY, putting him under contract through 2023</t>
  </si>
  <si>
    <t>04/26</t>
  </si>
  <si>
    <t xml:space="preserve"> Cardinals re-sign CB ANTONIO HAMILTON to one-year deal; claim OLB RON'DELL CARTER off waivers from Houston Texans</t>
  </si>
  <si>
    <t xml:space="preserve"> Cardinals sign HAGGAI CHISOM NDUBUISI to an undisclosed contract</t>
  </si>
  <si>
    <t>04/14</t>
  </si>
  <si>
    <t xml:space="preserve"> Cardinals agree to one-year deal with wide receiver A.J. GREEN</t>
  </si>
  <si>
    <t xml:space="preserve"> RB JONATHAN WARD signs his one-year exclusive rights tender offer</t>
  </si>
  <si>
    <t>04/07</t>
  </si>
  <si>
    <t xml:space="preserve"> WR ANTOINE WESLEY signs his one-year exclusive rights tender offer</t>
  </si>
  <si>
    <t xml:space="preserve"> Cardinals sign TE STEPHEN ANDERSON to one-year contract</t>
  </si>
  <si>
    <t xml:space="preserve"> Cardinals sign G WILL HERNANDEZ to a one-year contract</t>
  </si>
  <si>
    <t xml:space="preserve"> Cardinals sign LB NICK VIGIL to a one-year contract</t>
  </si>
  <si>
    <t xml:space="preserve"> Cardinals agree to one-year contract with LB EZEKIEL TURNER</t>
  </si>
  <si>
    <t xml:space="preserve"> Cardinals sign LS AARON BREWER to one-year deal, agree to one-year contract with P ANDY LEE</t>
  </si>
  <si>
    <t xml:space="preserve"> Cardinals re-sign TE MAXX WILLIAMS to one-year deal, release DT JORDAN PHILLIPS. Sign CB JEFF GLADNEY to two-year contract</t>
  </si>
  <si>
    <t>03/14</t>
  </si>
  <si>
    <t xml:space="preserve"> Cardinals agree to new two-year contract with QB COLT MCCOY, re-sign DL MICHAEL DOGBE to one-year deal and agree with LB DENNIS GARDECK on three-year deal</t>
  </si>
  <si>
    <t xml:space="preserve"> Cardinals agree to three-year contract extension with RB JAMES CONNER</t>
  </si>
  <si>
    <t>03/13</t>
  </si>
  <si>
    <t xml:space="preserve"> Cardinals agree to three-year contract with TE ZACH ERTZ</t>
  </si>
  <si>
    <t xml:space="preserve"> Cardinals release LB JORDAN HICKS, extend one-year tender offers to exclusive-rights free agents WR ANTOINE WESLEY and RB JONATHAN WARD</t>
  </si>
  <si>
    <t>03/02</t>
  </si>
  <si>
    <t xml:space="preserve"> Cardinals extend the contracts of GENERAL MANAGER STEVE KEIM and HEAD COACH KLIFF KINGSBURY through the 2027 season</t>
  </si>
  <si>
    <t>02/17</t>
  </si>
  <si>
    <t xml:space="preserve"> Cardinals release CB MALCOLM BUTLER from the Reserve/Retired list</t>
  </si>
  <si>
    <t>02/09</t>
  </si>
  <si>
    <t xml:space="preserve"> Cardinals sign DL JONATHAN LEDBETTER to futures contract</t>
  </si>
  <si>
    <t xml:space="preserve"> Cardinals sign P NOLAN COONEY to futures contract</t>
  </si>
  <si>
    <t>01/19</t>
  </si>
  <si>
    <t xml:space="preserve"> Cardinals sign 15 players to futures contracts: WR ANDRE BACCELLIA, CB BREON BORDERS, CB NATE BROOKS, DL MATT DICKERSON, TE ALEX ELLIS, S JAVON HAGAN, OL DANNY ISIDORA, OL KODA MARTIN, RB JAYLEN SAMUELS, TE BERNHARD SEIKOVITS, OL ERIC SMITH, LB JOE WALKER, TE DAVID WELLS, CB JACE WHITTAKER and TE DEON YELDER.</t>
  </si>
  <si>
    <t xml:space="preserve"> CB KEVIN PETERSON and DL ZACH KERR revert to practice squad</t>
  </si>
  <si>
    <t>01/17</t>
  </si>
  <si>
    <t xml:space="preserve"> Cardinals activate DL J.J. WATT and LB EZEKIEL TURNER from Injured Reserve. Elevate CB KEVIN PETERSON and DL ZACH KERR from practice squad.</t>
  </si>
  <si>
    <t>01/16</t>
  </si>
  <si>
    <t xml:space="preserve"> Cardinals release CB BREON BORDERS</t>
  </si>
  <si>
    <t>01/13</t>
  </si>
  <si>
    <t xml:space="preserve"> Cardinals re-sign LB JOE WALKER to practice squad</t>
  </si>
  <si>
    <t xml:space="preserve"> Cardinals release LB JOE WALKER. Release LB TAHIR WHITEHEAD and DE MATT DICKERSON from practice squad</t>
  </si>
  <si>
    <t xml:space="preserve"> Cardinals re-sign DL ZACH KERR to practice squad. Activate TE MAXX WILLIAMS from Reserve/COVID-19 list</t>
  </si>
  <si>
    <t xml:space="preserve"> Cardinals activate LB TANNER VALLEJO and DL ZACH KERR from Reserve/COVID-19 list. Cut DL ZACH KERR. Cut LB NATE HALL from practice squad. CB KEVIN PETERSON, LB TAHIR WHITEHEAD, TE DAVID WELLS revert to practice squad</t>
  </si>
  <si>
    <t xml:space="preserve"> Cardinals make TE DAVID WELLS and LB TAHIR WHITEHEAD as standard practice squad elevations</t>
  </si>
  <si>
    <t xml:space="preserve"> Cardinals designate DE J.J. WATT to return from Injured Reserve, opening 21-day practice window. Elevate CB KEVIN PETERSON from practice squad as Covid replacement. Activate S JAVON HAGAN from Practice Squad/Reserve COVID-19 list</t>
  </si>
  <si>
    <t xml:space="preserve"> Cardinals place TE MAXX WILLIAMS on IR/Reserve Covid</t>
  </si>
  <si>
    <t xml:space="preserve"> Cardinals designate S JAMES WIGGINS to return from IR, opening 21-day practice window</t>
  </si>
  <si>
    <t xml:space="preserve"> Cardinals sign CB BAUSHAD BREELAND to practice squad. Activate OL D.J. HUMPHRIES, LB MARKUS GOLDEN, LB DEVON KENNARD and CB BREON BORDERS from Covid list. Release CB ISAIAH JOHNSON from practice squad. Place LB TANNER VALLEJO and DL ZACH KERR on Reserve/COVID-19 list</t>
  </si>
  <si>
    <t xml:space="preserve"> DE JOSH MAURO, CB KEVIN PETERSON, TE DAVID WELLS and CB JACE WHITTAKER revert to practice squad</t>
  </si>
  <si>
    <t xml:space="preserve"> Cardinals activate LB TANNER VALLEJO from Injured Reserve. Make DE JOSH MAURO and CB KEVIN PETERSON Covid replacements from practice squad. Make TE DAVID WELLS and CB JAVE WHITTAKER standard practice squad elevations</t>
  </si>
  <si>
    <t>07/16</t>
  </si>
  <si>
    <t xml:space="preserve"> Signed 2022 draft choice CB Jalyn Armour-Davis. Signed 2022 draft choice T Daniel Faalele</t>
  </si>
  <si>
    <t xml:space="preserve"> BAL</t>
  </si>
  <si>
    <t>07/12</t>
  </si>
  <si>
    <t xml:space="preserve"> Re-signed OLB Justin Houston.</t>
  </si>
  <si>
    <t>06/17</t>
  </si>
  <si>
    <t xml:space="preserve"> Signed OLB Steven Means.</t>
  </si>
  <si>
    <t>06/14</t>
  </si>
  <si>
    <t xml:space="preserve"> Terminated the contract of vested veteran DE Derek Wolfe (injury settlement).</t>
  </si>
  <si>
    <t>06/13</t>
  </si>
  <si>
    <t xml:space="preserve"> Signed 2022 draft choice P Jordan Stout.</t>
  </si>
  <si>
    <t>06/09</t>
  </si>
  <si>
    <t xml:space="preserve"> Signed 2022 draft choice TE Charlie Kolar.</t>
  </si>
  <si>
    <t>06/07</t>
  </si>
  <si>
    <t xml:space="preserve"> Signed 2022 draft choice S Kyle Hamilton. Signed 2022 draft choice CB Damarion Williams.</t>
  </si>
  <si>
    <t>06/06</t>
  </si>
  <si>
    <t xml:space="preserve"> Signed 2022 draft choice TE Isaiah Likely.</t>
  </si>
  <si>
    <t>06/02</t>
  </si>
  <si>
    <t xml:space="preserve"> Signed 2022 draft choice C Tyler Linderbaum.</t>
  </si>
  <si>
    <t xml:space="preserve"> Waived CB Kevin Toliver II.</t>
  </si>
  <si>
    <t xml:space="preserve"> Signed CB Kyle Fuller. Waived T Aron Johnson.</t>
  </si>
  <si>
    <t xml:space="preserve"> Waived S Chris Moore.</t>
  </si>
  <si>
    <t xml:space="preserve"> Signed DL Brent Urban. Signed undrafted rookie free agent ILB Diego Fagot.</t>
  </si>
  <si>
    <t>05/20</t>
  </si>
  <si>
    <t xml:space="preserve"> Signed 2022 draft choice DT Travis Jones.</t>
  </si>
  <si>
    <t xml:space="preserve"> Signed RB Mike Davis.</t>
  </si>
  <si>
    <t>05/06</t>
  </si>
  <si>
    <t xml:space="preserve"> Signed 2022 draft choice RB Tyler Badie. Signed undrafted rookie free agents WR Slade Bolden, WR Shemar Bridges, QB Anthony Brown, WR Trevon Clark, T Aron Johnson, ILB Zakoby McClain, OLB Jeremiah Moon, S Chris Moore, DT Rayshad Nichols, RB Ricky Person, WR Makai Polk, ILB Josh Ross, CB David Vereen, WR Raleigh Webb, OLB Charles Wiley, CB Denzel Williams and WR Devon Williams.</t>
  </si>
  <si>
    <t xml:space="preserve"> Traded WR Marquise Brown to the Arizona Cardinals in exchange for the 23rd overall selection in the 2022 NFL Draft.</t>
  </si>
  <si>
    <t xml:space="preserve"> Re-signed the following exclusive rights free agents: C/G Trystan Colon, QB Tyler Huntley, LS Nick Moore and LB Kristian Welch. Released WR Miles Boykin.</t>
  </si>
  <si>
    <t xml:space="preserve"> Re-signed DT Calais Campbell.</t>
  </si>
  <si>
    <t>04/13</t>
  </si>
  <si>
    <t xml:space="preserve"> Re-signed ILB Josh Bynes.</t>
  </si>
  <si>
    <t xml:space="preserve"> Re-signed exclusive rights free agent S Geno Stone.</t>
  </si>
  <si>
    <t xml:space="preserve"> Re-signed FB/DL Patrick Ricard to a three-year contract extension.</t>
  </si>
  <si>
    <t xml:space="preserve"> Signed free agent DT Michael Pierce.</t>
  </si>
  <si>
    <t xml:space="preserve"> Signed T unrestricted free agent Morgan Moses. Signed unrestricted free agent S Marcus Williams.</t>
  </si>
  <si>
    <t xml:space="preserve"> Terminated the contract of vested veteran CB Tavon Young.</t>
  </si>
  <si>
    <t>02/25</t>
  </si>
  <si>
    <t xml:space="preserve"> Re-signed S Tony Jefferson.</t>
  </si>
  <si>
    <t xml:space="preserve"> Signed FB/TE Ben Mason to Reserve/Future contract.</t>
  </si>
  <si>
    <t xml:space="preserve"> Re-signed RB Nate McCrary to Reserve/Future contract.</t>
  </si>
  <si>
    <t xml:space="preserve"> Re-signed DB Kevon Seymour.</t>
  </si>
  <si>
    <t xml:space="preserve"> Re-signed NT Isaiah Mack to Reserve/Future contract.</t>
  </si>
  <si>
    <t xml:space="preserve"> Signed the following players to Reserve/Future contracts: CB Robert Jackson, T Jaryd Jones-Smith, G/DT Khalil McKenzie, WR Jaylon Moore, C Jimmy Murray, TE Tony Poljan, CB Kevin Toliver II and WR Binjimen Victor.</t>
  </si>
  <si>
    <t xml:space="preserve"> Signed S Tony Jefferson from the practice squad to the active roster. Activated NT Isaiah Mack from the practice squad (standard elevation). Activated TE Tony Poljan from the practice squad (standard elevation). Activated T Jaryd Jones-Smith from the practice squad (COVID-19 replacement).</t>
  </si>
  <si>
    <t xml:space="preserve"> Placed FB/DL Patrick Ricard on Injured Reserve. Placed TE Nick Boyle on Reserve/COVID-19. Placed FB/DL Patrick Ricard on Reserve/COVID-19. Activated RB Justice Hill from Reserve/COVID-19. Activated S Ar'Darius Washington from Reserve/COVID-19.</t>
  </si>
  <si>
    <t xml:space="preserve"> Signed RB Jacques Patrick to the practice squad. Activated CB Kevin Toliver II off Practice Squad/COVID-19. Placed TE Josh Oliver on Exempt/COVID-19, then reverted to the active roster on 1/6.</t>
  </si>
  <si>
    <t xml:space="preserve"> Placed OLB Daelin Hayes on Injured Reserve. Signed T David Sharpe from the practice squad to the active roster. Placed DB Mazzi Wilkins on Practice Squad/COVID-19. Activated CB Robert Jackson from the practice squad (COVID-19 replacement). Activated S Tony Jefferson from the practice squad (standard elevation). Activated T Jaryd Jones-Smith from the practice squad (standard elevation).</t>
  </si>
  <si>
    <t xml:space="preserve"> Signed G/OT Cordell Volson (2022 4th Round Draft Pick)</t>
  </si>
  <si>
    <t xml:space="preserve"> CIN</t>
  </si>
  <si>
    <t xml:space="preserve"> Signed DT Zach Carter (2022 3rd Round Draft Pick)</t>
  </si>
  <si>
    <t xml:space="preserve"> Signed DB Cam Taylor-Britt (2022 2nd Round Draft Pick).</t>
  </si>
  <si>
    <t xml:space="preserve"> Signed DE Jeff Gunter (2022 7th Round Draft Pick).</t>
  </si>
  <si>
    <t>05/19</t>
  </si>
  <si>
    <t xml:space="preserve"> Signed S Tycen Anderson (2022 5th Round Draft Pick).</t>
  </si>
  <si>
    <t xml:space="preserve"> Signed DB Dax Hill (2022 1st Round Draft Pick).</t>
  </si>
  <si>
    <t xml:space="preserve"> Signed the following 16 college free agents: LS Cal Adomitis, G/C Ben Brown, OT Devin Cochran, CB Allan George, WR Jaivon Heiligh, LB Clarence Hicks, CB Delonte Hood, HB Shermari Jones, WR Kwamie Lassiter II, G Desmond Noel, WR Kendric Pryor, S/CB Bookie Radley-Hiles, TE Justin Rigg, WR Jack Sorenson, DT/DE Tariqious Tisdale and LB Carson Wells.</t>
  </si>
  <si>
    <t xml:space="preserve"> The Bengals today signed CB Abu Daramy-Swaray, who participated in the team's rookie minicamp today as a tryout player.</t>
  </si>
  <si>
    <t>05/03</t>
  </si>
  <si>
    <t xml:space="preserve"> The following seven unrestricted free agents were not asked to re-sign (did not receive UFA tender offer from team): S Ricardo Allen, LB Jordan Evans, CB Vernon Hargreaves III, DT Zach Kerr, DT Larry Ogunjobi, OT Riley Reiff and G Quinton Spain.</t>
  </si>
  <si>
    <t xml:space="preserve"> Re-signed P Kevin Huber (UFA-Cin.).</t>
  </si>
  <si>
    <t xml:space="preserve"> Acquired a 2022 fifth-round draft choice (166th overall) in a trade with Chicago for a '22 fifth-round draft choice (174th) and a '22 seventh-round draft choice (226th); Selected three players in the annual NFL Draft: G/OT Cordell Volson of North Dakota State in Round 4 (136th overall), S Tycen Anderson of Toledo in Round 5 (166th) and DE Jeffrey Gunter of Coastal Carolina in Round 7 (252nd).</t>
  </si>
  <si>
    <t xml:space="preserve"> Exercised option to extend the contract of OT Jonah Williams by one year through 2023; Acquired a 2022 second-round draft choice (60th overall) in a trade with Buffalo for a sixth-round draft choice (209th); Selected two players in the annual NFL Draft: CB Cam Taylor-Britt of Nebraska in Round 2 (60th overall) and DT Zach Carter of Florida in Round 3 (95th overall).</t>
  </si>
  <si>
    <t xml:space="preserve"> Selected one player in the annual NFL Draft: DB Dax Hill of Michigan in Round 1 (31st overall).</t>
  </si>
  <si>
    <t>04/09</t>
  </si>
  <si>
    <t xml:space="preserve"> Re-signed CB Tre Flowers (UFA-Cin.).</t>
  </si>
  <si>
    <t xml:space="preserve"> Re-signed TE Mitchell Wilcox (unsigned exclusive rights player).</t>
  </si>
  <si>
    <t xml:space="preserve"> Re-signed TE Mitchell Wilcox (unsigned exclusive rights player).</t>
  </si>
  <si>
    <t xml:space="preserve"> Signed TE Nick Eubanks (FA).</t>
  </si>
  <si>
    <t xml:space="preserve"> Re-signed WR Stanley Morgan (FA); WR Auden Tate (UFA-Cin.) signed with Atlanta.</t>
  </si>
  <si>
    <t xml:space="preserve"> Waived OT Fred Johnson.</t>
  </si>
  <si>
    <t xml:space="preserve"> Re-signed OT Fred Johnson (RFA-Cin.).</t>
  </si>
  <si>
    <t xml:space="preserve"> Re-signed WR Trenton Irwin (FA-Cin.); Terminated the contract of CB Trae Waynes.</t>
  </si>
  <si>
    <t>03/20</t>
  </si>
  <si>
    <t xml:space="preserve"> Signed OT La'el Collins (FA).</t>
  </si>
  <si>
    <t>03/19</t>
  </si>
  <si>
    <t xml:space="preserve"> Re-signed CB Eli Apple (UFA-Cin.); CB Darius Phillips (UFA-Cin.) signed with the Las Vegas.</t>
  </si>
  <si>
    <t xml:space="preserve"> Signed G Alex Cappa (UFA-T.B.) and TE Hayden Hurst (UFA-Atl.); Re-signed QB Brandon Allen (UFA-Cin.) and WR Mike D. Thomas (UFA-Cin.); Terminated the contract of C Trey Hopkins.</t>
  </si>
  <si>
    <t xml:space="preserve"> Signed C/G Ted Karras (UFA-N.E.); Re-signed S Michael J. Thomas (UFA-Cin.) and DT Josh Tupou (UFA-Cin.); TE C.J. Uzomah (UFA-Cin.) signed with the N.Y. Jets.</t>
  </si>
  <si>
    <t xml:space="preserve"> Re-signed LS Clark Harris; The contract expired for S Jessie Bates III (designated franchise player); The contracts expired for the following 17 players, rendering them unrestricted free agents: QB Brandon Allen, S Ricardo Allen, CB Eli Apple, LB Jordan Evans, CB Tre Flowers, CB Vernon Hargreaves, P Kevin Huber, DT Zach Kerr, DT Larry Ogunjobi, CB Darius Phillips, OT Riley Reiff, G Quinton Spain, WR Auden Tate, S Michael J. Thomas, WR Mike D. Thomas, DT Josh Tupou and TE C.J. Uzomah; The contract expired for OT Fred Johnson (received tender offer), rendering him a restricted free agent; The contract expired for potential restricted free agent WR Stanley Morgan (did not receive tender offer), rendering him a free agent; The contract expired for TE Mitchell Wilcox (received minimum salary offer), rendering him an unsigned exclusive rights player; The contracts expired for the following two potential exclusive rights players (did not receive minimum salary offers), rendering them free agents: WR Trenton Irwin and DE Wyatt Ray.</t>
  </si>
  <si>
    <t xml:space="preserve"> Re-signed DT B.J. Hill; Extended minimum salary offer to TE Mitchell Wilcox; Extended tender offer to OT Fred Johnson.</t>
  </si>
  <si>
    <t xml:space="preserve"> March 11, 2022 â€”  Re-signed LB Joe Bachie.</t>
  </si>
  <si>
    <t>03/04</t>
  </si>
  <si>
    <t xml:space="preserve"> Re-signed LB Clay Johnston.</t>
  </si>
  <si>
    <t>03/01</t>
  </si>
  <si>
    <t xml:space="preserve"> Re-signed CB Jalen Davis.</t>
  </si>
  <si>
    <t>02/22</t>
  </si>
  <si>
    <t xml:space="preserve"> Re-signed WR Trent Taylor (FA).</t>
  </si>
  <si>
    <t>02/21</t>
  </si>
  <si>
    <t xml:space="preserve"> The Practice Squad contracts expired for the following nine players: LB Austin Calitro, DT Mike Daniels, TE Chris Myarick, TE Mason Schreck (Practice Squad/Injured list), DT Damion Square, G Xavier Su'a-Filo, G Keaton Sutherland, WR Trent Taylor and DT Renell Wren.</t>
  </si>
  <si>
    <t>02/18</t>
  </si>
  <si>
    <t xml:space="preserve"> The contract for OT Riley Reiff automatically voided.</t>
  </si>
  <si>
    <t xml:space="preserve"> Signed the following nine Practice Squad players: CB John Brannon, QB Jake Browning, C Lamont Gaillard, S Trayvon Henderson, HB Elijah Holyfield, TE Thaddeus</t>
  </si>
  <si>
    <t>02/14</t>
  </si>
  <si>
    <t xml:space="preserve"> DT Mike Daniels and WR Trent Taylor reverted from the active roster to the Practice Squad.</t>
  </si>
  <si>
    <t>02/12</t>
  </si>
  <si>
    <t xml:space="preserve"> Elevated WR Trent Taylor and DT Mike Daniels to the active roster from the practice squad.</t>
  </si>
  <si>
    <t>02/07</t>
  </si>
  <si>
    <t xml:space="preserve"> Signed P Drue Chrisman to a Reserve/Future contract.</t>
  </si>
  <si>
    <t>01/31</t>
  </si>
  <si>
    <t xml:space="preserve"> DT Damion Square and WR Trent Taylor reverted from the active rosters to the Practice Squad; Released K Elliott Fry from the Practice Squad/Injured list.</t>
  </si>
  <si>
    <t xml:space="preserve"> Elevated WR Trent Taylor and DT Damion Square to the active roster. Taylor and Square are standard elevations.</t>
  </si>
  <si>
    <t xml:space="preserve"> Returned LB Joe Bachie to the reserve/injured list.</t>
  </si>
  <si>
    <t xml:space="preserve"> Signed DT Damion Square to the practice squad and Released DT Doug Costin from the practice squad.</t>
  </si>
  <si>
    <t xml:space="preserve"> Elevated WR Trent Taylor from the practice squad to the active roster.</t>
  </si>
  <si>
    <t xml:space="preserve"> Signed G Xavier Su'a-Filo (FA) to the Practice Squad; Placed LB Joe Bachie (Reserve/Injured) on the Reserve/COVID-19 list.</t>
  </si>
  <si>
    <t xml:space="preserve"> Waived G Xavier Su'a-Filo; Signed DT Doug Costin to the practice squad; Released P Drue Chrisman and LS Colin Holba from the practice squad.</t>
  </si>
  <si>
    <t xml:space="preserve"> Signed DT Zach Kerr off the Arizona Cardinals' practice squad.</t>
  </si>
  <si>
    <t xml:space="preserve"> Placed DT Larry Ogunjobi on the Reserve/Injured list and returned G Xavier Su'a-Filo to the active roster from the Reserve/Injured list. Also returned WR Trent Taylor and DT Mike Daniels to the practice squad.</t>
  </si>
  <si>
    <t xml:space="preserve"> Elevated DT Mike Daniels and WR Trent Taylor from the Practice Squad to the active roster (both standard elevations).</t>
  </si>
  <si>
    <t xml:space="preserve"> Signed LB Austin Calitro to the Practice Squad; Placed K Elliott Fry on the Practice Squad/Injured list.</t>
  </si>
  <si>
    <t xml:space="preserve"> Announced that WR Auden Tate was designated for return from the Reserve/Injured list and eligible to practice.</t>
  </si>
  <si>
    <t xml:space="preserve"> The following eight players reverted from the active roster to the Practice Squad: QB Jake Browning, DT Mike Daniels, K Elliott Fry, S Trayvon Henderson, DE Noah Spence, G Keaton Sutherland, WR Trent Taylor and DT Renell Wren; Returned the following seven players to the active roster from the Reserve/COVID-19 list: S Vonn Bell, DE Trey Hendrickson, DT B.J. Hill, C Trey Hopkins, HB Joe Mixon, DT Larry Ogunjobi and G Quinton Spain; Waived LB Austin Calitro.</t>
  </si>
  <si>
    <t xml:space="preserve"> Elevated QB Jake Browning and K Elliott Fry from the Practice Squad to the active roster (both standard elevations); Elevated the following six players from the Practice Squad to the active roster (all COVID-19 replacements): DT Mike Daniels, S Trayvon Henderson, DE Noah Spence, G Keaton Sutherland, WR Trent Taylor and DT Renell Wren.</t>
  </si>
  <si>
    <t xml:space="preserve"> Placed DT Larry Ogunjobi on the Reserve/COVID-19 list; Placed TE Thaddeus Moss (Practice Squad) on the Practice Squad/Injured list; Signed TE Chris Myarick to the Practice Squad.</t>
  </si>
  <si>
    <t xml:space="preserve"> Placed DT B.J. Hill and HB Joe Mixon on the Reserve/COVID-19 list; Returned WR Trenton Irwin and CB Trae Waynes to the active roster from the Reserve/COVID-19 list; Returned TE Scott Washington to the Practice Squad from the Reserve/COVID-19 list.</t>
  </si>
  <si>
    <t xml:space="preserve"> Placed the following five players on the Reserve/COVID-19 list: S Vonn Bell, LB Akeem Davis-Gaither (Reserve/Injured), DE Trey Hendrickson, C Trey Hopkins and G Quinton Spain; Signed K Elliott Fry (FA) to the Practice Squad; Placed TE Mason Schreck (Practice Squad) on the Practice Squad/Injured list.</t>
  </si>
  <si>
    <t xml:space="preserve"> Returned CB Darius Phillips and WR Auden Tate to the Reserve/Injured list from the Reserve/COVID-19 list; Placed LB Jordan Evans (Reserve/Injured) on the Reserve/COVID-19 list; CB John Brannon, QB Jake Browning and WR Trent Taylor reverted to the Practice Squad from the active roster. The suspension for HB Pooka Williams Jr. (Practice Squad/Suspended by Commissioner list) was lifted.</t>
  </si>
  <si>
    <t xml:space="preserve"> LB Tegray Scales signed off the Practice Squad by Pittsburgh.</t>
  </si>
  <si>
    <t>06/22</t>
  </si>
  <si>
    <t xml:space="preserve"> Released P Bradley Pinion.</t>
  </si>
  <si>
    <t xml:space="preserve"> TAM</t>
  </si>
  <si>
    <t xml:space="preserve"> Signed 2022 fourth-round draft pick P Jake Camarda to a four-year contract.</t>
  </si>
  <si>
    <t xml:space="preserve"> Signed 2022 second-round draft pick G Luke Goedeke to a four-year contract.</t>
  </si>
  <si>
    <t>06/01</t>
  </si>
  <si>
    <t xml:space="preserve"> Signed DL Akiem Hicks.</t>
  </si>
  <si>
    <t xml:space="preserve"> Waived WR Travis Jonsen.</t>
  </si>
  <si>
    <t xml:space="preserve"> Signed undrafted free agents WR Kameron Brown, DL Mike Greene and TE JJ Howland.</t>
  </si>
  <si>
    <t xml:space="preserve"> Signed undrafted free agents TE Ben Beise, G Curtis Blackwell, T Dylan Cook, ILB Olakunle Fatukasi, CB Don Gardner, WR Kaylon Geiger, CB Kyler McMichael, OLB JoJo Ozougwu, ILB J.J. Russell, WR Jerreth Sterns, WR Deven Thompkins, S Nolan Turner and OLB Jordan Young.</t>
  </si>
  <si>
    <t xml:space="preserve"> Signed 2022 third-round pick RB Rachaad White, fifth-round pick CB Zyon McCollum, sixth-round pick TE Ko Kieft and seventh-round pick OLB Andre Anthony to four-year contracts.</t>
  </si>
  <si>
    <t>05/01</t>
  </si>
  <si>
    <t xml:space="preserve"> Selected Washington TE Cade Otton in the fourth round (106th overall) of the 2022 NFL Draft.</t>
  </si>
  <si>
    <t xml:space="preserve"> Selected Houston DL Logan Hall in the second round (33rd overall) of the 2022 NFL Draft.</t>
  </si>
  <si>
    <t xml:space="preserve"> Traded 2022 1st-round pick (#27) to Jacksonville for 2022 2nd-round pick (#33), 2022 4th-round pick (#106) and 2022 6th-round pick (#180).</t>
  </si>
  <si>
    <t>04/27</t>
  </si>
  <si>
    <t xml:space="preserve"> Exercised the fifth-year option on the rookie contract of ILB Devin White.</t>
  </si>
  <si>
    <t>04/22</t>
  </si>
  <si>
    <t xml:space="preserve"> Signed DL Deadrin Senat.</t>
  </si>
  <si>
    <t xml:space="preserve"> Promoted Maral Javadifar to Director of Rehabilitation and Performance Coach.</t>
  </si>
  <si>
    <t xml:space="preserve"> Re-signed DL Patrick O'Connor.</t>
  </si>
  <si>
    <t xml:space="preserve"> Re-signed RB Giovani Bernard.</t>
  </si>
  <si>
    <t xml:space="preserve"> Signed unrestricted free agent S Keanu Neal.</t>
  </si>
  <si>
    <t xml:space="preserve"> Signed OL Fred Johnson.</t>
  </si>
  <si>
    <t xml:space="preserve"> Named Bruce Arians Senior Football Consultant.</t>
  </si>
  <si>
    <t xml:space="preserve"> Re-signed QB Ryan Griffin.</t>
  </si>
  <si>
    <t xml:space="preserve"> Re-signed LS Zach Triner and T Josh Wells.</t>
  </si>
  <si>
    <t xml:space="preserve"> Signed S Logan Ryan.</t>
  </si>
  <si>
    <t xml:space="preserve"> Re-signed RB Leonard Fournette.</t>
  </si>
  <si>
    <t xml:space="preserve"> Signed franchise-tagged WR Chris Godwin to a three-year contract.</t>
  </si>
  <si>
    <t xml:space="preserve"> Signed unrestricted free agent WR Russell Gage.</t>
  </si>
  <si>
    <t xml:space="preserve"> Re-signed CB Carlton Davis.</t>
  </si>
  <si>
    <t xml:space="preserve"> Re-signed C Ryan Jensen.</t>
  </si>
  <si>
    <t xml:space="preserve"> Re-signed G Aaron Stinnie.</t>
  </si>
  <si>
    <t xml:space="preserve"> Placed G Ali Marpet on the reserve/retired list.</t>
  </si>
  <si>
    <t xml:space="preserve"> Placed the 2022 non-exclusive franchise tag on WR Chris Godwin.</t>
  </si>
  <si>
    <t xml:space="preserve"> Named Bob Sanders outside linebackers coach, Joey Fitzgerald defensive quality control coach and Jeff Kastl offensive quality control coach.</t>
  </si>
  <si>
    <t>02/16</t>
  </si>
  <si>
    <t xml:space="preserve"> Re-signed T Brandon Walton.</t>
  </si>
  <si>
    <t xml:space="preserve"> Activated WR Chris Godwin, G Sadarius Hutcherson, DL Patrick O'Connor and CB Richard Sherman from injured reserve.</t>
  </si>
  <si>
    <t>02/03</t>
  </si>
  <si>
    <t xml:space="preserve"> Signed S Chris Cooper to a reserve/futures contract.</t>
  </si>
  <si>
    <t xml:space="preserve"> Signed P Sterling Hofrichter, T Jonathan Hubbard, WR Travis Jonsen, WR Vyncint Smith and WR Austin Watkins to reserve/futures contracts.</t>
  </si>
  <si>
    <t xml:space="preserve"> WR John Brown and QB Ryan Griffin revert to practice squad after Divisional Round elevation.</t>
  </si>
  <si>
    <t>01/22</t>
  </si>
  <si>
    <t xml:space="preserve"> Activated RB Leonard Fournette from injured reserve.</t>
  </si>
  <si>
    <t xml:space="preserve"> Re-signed CB Rashard Robinson to the practice squad.</t>
  </si>
  <si>
    <t xml:space="preserve"> Signed WR Justin Watson to the practice squad.</t>
  </si>
  <si>
    <t xml:space="preserve"> RB Kenjon Barner and TE Codey McElroy revert to practice squad after Wild Cad Week elevation.</t>
  </si>
  <si>
    <t xml:space="preserve"> Activated RB Giovani Bernard and ILB Lavonte David from injured reserve.</t>
  </si>
  <si>
    <t xml:space="preserve"> Signed WR John Brown to the practice squad.</t>
  </si>
  <si>
    <t xml:space="preserve"> RB Giovani Bernard, ILB Lavonte David and RB Leonard Fournette designated as returned to practice.</t>
  </si>
  <si>
    <t xml:space="preserve"> Activated OLB Shaquil Barrett and K Jose Borregales from the reserve/COVID-19 list.</t>
  </si>
  <si>
    <t xml:space="preserve"> RB Kenjon Barner and TE Darren Fells revert to practice squad after Week 18 elevation.</t>
  </si>
  <si>
    <t>01/09</t>
  </si>
  <si>
    <t xml:space="preserve"> Signed DL Vita Vea to a four-year contract extension.</t>
  </si>
  <si>
    <t xml:space="preserve"> Signed WR Cyril Grayson to the active roster from the practice squad.</t>
  </si>
  <si>
    <t xml:space="preserve"> Placed OLB Shaquil Barrett on the reserve/COVID-19 list.</t>
  </si>
  <si>
    <t xml:space="preserve"> Released WR Antonio Brown.</t>
  </si>
  <si>
    <t xml:space="preserve"> Activated P Bradley Pinion from the reserve/COVID-19 list.</t>
  </si>
  <si>
    <t xml:space="preserve"> Activated WR Jaelon Darden from the reserve/COVID-19 list.</t>
  </si>
  <si>
    <t xml:space="preserve"> RB Kenjon Barner, WR Cyril Grayson, P Sterling Hofrichter and OLB Elijah Ponder revert to practice squad after Week 17 elevation.</t>
  </si>
  <si>
    <t xml:space="preserve"> Activated CB Jamel Dean and CB Sean Murphy-Bunting from the reserve/COVID-19 list.</t>
  </si>
  <si>
    <t xml:space="preserve"> Signed DT C.J. Brewer, DT Prince Emili, CB Ja'Marcus Ingram and T Will Ulmer.</t>
  </si>
  <si>
    <t xml:space="preserve"> BUF</t>
  </si>
  <si>
    <t xml:space="preserve"> Signed T Alec Anderson, RB Raheem Blackshear, CB Travon Fuller, DE Kingsley Jonathan, G Derek Kersetter, T Tanner Owen, WR Neil Pau'u, WR Malik Williams and TE Jalen Wydermyer.</t>
  </si>
  <si>
    <t xml:space="preserve"> Selected WR Khalil Shakir in the fifth round, P Matt Araiza, CB Christian Benford and OL Luke Tenuta in the sixth round and LB Baylon Spector in the seventh round of the NFL Draft.</t>
  </si>
  <si>
    <t xml:space="preserve"> Selected RB James Cook in the second round and LB Terrel Bernard in the third round of the NFL Draft.</t>
  </si>
  <si>
    <t xml:space="preserve"> Selected CB Kaair Elam in the first round of the NFL Draft.</t>
  </si>
  <si>
    <t>04/21</t>
  </si>
  <si>
    <t xml:space="preserve"> Signed OL David Quessenberry to a one-year contract.</t>
  </si>
  <si>
    <t xml:space="preserve"> Signed OL Bobby Hart to a one-year contract.</t>
  </si>
  <si>
    <t xml:space="preserve"> Signed WR Stefon Diggs to a four-year extension.</t>
  </si>
  <si>
    <t xml:space="preserve"> Signed OL Ryan Bates to a four-year contract and RB Taiwan Jones to a one-year contract.</t>
  </si>
  <si>
    <t xml:space="preserve"> Signed OL Ike Boettger to a one-year contract.</t>
  </si>
  <si>
    <t xml:space="preserve"> Signed WR Jamison Crowder and RB Duke Johnson to one-year contracts.</t>
  </si>
  <si>
    <t xml:space="preserve"> Signed QB Matt Barkley and OL Greg Mancz to one-year contracts.</t>
  </si>
  <si>
    <t xml:space="preserve"> Acquired QB Case Keenum via trade with Cleveland in exchange for Buffalo's 2022 seventh round pick.</t>
  </si>
  <si>
    <t xml:space="preserve"> Released DT Star Lotulelei. Signed LB Marquel Lee and DE Shaq Lawson to one-year contracts.</t>
  </si>
  <si>
    <t xml:space="preserve"> Released WR Cole Beasley. Signed DT Tim Settle to a two-year contract and DT Jordan Phillips to a one-year contract.</t>
  </si>
  <si>
    <t xml:space="preserve"> Signed DT DaQuan Jones to a two-year contract, signed TE O.J. Howard to a one-year contract and signed LB Von Miller to a six-year contract.</t>
  </si>
  <si>
    <t xml:space="preserve"> Released OL Daryl Williams. Signed C Mitch Morse to a two-year contract extension. Signed OL Rodger Saffold to a one-year contract.</t>
  </si>
  <si>
    <t xml:space="preserve"> Signed WR Isaiah McKenzie to a two-year contract.</t>
  </si>
  <si>
    <t xml:space="preserve"> Signed WR Jake Kumerow to a one-year contract.</t>
  </si>
  <si>
    <t xml:space="preserve"> Released OL Jon Feliciano.</t>
  </si>
  <si>
    <t xml:space="preserve"> Released LB A.J. Klein.</t>
  </si>
  <si>
    <t>02/23</t>
  </si>
  <si>
    <t xml:space="preserve"> Signed CB Siran Neal to a three-year contract.</t>
  </si>
  <si>
    <t>02/10</t>
  </si>
  <si>
    <t xml:space="preserve"> Signed LB Tyrel Dodson to a one-year contract.</t>
  </si>
  <si>
    <t xml:space="preserve"> Named Matthew Smiley as special teams coordinator.</t>
  </si>
  <si>
    <t xml:space="preserve"> Signed DT Eli Ankou to a reserve/future contract.</t>
  </si>
  <si>
    <t>02/01</t>
  </si>
  <si>
    <t xml:space="preserve"> Named Ken Dorsey as offensive coordinator.</t>
  </si>
  <si>
    <t xml:space="preserve"> Signed CB Olaijah Griffin to a reserve/future contract.</t>
  </si>
  <si>
    <t xml:space="preserve"> Signed to reserve/future contract: DT Brandin Bryant, OL Jacob Capra, WR Tanner Gentry, LB Joe Giles-Harris, CB Tim Harris, WR Isaiah Hodgins , DE Mike Love, CB Nick McCloud, TE Quintin Morris, S Josh Thomas.</t>
  </si>
  <si>
    <t xml:space="preserve"> Signed RB Antonio Williams to the practice squad and released WR Austin Proehl from practice squad.</t>
  </si>
  <si>
    <t xml:space="preserve"> Signed S JT Woods.</t>
  </si>
  <si>
    <t xml:space="preserve"> LAC</t>
  </si>
  <si>
    <t>06/10</t>
  </si>
  <si>
    <t xml:space="preserve"> Signed RB Isaiah Spiller.</t>
  </si>
  <si>
    <t xml:space="preserve"> Signed G Zion Johnson.</t>
  </si>
  <si>
    <t xml:space="preserve"> Signed DL Morgan Fox.</t>
  </si>
  <si>
    <t xml:space="preserve"> Claimed T Zack Bailey off waivers.</t>
  </si>
  <si>
    <t xml:space="preserve"> Signed WR Trevon Bradford, RB Leddie Brown, FB Zander Horvath, TE Erik Krommenhoek, S Raheem Layne, DB Deane Leonard, LB Tyreek Maddox-Williams, RB Kevin Marks Jr., K James McCourt, DL Otito Ogbonnia, QB Brandon Peters, G Jamaree Salyer, CB Brandon Sebastian, OLB Ty Shelby, TE Stone Smartt, DB Ja'Sir Taylor, S Skyler Thomas, T Andrew Trainer and C Isaac Weaver.</t>
  </si>
  <si>
    <t>05/05</t>
  </si>
  <si>
    <t xml:space="preserve"> Signed CB Bryce Callahan and OLB Kyle Van Noy.</t>
  </si>
  <si>
    <t xml:space="preserve"> Traded two 2022 seventh-round selections to Chicago for 2023 sixth-round selection.</t>
  </si>
  <si>
    <t xml:space="preserve"> Signed C/G Will Clapp.</t>
  </si>
  <si>
    <t xml:space="preserve"> Re-signed T Storm Norton.</t>
  </si>
  <si>
    <t xml:space="preserve"> Signed LB Troy Reeder. Re-signed WR Jalen Guyton and TE Donald Parham Jr.</t>
  </si>
  <si>
    <t xml:space="preserve"> Signed WR DeAndre Carter.</t>
  </si>
  <si>
    <t xml:space="preserve"> Signed TE Gerald Everett.</t>
  </si>
  <si>
    <t xml:space="preserve"> Signed LS Josh Harris and P JK Scott.</t>
  </si>
  <si>
    <t xml:space="preserve"> Signed CB J.C. Jackson and DL Austin Johnson. Re-signed DL Christian Covington and QB Chase Daniel.</t>
  </si>
  <si>
    <t xml:space="preserve"> Signed DL Sebastian Joseph-Day.</t>
  </si>
  <si>
    <t xml:space="preserve"> Traded 2022 second-round selection and 2023 sixth-round selection to Chicago for OLB Khalil Mack.</t>
  </si>
  <si>
    <t xml:space="preserve"> Released T Bryan Bulaga.</t>
  </si>
  <si>
    <t xml:space="preserve"> Extended exclusive rights tenders to WR Jalen Guyton, T Storm Norton and TE Donald Parham Jr.</t>
  </si>
  <si>
    <t xml:space="preserve"> Signed WR Mike Williams to contract extension.</t>
  </si>
  <si>
    <t xml:space="preserve"> Signed OLB Jamal Davis II to Reserve/Future contract.</t>
  </si>
  <si>
    <t xml:space="preserve"> Signed WR Joe Reed to Reserve/Future contract.</t>
  </si>
  <si>
    <t xml:space="preserve"> Signed WR Michael Bandy, DL Andrew Brown, LB Cole Christiansen, DB Ben DeLuca, OLB Emeke Egbule, WR Maurice Ffrench, G Ryan Hunter, TE Hunter Kampmoyer, DL Forrest Merrill, WR Jason Moore Jr., and T Foster Sarell to Reserve/Future contracts.</t>
  </si>
  <si>
    <t xml:space="preserve"> Activated OLB Kyler Facrell from Reserve/Injured; Designated for Return. Waived CB Essang Bassey.</t>
  </si>
  <si>
    <t xml:space="preserve"> Activated TE Jared Cook from Reserve/COVID-19. Activated LB Damon Lloyd from Reserve/COVID-19 and remains on Reserve/Injured.</t>
  </si>
  <si>
    <t xml:space="preserve"> Activated LB Kenneth Murray Jr., from Reserve/COVID-19. Restored DL Andrew Brown from Practice Squad; COVID-19. Reverted LB Cole Christiansen and TE Hunter Kampmoyer to practice squad. Released LS Beau Brinkley from practice squad.</t>
  </si>
  <si>
    <t xml:space="preserve"> Activated S Nasir Adderley, S Alohi Gilman, CB Chris Harris Jr., CB Davontae Harris, K Dustin Hopkins, T Storm Norton, LS Matt Overton and T Trey Pipkins III from Reserve/COVID-19. Activated LB Cole Christiansen (COVID-19 elevation) and TE Hunter Kampmoyer (COVID-19 elevation) from practice squad.</t>
  </si>
  <si>
    <t>07/13</t>
  </si>
  <si>
    <t xml:space="preserve"> Acquired WR N'Keal Harry from New England Patriots via trade for 2024 7th-round draft pick.</t>
  </si>
  <si>
    <t xml:space="preserve"> CHI</t>
  </si>
  <si>
    <t xml:space="preserve"> Waived LS Antonio Ortiz.</t>
  </si>
  <si>
    <t>06/25</t>
  </si>
  <si>
    <t xml:space="preserve"> Signed DB Kyler Gordon to four-year contract.</t>
  </si>
  <si>
    <t>06/21</t>
  </si>
  <si>
    <t xml:space="preserve"> Signed DB Jayson Stanley.</t>
  </si>
  <si>
    <t xml:space="preserve"> Placed OL Dakota Dozier on Reserve/Injured.</t>
  </si>
  <si>
    <t xml:space="preserve"> Released LB Jeremiah Attaochu.</t>
  </si>
  <si>
    <t xml:space="preserve"> Signed DL Mike Pennel.</t>
  </si>
  <si>
    <t xml:space="preserve"> Signed WR Velus Jones Jr. to four-year contract.</t>
  </si>
  <si>
    <t xml:space="preserve"> Signed OL Shon Coleman to one-year contract. Waived P Ryan Winslow.</t>
  </si>
  <si>
    <t xml:space="preserve"> Signed OL Zachary Thomas to four-year contract.</t>
  </si>
  <si>
    <t xml:space="preserve"> Waived WR Cyrus Holder and WR Henry Litwin.</t>
  </si>
  <si>
    <t xml:space="preserve"> Signed WR Dante Pettis and WR Tajae Sharpe to one-year contracts.</t>
  </si>
  <si>
    <t>05/11</t>
  </si>
  <si>
    <t xml:space="preserve"> Signed QB Nathan Peterman to one-year contract.</t>
  </si>
  <si>
    <t xml:space="preserve"> Waived TE Jesper Horsted with failed physical designation.</t>
  </si>
  <si>
    <t xml:space="preserve"> Claimed TE Rysen John off waivers.</t>
  </si>
  <si>
    <t xml:space="preserve"> Waived QB Ryan Willis.</t>
  </si>
  <si>
    <t>05/09</t>
  </si>
  <si>
    <t xml:space="preserve"> Waived LB Jaylan Alexander, DB Amari Carter, WR Landon Lenoir, LB Ledarius Mack, WR Savon Scarver and RB Master Teague.</t>
  </si>
  <si>
    <t xml:space="preserve"> Signed LB Christian Albright, DB Jon Alexander, LS Antonio Ortiz, DL Carson Taylor, DB A.J. Thomas and RB De'Montre Tuggle.</t>
  </si>
  <si>
    <t xml:space="preserve"> Signed LB Jaylan Alexander, TE Chase Allen, LB C.J. Avery, DB Amari Carter, OL Jean Delance, DL Micah Dew-Treadway, DB Allie Green IV, WR Cyrus Holder, DB Jaylon Jones, WR Landon Lenoir, WR Henry Litwin, LB Jack Sanborn, WR Kevin Shaa, WR Savon Scarver, RB Master Teague and TE Jake Tonges.</t>
  </si>
  <si>
    <t xml:space="preserve"> Waived OL Tyrone Wheatley Jr.</t>
  </si>
  <si>
    <t xml:space="preserve"> Signed OL Ja'Tyre Carter, RB Trestan Ebner, P Trenton Gill, DB Elijah Hicks, OL Braxton Jones, OL Doug Kramer and DL Dominique Robinson to four-year contracts.</t>
  </si>
  <si>
    <t>05/04</t>
  </si>
  <si>
    <t xml:space="preserve"> Claimed WR Chris Finke off waivers.</t>
  </si>
  <si>
    <t xml:space="preserve"> Released QB Nick Foles.</t>
  </si>
  <si>
    <t xml:space="preserve"> Signed OL JuliÃ©n Davenport to one-year contract.</t>
  </si>
  <si>
    <t xml:space="preserve"> Signed WR David Moore and DB Greg Stroman Jr. to one-year contracts.</t>
  </si>
  <si>
    <t xml:space="preserve"> Signed TE James O'Shaughnessy to one-year contract.</t>
  </si>
  <si>
    <t xml:space="preserve"> Signed DB Tavon Young to one-year contract.</t>
  </si>
  <si>
    <t xml:space="preserve"> Signed LB Matt Adams to one-year contract.</t>
  </si>
  <si>
    <t xml:space="preserve"> Signed TE Ryan Griffin to one-year contract.</t>
  </si>
  <si>
    <t xml:space="preserve"> Signed TE Jesper Horsted to one-year contract.</t>
  </si>
  <si>
    <t xml:space="preserve"> Signed DB Dane Cruikshank to one-year contract.</t>
  </si>
  <si>
    <t xml:space="preserve"> Signed QB Trevor Siemian to two-year contract.</t>
  </si>
  <si>
    <t xml:space="preserve"> Signed OL Dakota Dozier to one-year contract.</t>
  </si>
  <si>
    <t xml:space="preserve"> Signed FB Khari Blasingame to one-year contract.</t>
  </si>
  <si>
    <t xml:space="preserve"> Signed DB DeAndre Houston-Carson to one-year contract.</t>
  </si>
  <si>
    <t xml:space="preserve"> Signed WR Byron Pringle to one-year contract.</t>
  </si>
  <si>
    <t xml:space="preserve"> Signed DL Al-Quadin Muhammad to two-year contract.</t>
  </si>
  <si>
    <t xml:space="preserve"> Signed LB Nicholas Morrow to one-year contract.</t>
  </si>
  <si>
    <t xml:space="preserve"> Signed WR Equanimeous St. Brown to one-year contract.</t>
  </si>
  <si>
    <t xml:space="preserve"> Signed DL Justin Jones to two-year contract.</t>
  </si>
  <si>
    <t xml:space="preserve"> Signed OL Lucas Patrick to two-year contract.</t>
  </si>
  <si>
    <t xml:space="preserve"> Released LS Beau Brinkley.</t>
  </si>
  <si>
    <t xml:space="preserve"> Acquired 2022 2nd-round draft pick and 2023 6th-round draft pick from Los Angeles Chargers via trade for LB Khalil Mack.</t>
  </si>
  <si>
    <t xml:space="preserve"> Re-signed OL Lachavious Simmons to one-year contract.</t>
  </si>
  <si>
    <t xml:space="preserve"> Signed LS Patrick Scales to one-year contract extension through 2022.</t>
  </si>
  <si>
    <t xml:space="preserve"> Released RB Tarik Cohen.</t>
  </si>
  <si>
    <t xml:space="preserve"> Released LB Danny Trevathan.</t>
  </si>
  <si>
    <t xml:space="preserve"> Released DL Eddie Goldman.</t>
  </si>
  <si>
    <t xml:space="preserve"> Claimed RB Darrynton Evans off waivers.</t>
  </si>
  <si>
    <t xml:space="preserve"> Signed LB Joe Thomas.</t>
  </si>
  <si>
    <t xml:space="preserve"> Signed LB Noah Dawkins.</t>
  </si>
  <si>
    <t xml:space="preserve"> Signed LS Beau Brinkley and P Ryan Winslow.</t>
  </si>
  <si>
    <t xml:space="preserve"> Signed OL Willie Wright to Reserve/Future contract.</t>
  </si>
  <si>
    <t xml:space="preserve"> Signed DB Lamar Jackson to Reserve/Future contract.</t>
  </si>
  <si>
    <t xml:space="preserve"> Signed DL Auzoyah Alufohai, WR Isaiah Coulter, OL Dieter Eiselen, DB Michael Joseph, DB BoPete Keyes), DL LaCale London, LB Ledarius Mack, LB Charles Snowden, WR Nsimba Webster, OL Tyrone Wheatley Jr. and QB Ryan Willis to Reserve/Future contracts.</t>
  </si>
  <si>
    <t xml:space="preserve"> Signed WR Dazz Newsome to active roster.</t>
  </si>
  <si>
    <t xml:space="preserve"> Placed QB Justin Fields on Reserve/COVID-19 list.</t>
  </si>
  <si>
    <t xml:space="preserve"> Signed LB John Daka to practice squad.</t>
  </si>
  <si>
    <t xml:space="preserve"> Placed WR Jakeem Grant Sr. on Reserve/Injured.</t>
  </si>
  <si>
    <t xml:space="preserve"> Signed DB Stanford Samuels to practice squad.</t>
  </si>
  <si>
    <t xml:space="preserve"> Placed LB Charles Snowden on Reserve/COVID-19 list.</t>
  </si>
  <si>
    <t xml:space="preserve"> Placed TE Jesper Horsted on Reserve/Injured.</t>
  </si>
  <si>
    <t xml:space="preserve"> Waived DB Dee Virgin from practice squad.</t>
  </si>
  <si>
    <t xml:space="preserve"> Removed TE Jesper Horsted and LB Joel Iyiegbuniwe from Reserve/COVID-19 list.</t>
  </si>
  <si>
    <t xml:space="preserve"> Luq Barcoo (DB) waived. Mathew Sexton (WR) waived/injured. Chris Lammons (DB), Aaron parker (WR) signed.</t>
  </si>
  <si>
    <t xml:space="preserve"> KAN</t>
  </si>
  <si>
    <t xml:space="preserve"> Skyy Moore (WR), Jerick McKinnon (RB) signed. Darryl Williams (C) waived</t>
  </si>
  <si>
    <t xml:space="preserve"> Vitaliy Gurman (T) signed</t>
  </si>
  <si>
    <t xml:space="preserve"> Chris Glaser (G), Gary Jennings (WR), Austin Reiter (C) signed. Anthony Gordon (QB), Brenden Knox (RB), Gene Pryor (T), Darius Stills (DT) waived.</t>
  </si>
  <si>
    <t xml:space="preserve"> Signed the following draft choices: Bryan Cook (DB), Nazeeh Johnson (DB), George Karlaftis (DE), Darian Kinnard (T), Trent McDuffie (DB), Isiah Pacheco (RB), Jaylen Watson (DB). Signed the following College Free Agents: Mike Caliendo (G), Jack Cochrane (LB), Dustin Crum (QB), Jerrion Ealy (RB), Tayon Fleet-Davis (RB), Nasir Greer (DB), Kehinde Oginni (TE), Gene Pryor (T), Mike Rose (LB), Justyn Ross (WR). Waived the following player: Austin Reiter (C).</t>
  </si>
  <si>
    <t xml:space="preserve"> Gehrig Dieter (WR) Nakia Griffin-Stewart (TE), Gary Jennings (WR), Lorenzo Neal (DT), Josh Pederson (TE), Jonathan Woodard (DE) waived</t>
  </si>
  <si>
    <t xml:space="preserve"> Chris Finke (WR) waived</t>
  </si>
  <si>
    <t xml:space="preserve"> Lonnie Johnson (CB) acquired via trade with Houston Texans</t>
  </si>
  <si>
    <t xml:space="preserve"> Anthony Gordon (QB) signed</t>
  </si>
  <si>
    <t xml:space="preserve"> Deon Bush (S), Ronald Jones (RB) signed</t>
  </si>
  <si>
    <t xml:space="preserve"> Jermaine Carter (LB) signed</t>
  </si>
  <si>
    <t xml:space="preserve"> Luq Barcoo (DB), Blake Bell (TE), Geron Christian (T), Corey Coleman (WR), Chad Henne (QB), Elijah Lee (LB), Austin Reiter (C), Derrick Nnadi (DT) signed</t>
  </si>
  <si>
    <t xml:space="preserve"> Marquez Valdes-Scantling (WR), Luq Barcoo (DB), Blake Bell (TE), Geron Christian (T), Corey Coleman (WR), Chad Henne (QB), Elijah Lee (LB), Austin Reiter (C), Derrick Nnadi (DT) signed</t>
  </si>
  <si>
    <t xml:space="preserve"> Michael Burton (FB) signed</t>
  </si>
  <si>
    <t xml:space="preserve"> JuJu Smith-Schuster (WR) signed</t>
  </si>
  <si>
    <t xml:space="preserve"> Andrew Wylie (OL) signed</t>
  </si>
  <si>
    <t xml:space="preserve"> Justin Reid (S) agreed to terms</t>
  </si>
  <si>
    <t xml:space="preserve"> Orlando Brown (T) tagged with Non-Exclusive Franchise Tag</t>
  </si>
  <si>
    <t xml:space="preserve"> Anthony Hitchens (LB) released</t>
  </si>
  <si>
    <t xml:space="preserve"> Shilique Calhoun (LB) signed to Reserve/Future</t>
  </si>
  <si>
    <t xml:space="preserve"> Brandin Dandridge (DB), Nakia Griffin-Stewart (TE), Jonathan Woodard (DE), Justin Watson (WR) signed to Reserve/Future</t>
  </si>
  <si>
    <t xml:space="preserve"> Dicaprio Bootle (DB), Cortez Broughton (DT), Matt Bushman (TE), Gehrig Dieter (WR), Austin Edwards (DE), Daurice Fountain (WR), Josh Gordon (WR), Darius Harris (LB), Roderick Johnson (T), Devon Key (DB), Cornell Powell (WR), Mark Vital (TE), Darryl Williams (C) signed to Reserve/Futures</t>
  </si>
  <si>
    <t xml:space="preserve"> Fountain, Daurice (WR) activated from Practice Squad via Standard Elevation. Arnette, Damon (DB) waived.</t>
  </si>
  <si>
    <t xml:space="preserve"> Josh Gordon (WR) moved to Practice Squad. Khalen Saunders (DL) moved to Active Roster.</t>
  </si>
  <si>
    <t xml:space="preserve"> Joe Jackson (DE), Andrew Billings (DT), Roderick Johnson (DT) signed to Practice Squad. Elijah McGuire (RB) released from Practice Squad. Mark Vital (TE) restored to Practice Squad. Damon Arnette (DB), Chris Finke (WR) signed to Reserve/Future.</t>
  </si>
  <si>
    <t xml:space="preserve"> Shilique Calhoun (LB), Nakia Griffin-Stewart (TE) and Elijah Sullivan (LB) released from Practice Squad</t>
  </si>
  <si>
    <t xml:space="preserve"> Josh Jackson (DB) released from Practice Squad</t>
  </si>
  <si>
    <t xml:space="preserve"> Daurice Fountain (WR), Darwin Thompson (RB) activated from Practice Squad via Standard Elevation.</t>
  </si>
  <si>
    <t xml:space="preserve"> Darwin Thompson (RB) signed to Practice Squad</t>
  </si>
  <si>
    <t xml:space="preserve"> Omar Bayless (WR), Jordan Franks (TE), Gary Jennings (WR), Brenden Knox (RB), Lorenzo Neal (DT), Mathew Sexton (WR), Darius Stills (DT) signed to Reserve/Futures. Joshua Kaindoh (DE) activated from Injured Reserve.</t>
  </si>
  <si>
    <t xml:space="preserve"> Signed LB Dakota Allen</t>
  </si>
  <si>
    <t xml:space="preserve"> CLE</t>
  </si>
  <si>
    <t xml:space="preserve"> Signed K Cade York</t>
  </si>
  <si>
    <t xml:space="preserve"> Signed RB D'Ernest Johnson</t>
  </si>
  <si>
    <t xml:space="preserve"> Re-signed TE David Njoku</t>
  </si>
  <si>
    <t xml:space="preserve"> Re-signed DE Jadeveon Clowney</t>
  </si>
  <si>
    <t xml:space="preserve"> Signed TE Nakia Griffin-Stewart and waived TE Nick Guggemos</t>
  </si>
  <si>
    <t xml:space="preserve"> Waived QB Felix Harper</t>
  </si>
  <si>
    <t xml:space="preserve"> Signed CB Parnell Motley</t>
  </si>
  <si>
    <t xml:space="preserve"> Claimed S Luther Kirk and CB Reggie Robinson II</t>
  </si>
  <si>
    <t xml:space="preserve"> Waived CB Junior Faulk</t>
  </si>
  <si>
    <t xml:space="preserve"> Waived RB Tre Harbison</t>
  </si>
  <si>
    <t xml:space="preserve"> Signed undrafted free-agents S D'Anthony Bell, CB Junior Faulk, WR Mike Harley Jr., WR Travell Harris, C Brock Hoffman, CB Shaun Jolly, LB Silas Kelly, DT Glen Logan, TE Zaire Mitchell-Paden, DT Roderick Perry II, T Ben Petrula, WR Isaiah Weston</t>
  </si>
  <si>
    <t xml:space="preserve"> Signed CB Martin Emerson Jr., DE Alex Wright, WR David Bell, RB Jerome Ford, WR Mike Woods II, DE Isaiah Thomas, G Dawson Deaton</t>
  </si>
  <si>
    <t xml:space="preserve"> Waived Ks Chase McLaughlin and Chris Blewitt</t>
  </si>
  <si>
    <t xml:space="preserve"> Signed undrafted free-agent TE Marcus Santos-Silva</t>
  </si>
  <si>
    <t xml:space="preserve"> Drafted K Cade York</t>
  </si>
  <si>
    <t xml:space="preserve"> Drafted WR Michael Woods II</t>
  </si>
  <si>
    <t xml:space="preserve"> Traded CB Troy Hill to Los Angeles Rams for 2023 fifth-round pick</t>
  </si>
  <si>
    <t xml:space="preserve"> Drafted C Dawson Deaton</t>
  </si>
  <si>
    <t xml:space="preserve"> Drafted RB Jerome Ford</t>
  </si>
  <si>
    <t xml:space="preserve"> Traded 2022 4th round (118) pick to Vikings for 2022 5th round (156) and 2023 4th round pick</t>
  </si>
  <si>
    <t xml:space="preserve"> Drafted DT Perrion Winfrey</t>
  </si>
  <si>
    <t xml:space="preserve"> Drafted DE Isaiah Thomas</t>
  </si>
  <si>
    <t xml:space="preserve"> Drafted DE Alex Wright</t>
  </si>
  <si>
    <t xml:space="preserve"> Drafted CB Martin Emerson</t>
  </si>
  <si>
    <t xml:space="preserve"> Drafted WR David Bell</t>
  </si>
  <si>
    <t xml:space="preserve"> Traded 2022 2nd (44th) to Texans for 2022 3rd (68th) and two 2022 4ths (108th and 124th)</t>
  </si>
  <si>
    <t xml:space="preserve"> Re-signed DT Sheldon Day</t>
  </si>
  <si>
    <t xml:space="preserve"> Signed DE Stephen Weatherly</t>
  </si>
  <si>
    <t xml:space="preserve"> Signed C Ethan Pocic</t>
  </si>
  <si>
    <t xml:space="preserve"> Signed K Chase McLaughlin</t>
  </si>
  <si>
    <t xml:space="preserve"> Signed P Corey Bojorquez</t>
  </si>
  <si>
    <t xml:space="preserve"> Signed QB Jacoby Brissett</t>
  </si>
  <si>
    <t xml:space="preserve"> Re-signed LB Anthony Walker Jr.</t>
  </si>
  <si>
    <t xml:space="preserve"> Agreed to terms with DT Taven Bryan</t>
  </si>
  <si>
    <t xml:space="preserve"> Agreed to terms with WR Jakeem Grant</t>
  </si>
  <si>
    <t xml:space="preserve"> Traded LB Mack Wilson to New England Patriots for DE Chase Winovich</t>
  </si>
  <si>
    <t xml:space="preserve"> Released TE Austin Hooper</t>
  </si>
  <si>
    <t xml:space="preserve"> Re-signed T Chris Hubbard</t>
  </si>
  <si>
    <t xml:space="preserve"> Traded 2022 5th (155) and 2022 6th round (193) picks to Dallas Cowboys for WR Amari Cooper and 2022 6th round pick (202)</t>
  </si>
  <si>
    <t xml:space="preserve"> Terminated contract of C JC Tretter</t>
  </si>
  <si>
    <t xml:space="preserve"> Terminated contract of WR Jarvis Landry</t>
  </si>
  <si>
    <t xml:space="preserve"> Tendered G Michael Dunn</t>
  </si>
  <si>
    <t xml:space="preserve"> Designated TE David Njoku as franchise player</t>
  </si>
  <si>
    <t xml:space="preserve"> Tendered G Blake Hance</t>
  </si>
  <si>
    <t xml:space="preserve"> Tendered WR Ja'Marcus Bradley</t>
  </si>
  <si>
    <t xml:space="preserve"> Signed P Joseph Charlton to reserve/futures</t>
  </si>
  <si>
    <t xml:space="preserve"> Signed RB John Kelly Jr. to reserve/futures</t>
  </si>
  <si>
    <t xml:space="preserve"> Signed CB Herb Miller to reserve/futures</t>
  </si>
  <si>
    <t xml:space="preserve"> Signed LB Willie Harvey Jr. to reserve/futures</t>
  </si>
  <si>
    <t xml:space="preserve"> Signed T Elijah Nkansah to reserve/futures</t>
  </si>
  <si>
    <t xml:space="preserve"> Signed K Chris Blewitt to reserve/futures</t>
  </si>
  <si>
    <t xml:space="preserve"> Signed TE Nick Guggemos to reserve/futures</t>
  </si>
  <si>
    <t xml:space="preserve"> Signed TE Miller Forristall to reserve/futures</t>
  </si>
  <si>
    <t xml:space="preserve"> Signed G Hjalte Froholdt to reserve/futures</t>
  </si>
  <si>
    <t xml:space="preserve"> Signed G David Moore to reserve/futures</t>
  </si>
  <si>
    <t xml:space="preserve"> Signed FB Johnny Stanton IV to reserve/futures</t>
  </si>
  <si>
    <t xml:space="preserve"> Signed CB Nate Meadors to reserve/futures</t>
  </si>
  <si>
    <t xml:space="preserve"> Signed T Alex Taylor to reserve/futures</t>
  </si>
  <si>
    <t xml:space="preserve"> Signed DE Curtis Weaver to reserve/futures</t>
  </si>
  <si>
    <t xml:space="preserve"> Elevated CB Herb Miller to the active roster from the practice squad (COVID-19)</t>
  </si>
  <si>
    <t xml:space="preserve"> Elevated S Adrian Colbert to active roster from practice squad (COVID-19)</t>
  </si>
  <si>
    <t xml:space="preserve"> Elevated DE Curtis Weaver to active roster from practice squad (COVID-19)</t>
  </si>
  <si>
    <t xml:space="preserve"> Elevated G Hjalte Froholdt to active roster from practice squad (COVID-19)</t>
  </si>
  <si>
    <t xml:space="preserve"> Waived LB Willie Harvey Jr.</t>
  </si>
  <si>
    <t xml:space="preserve"> Elevated CB Brian Allen to the active roster from the practice squad (COVID-19)</t>
  </si>
  <si>
    <t xml:space="preserve"> Placed LB Malcolm Smith on reserve/COVID-19</t>
  </si>
  <si>
    <t xml:space="preserve"> Activated RB D'Ernest Johnson from reserve/COVID-19</t>
  </si>
  <si>
    <t xml:space="preserve"> Placed CB Denzel Ward on reserve/COVID-19</t>
  </si>
  <si>
    <t xml:space="preserve"> Placed DE Joe Jackson on practice squad/COVID-19</t>
  </si>
  <si>
    <t xml:space="preserve"> Signed T Alex Taylor to practice squad</t>
  </si>
  <si>
    <t xml:space="preserve"> Signed RB Benny LeMay to practice squad</t>
  </si>
  <si>
    <t xml:space="preserve"> Placed DT Malik Jackson on reserve/COVID-19</t>
  </si>
  <si>
    <t xml:space="preserve"> Placed K Chris Blewitt on practice squad/COVID-19</t>
  </si>
  <si>
    <t xml:space="preserve"> Released T Elijah Nkansah from practice squad</t>
  </si>
  <si>
    <t xml:space="preserve"> Signed RB Dexter Williams (via Miami practice squad)</t>
  </si>
  <si>
    <t xml:space="preserve"> Placed LB Sione Takitaki (shoulder) on reserve/injured</t>
  </si>
  <si>
    <t xml:space="preserve"> Signed RB Artavis Pierce to practice squad</t>
  </si>
  <si>
    <t xml:space="preserve"> Signed QB Nick Mullens to active roster from practice squad</t>
  </si>
  <si>
    <t xml:space="preserve"> Activated LB Tony Fields II from reserve/COVID-19</t>
  </si>
  <si>
    <t xml:space="preserve"> Placed QB Baker Mayfield (shoulder) on reserve/injured</t>
  </si>
  <si>
    <t xml:space="preserve"> Placed RB Dexter Williams on reserve/COVID-19</t>
  </si>
  <si>
    <t xml:space="preserve"> Placed RB D'Ernest Johnson on reserve/COVID-19</t>
  </si>
  <si>
    <t xml:space="preserve"> Placed S Jovante Moffatt on practice squad/COVID-19</t>
  </si>
  <si>
    <t xml:space="preserve"> Activated LB Elijah Lee from reserve/COVID-19</t>
  </si>
  <si>
    <t xml:space="preserve"> Restored S Tedric Thompson to practice squad from practice squad/COVID-19</t>
  </si>
  <si>
    <t xml:space="preserve"> Signed TE Nick Guggemos to practice squad</t>
  </si>
  <si>
    <t xml:space="preserve"> Waived QB Kyle Lauletta</t>
  </si>
  <si>
    <t xml:space="preserve"> Restored QB Nick Mullens to practice squad from practice squad/COVID-19</t>
  </si>
  <si>
    <t xml:space="preserve"> Waived T Alex Taylor from reserve/COVID-19</t>
  </si>
  <si>
    <t xml:space="preserve"> Placed TE Miller Forristall (hamstring) on practice squad/injured</t>
  </si>
  <si>
    <t xml:space="preserve"> Elevated G Hjalte Froholdt to active roster from practice squad</t>
  </si>
  <si>
    <t xml:space="preserve"> Elevated S Adrian Colbert to active roster from practice squad</t>
  </si>
  <si>
    <t>06/15</t>
  </si>
  <si>
    <t xml:space="preserve"> Ifeadi Odenigbo (DE) signed; Khari Willis (S) placed on the Reserve/Retired list.</t>
  </si>
  <si>
    <t xml:space="preserve"> IND</t>
  </si>
  <si>
    <t xml:space="preserve"> Bryan Cox (DE), Jason Spriggs (T) signed; Cullen Wick (DE) waived</t>
  </si>
  <si>
    <t xml:space="preserve"> Caeveon Patton (DT) signed; Jordan Glasgow (LB), McKinley Williams III (DT) waived</t>
  </si>
  <si>
    <t xml:space="preserve"> Ty'Son Williams (RB) signed as free agent; Alex Mollette (C) waived</t>
  </si>
  <si>
    <t xml:space="preserve"> Nick Foles (QB) signed as free agent; James Morgan (QB) waived</t>
  </si>
  <si>
    <t xml:space="preserve"> Phillip Lindsay (RB) signed as free agent; Max Borghi (RB) waived</t>
  </si>
  <si>
    <t xml:space="preserve"> Nick Cross (S) signed contract</t>
  </si>
  <si>
    <t xml:space="preserve"> Jack Coan (QB), Ethan Fernea (WR), D'vonte Price (RB), Dallis Flowers (CB), CJ Verdell (RB), Marcel Dabo (DB), Max Borghi (RB), Trevor Denbow (S), James Skalski (LB), Forrest Rhyne (LB), Sterling Weatherford (LB), JoJo Domann (LB), Josh Seltzner (G), Wesley French (C), Alex Mollette (C), Cullen Wick (DE), McKinley Williams III (DT), Scott Patchan (DE), Ryan Van Demark (T), Michael Young Jr. (WR), Samson Nacua (WR), Kekoa Crawford (WR) signed as undrafted free agents</t>
  </si>
  <si>
    <t xml:space="preserve"> Eric Johnson (DT), Andrew Ogletree (TE), Curtis Brooks (DT), Rodney Thomas II (DB) signed contracts</t>
  </si>
  <si>
    <t xml:space="preserve"> Dennis Kelly (T) signed as free agent; Shon Coleman (T), Malik Jefferson (LB) released; Farrod Green (TE), Eli Wolf (TE) waived</t>
  </si>
  <si>
    <t xml:space="preserve"> Alec Pierce (WR) selected with 53rd pick in 2022 NFL Draft; Jelani Woods (TE) selected with 73rd pick in 2022 NFL Draft; Bernhard Raimann (OT) selected with 77th pick in 2022 NFL Draft; Nick Cross (S) selected with 96th pick in 2022 NFL Draft</t>
  </si>
  <si>
    <t xml:space="preserve"> Eric Johnson (DT) selected in fifth round of NFL Draft; Andrew Ogletree (TE) selected in sixth round of NFL Draft; Curtis Brooks (DT) selected in sixth round of NFL Draft; Rodney Thomas (CB) selected in seventh round of NFL Draft</t>
  </si>
  <si>
    <t xml:space="preserve"> Ashton Dulin (WR) signed tender</t>
  </si>
  <si>
    <t xml:space="preserve"> Stephon Gilmore (CB) signed as free agent</t>
  </si>
  <si>
    <t>04/15</t>
  </si>
  <si>
    <t xml:space="preserve"> Brandon Kemp (T) signed as free agent</t>
  </si>
  <si>
    <t xml:space="preserve"> Rodney McLeod (S) signed as free agent</t>
  </si>
  <si>
    <t xml:space="preserve"> Brandon King (LB) signed as free agent</t>
  </si>
  <si>
    <t xml:space="preserve"> Armani Watts (S) signed as free agent</t>
  </si>
  <si>
    <t xml:space="preserve"> Matt Ryan (QB) acquired from Atlanta Falcons in exchange for 2022 third-round pick (No. 82 overall)</t>
  </si>
  <si>
    <t xml:space="preserve"> Brandon Facyson (CB) signed as free agent</t>
  </si>
  <si>
    <t xml:space="preserve"> Yannick Ngakoue (DE) acquired in trade with Las Vegas Raiders in exchange for Rock Ya-Sin (CB)</t>
  </si>
  <si>
    <t xml:space="preserve"> Zaire Franklin (LB), Tyquan Lewis (DE) signed contract extensions</t>
  </si>
  <si>
    <t xml:space="preserve"> Colts acquire 2022 second-round pick (No. 42), 2022 third-round pick (No. 73) and conditional 2023 third-round pick from Washington Commanders in exchange for Carson Wentz (QB), 2022 second-round pick (No. 47) and 2022 seventh-round pick (No. 240)</t>
  </si>
  <si>
    <t xml:space="preserve"> Zaire Franklin (LB), Tyquan Lewis (DE), Matt Pryor (T) signed contract extensions</t>
  </si>
  <si>
    <t xml:space="preserve"> Mo Alie-Cox (TE) signed contract extension</t>
  </si>
  <si>
    <t xml:space="preserve"> Tony Brown (CB) signed</t>
  </si>
  <si>
    <t xml:space="preserve"> Jack Doyle (TE) placed on Reserve/Retired list</t>
  </si>
  <si>
    <t xml:space="preserve"> Marvell Tell III (CB) re-signed</t>
  </si>
  <si>
    <t>02/08</t>
  </si>
  <si>
    <t xml:space="preserve"> R.J. McIntosh (DT), Jake Verity (K) signed to reserve/future contracts</t>
  </si>
  <si>
    <t xml:space="preserve"> Nikola Kalinic (TE) signed to reserve/future contract</t>
  </si>
  <si>
    <t xml:space="preserve"> Jordan Murray (T) signed to reserve/future contract</t>
  </si>
  <si>
    <t xml:space="preserve"> Alexander Myres (CB) signed to reserve/future contract</t>
  </si>
  <si>
    <t xml:space="preserve"> Andrew Sendejo (S) activated from Reserve/COVID-19 list</t>
  </si>
  <si>
    <t xml:space="preserve"> Anthony Chesley (CB), Kameron Cline (DE), Shon Coleman (T), Keke Coutee (WR), Farrod Green (TE), DeMichael Harris (WR), Michael Jacobson (TE), Malik Jefferson (LB), James Morgan (QB), Carter O'Donnell (G/T), Will Redmond (S), Chris Wilcox (CB), Chris Williams (DT), Eli Wolf (TE) signed to reserve/future contracts</t>
  </si>
  <si>
    <t xml:space="preserve"> Parris Campbell (WR) activated from injured reserve; Anthony Chesley (CB), Chris Williams (DT) elevated to active roster from practice squad; Will Redmond (S) elevated to active roster from practice squad as COVID-19 replacement</t>
  </si>
  <si>
    <t xml:space="preserve"> Andrew Sendejo (S) placed on Reserve/COVID-19 list</t>
  </si>
  <si>
    <t xml:space="preserve"> Luke Rhodes (LS) activated from Reserve/COVID-19 list</t>
  </si>
  <si>
    <t xml:space="preserve"> Shon Coleman (T) signed to practice squad</t>
  </si>
  <si>
    <t xml:space="preserve"> Malik Jefferson (LB) waived</t>
  </si>
  <si>
    <t xml:space="preserve"> Malik Jefferson (LB) activated from Reserve/COVID-19 list, James Morgan (QB) and Eli Wolf (TE) restored to practice squad from Practice Squad/COVID-19 list, Kyle Nelson (LS) released from practice squad.</t>
  </si>
  <si>
    <t xml:space="preserve"> T.J. Carrie (CB), Braden Smith (T), Carson Wentz (QB) activated from Reserve/COVID-19 list; Kyle Nelson (LS), Will Redmond (S) elevated from practice squad to active roster; Brett Hundley (QB), Chris Williams (DT) elevated from practice squad to active roster as COVID-19 replacements; Joey Hunt (C), Greg Senat (T) waived; Chris Wilcox (CB) restored to practice squad from Practice Squad/COVID-19 list</t>
  </si>
  <si>
    <t>07/14</t>
  </si>
  <si>
    <t xml:space="preserve"> Signed CBs DeJuan Neal and Channing Stribling. Released CBs Nijuel Hill and Devin Taylor.</t>
  </si>
  <si>
    <t xml:space="preserve"> WAS</t>
  </si>
  <si>
    <t xml:space="preserve"> Signed DT Justin Hamilton. Signed T Willie Beavers</t>
  </si>
  <si>
    <t xml:space="preserve"> Waived K Brian Johnson. Waived DB Will Adams</t>
  </si>
  <si>
    <t xml:space="preserve"> Signed T Aaron Monteiro.</t>
  </si>
  <si>
    <t xml:space="preserve"> Released OT Drew Himmelman</t>
  </si>
  <si>
    <t xml:space="preserve"> Signed T Drew Himmelman. Released G Zack Bailey,</t>
  </si>
  <si>
    <t xml:space="preserve"> Signed QB Sam Howell, TE Cole Turner, OG Chris Paul and CB Christian Holmes.</t>
  </si>
  <si>
    <t xml:space="preserve"> Signed WR/KR Alex Erickson.</t>
  </si>
  <si>
    <t xml:space="preserve"> Commanders sign G Trai Turner.</t>
  </si>
  <si>
    <t xml:space="preserve"> Signed CBs DeVante Cross, Josh Drayden and Devin Taylor, WRs Jequez Ezzard and Kyric McGowan, S Ferrod Gardner, TEs Curtis Hodges and Armani Rogers, QB Cole Kelley, DE Jacub Panasiuk, G Devin Taylor, OLB Trai Turner and LBs Tre Walker and Drew White.</t>
  </si>
  <si>
    <t xml:space="preserve"> Exercised the fift-year option on DE Montez Sweat.</t>
  </si>
  <si>
    <t xml:space="preserve"> Announced OL Keith Ismael signed his contract tender.</t>
  </si>
  <si>
    <t xml:space="preserve"> Re-signed K Joey Slye.</t>
  </si>
  <si>
    <t xml:space="preserve"> Released CB D.J. Hayden.</t>
  </si>
  <si>
    <t xml:space="preserve"> Re-signed Cs Tyler Larsen, Jon Toth, CB Troy Apke, LB Milo Eifler and DT Daniel Wise. Signed WR Cam Sims, G Andrew Norwell and CB Bobby McCain.</t>
  </si>
  <si>
    <t xml:space="preserve"> Released G Ereck Flowers Sr., DT Matt Ioannidis and S Deshazor Everett.</t>
  </si>
  <si>
    <t xml:space="preserve"> Traded for QB Carson Wentz</t>
  </si>
  <si>
    <t xml:space="preserve"> Re-signed K Brian Johnson.</t>
  </si>
  <si>
    <t xml:space="preserve"> Signed LB David Mayo to a contract extension.</t>
  </si>
  <si>
    <t xml:space="preserve"> Signed CB D.J. Hayden to a reserve/future contract.</t>
  </si>
  <si>
    <t xml:space="preserve"> Activated LB Jordan Kunaszyk off the Reserve/COVID-19 list and signed him to a contract extension.</t>
  </si>
  <si>
    <t xml:space="preserve"> Activated DT David Bada off the Reserve/COVID-19 list and signed to a Reserve/Future contract</t>
  </si>
  <si>
    <t xml:space="preserve"> Signed RB Jonathan Williams to a contract extension. Signed CB Corn Elder to a contract extension. Signed FB Alex Armah to a Reserve/Futures contract. Signed RB Reggie Bonnafon to a Reserve/Futures contract.</t>
  </si>
  <si>
    <t xml:space="preserve"> Signed G Zack Bailey to a Reserve/Future contract. Signed C/G Beau Benzschawel to a Reserve/Future contract.G Deion Calhoun to a Reserve/Futures contract. Signed DT Tyler Clark to a Reserve/Future contract. Signed WR Antonio Gandy-Golden to a Reserve/Future contract. Signed WR Kelvin Harmon to a Reserve/Future contract. Signed G Nolan Laufenberg to a Reserve/Future contract. Signed WR Marken Michel to a Reserve/Future contract. Activated CB William Jackson III from the Reserve/COVID-19 list.</t>
  </si>
  <si>
    <t xml:space="preserve"> Placed TE Ricky Seals-Jones on the Reserve/Injured list. Placed LB Jordan Kunaszyk on the Reserve/COVID-19 list. Signed DE William Bradley-King off the practice squad. Signed S Jeremy Reaves off the practice squad. Elevated FB Alex Armah off the practice squad. Elevated TE Temarrick Hemingway off the practice squad.</t>
  </si>
  <si>
    <t xml:space="preserve"> Activated RB Antonio Gibson off the Reserve/COVID-19 list. Activated G Ereck Flowers Sr. off the Reserve/COVID-19 list. Placed CB William Jackson III on the Reserve/COVID-19 list.</t>
  </si>
  <si>
    <t xml:space="preserve"> Activated P Tress Way from the Reserve/COVID-19 list. Activated QB Kyle Shurmur from the Reserve/COVID-19 list. Signed WR Antonio Gandy-Golden to the practice squad. Released QB Kyle Shurmur and P Ryan Winslow.</t>
  </si>
  <si>
    <t xml:space="preserve"> Activated T Sam Cosmi off the Reserve/COVID-19 list. Activated CB Darryl Roberts off the Reserve/COVID-19 list. Signed LB De'Jon Harris from the practice squad. Activated C/G Beau Benzschawel from the Reserve/COVID-19 list. Activated T David Steinmetz from the Reserve/COVID-19 list.</t>
  </si>
  <si>
    <t xml:space="preserve"> Activated DE William Bradley-King as a COVID-19 replacement. Activated LB De'Jon Harris as a COVID-19 replacement. Activated CB D.J. Hayden as a COVID-19 replacement. Activated S Jeremy Reaves as a COVID-19 replacement. Activated RB Wendell Smallwood as a COVID-19 replacement. Elevated G Deion Calhoun from the practice squad. Elevated P Ryan Winslow from the practice squad. Release WR Antonio Gandy-Golden.</t>
  </si>
  <si>
    <t xml:space="preserve"> Signed DE Jonathan Kongbo to a future contract.</t>
  </si>
  <si>
    <t xml:space="preserve"> DEN</t>
  </si>
  <si>
    <t xml:space="preserve"> Signed DE Marquiss Spencer to a future contract.</t>
  </si>
  <si>
    <t xml:space="preserve"> Signed TE Shaun Beyer, RB Damarea Crockett, WR Travis Fulgham, T Drew Himmelman, G Zack Johnson and ILB Barrington Wade to future contracts.</t>
  </si>
  <si>
    <t xml:space="preserve"> Signed T Quinn Bailey and WR Tyrie Cleveland to the active roster from the practice squad.</t>
  </si>
  <si>
    <t xml:space="preserve"> Activated DL McTelvin Agim, ILB Baron Browning, CB Bryce Callahan, OLB Bradley Chubb, OLB Jonathon Cooper, CB Mike Ford, WR Jerry Jeudy, T Bobby Massie, WR Tim Patrick, DL Mike Purcell, S Caden Sterns and OLB Stephen Weatherly from the Reserve/COVID-19 list with roster exemptions.</t>
  </si>
  <si>
    <t xml:space="preserve"> Released OLB Pita Taumoepenu from the practice squad.</t>
  </si>
  <si>
    <t xml:space="preserve"> Signed DE Jonathan Harris and WR Seth Williams to the active roster from the practice squad.</t>
  </si>
  <si>
    <t xml:space="preserve"> Activated OLB Andre Mintze from injured reserve and Reserve/COVID-19 list.</t>
  </si>
  <si>
    <t xml:space="preserve"> The Detroit Lions sign DE Josh Paschal.</t>
  </si>
  <si>
    <t xml:space="preserve"> DET</t>
  </si>
  <si>
    <t xml:space="preserve"> The Detroit Lions sign TE Devin Funchess.</t>
  </si>
  <si>
    <t>06/08</t>
  </si>
  <si>
    <t xml:space="preserve"> The Detroit Lions place CB Jermaine Waller on Reserve/Retired.</t>
  </si>
  <si>
    <t xml:space="preserve"> The Detroit Lions have been assigned DE John Cominsky via waivers from the Atlanta Falcons.</t>
  </si>
  <si>
    <t xml:space="preserve"> The Detroit Lions release K Aldrick Rosas.</t>
  </si>
  <si>
    <t xml:space="preserve"> The Detroit Lions sign OLB Natrez Patrick and waive OLB Jessie Lemonier.</t>
  </si>
  <si>
    <t xml:space="preserve"> The Detroit Lions sign RB Greg Bell, CB Cedric Boswell, TE Derrick Deese Jr., T Obinna Eze, TE Nolan Givan, G Kevin Jarvis, WR Josh Johnson, G Zein Obeid, WR Kalil Pimpleton, WR Corey Sutton, DL Demetrius Taylor and CB Jermaine Waller.</t>
  </si>
  <si>
    <t xml:space="preserve"> The Detroit Lions sign DE Aidan Hutchinson, WR Jameson Williams, S Kerby Joseph, TE James Mitchell, LB Malcolm Rodriguez, OLB James Houston and CB Chase Lucas.</t>
  </si>
  <si>
    <t xml:space="preserve"> The Detroit Lions waive S Jalen Elliott and WR Javon McKinley.</t>
  </si>
  <si>
    <t xml:space="preserve"> The Detroit Lions waive QB Steven Montez.</t>
  </si>
  <si>
    <t xml:space="preserve"> The Detroit Lions waive TE Jared Pinkney with an injury settlement.</t>
  </si>
  <si>
    <t xml:space="preserve"> The Detroit Lions waive LB Tavante Beckett, OLB Rashod Berry, CB Parnell Motley and TE Matt Sokol.</t>
  </si>
  <si>
    <t xml:space="preserve"> The Detroit Lions waive LB Curtis Bolton and TE Hunter Bryant.</t>
  </si>
  <si>
    <t xml:space="preserve"> The Detroit Lions sign S DeShon Elliott.</t>
  </si>
  <si>
    <t xml:space="preserve"> The Detroit Lions sign TE Garrett Griffin.</t>
  </si>
  <si>
    <t xml:space="preserve"> The Detroit Lions sign LB Jarrad Davis.</t>
  </si>
  <si>
    <t xml:space="preserve"> The Detroit Lions sign LB Chris Board.</t>
  </si>
  <si>
    <t xml:space="preserve"> The Detroit Lions sign CB Mike Hughes.</t>
  </si>
  <si>
    <t xml:space="preserve"> The Detroit Lions waive TE Jordan Thomas.</t>
  </si>
  <si>
    <t xml:space="preserve"> The Detroit Lions re-sign QB Tim Boyle and QB David Blough.</t>
  </si>
  <si>
    <t xml:space="preserve"> The Detroit Lions re-sign WR Kalif Raymond and OLB Charles Harris.</t>
  </si>
  <si>
    <t xml:space="preserve"> The Detroit Lions sign WR DJ Chark Jr.</t>
  </si>
  <si>
    <t xml:space="preserve"> The Detroit Lions release OLB Trey Flowers.</t>
  </si>
  <si>
    <t xml:space="preserve"> The Detroit Lions re-sign C Evan Brown.</t>
  </si>
  <si>
    <t xml:space="preserve"> The Detroit Lions re-sign S Tracy Walker.</t>
  </si>
  <si>
    <t xml:space="preserve"> The Detroit Lions re-sign LB Alex Anzalone, S Jalen Elliott, LB Shaun Dion Hamilton and S C.J. Moore.</t>
  </si>
  <si>
    <t xml:space="preserve"> The Detroit Lions re-sign OLB Rashod Berry and C Ryan McCollum.</t>
  </si>
  <si>
    <t xml:space="preserve"> The Detroit Lions tender exclusive rights free agents LS Scott Daly, P Jack Fox, CB Mark Gilbert, S JuJu Hughes, RB Godwin Igwebuike, WR Tom Kennedy, G Tommy Kraemer, OLB Jessie Lemonier, T Matt Nelson, K Riley Patterson, LB Anthony Pittman, CB Bobby Price and TE Brock Wright.</t>
  </si>
  <si>
    <t xml:space="preserve"> The Detroit Lions re-sign WR Josh Reynolds to a contract extension.</t>
  </si>
  <si>
    <t xml:space="preserve"> The Detroit Lions re-sign LB Josh Woods to a contract extension.</t>
  </si>
  <si>
    <t xml:space="preserve"> The Detroit Lions re-sign FB Jason Cabinda to a contract extension.</t>
  </si>
  <si>
    <t xml:space="preserve"> The Detroit Lions sign K Aldrick Rosas to a Reserve/Future contract.</t>
  </si>
  <si>
    <t xml:space="preserve"> The Detroit Lions sign TE Jordan Thomas to a Reserve/Future contract.</t>
  </si>
  <si>
    <t xml:space="preserve"> The Detroit Lions sign TE Matt Sokol to a Reserve/Future contract.</t>
  </si>
  <si>
    <t xml:space="preserve"> The Detroit Lions have been assigned S Juju Hughes via waivers from the Los Angeles Rams.</t>
  </si>
  <si>
    <t xml:space="preserve"> The Detroit Lions release WR Geronimo Allison, G Parker Ehinger, TE Nuck Eubanks, T Darrin Paulo, CB Nickell Robey-Coleman and TE Ross Travis from the practice squad.</t>
  </si>
  <si>
    <t xml:space="preserve"> The Detroit Lions sign DE Eric Banks, LB Tavante Beckett, DE Bruce Hector, WR Javon McKinley, QB Steven Montez, CB Parnell Motley, T Dan Skipper, CB Saivion Smith and TE Shane Zylstra to a Reserve/Future contract.</t>
  </si>
  <si>
    <t xml:space="preserve"> The Detroit Lions sign CB Saivion Smith to the practice squad, and release WR Juwan Green and RB Rodney Smith from the practice squad</t>
  </si>
  <si>
    <t xml:space="preserve"> The Detroit Lions waive CB Saivion Smith.</t>
  </si>
  <si>
    <t xml:space="preserve"> The Detroit Lions re-sign T Darrin Paulo to the practice squad.</t>
  </si>
  <si>
    <t>07/18</t>
  </si>
  <si>
    <t xml:space="preserve"> WR Wan'Dale Robinson - Selection List Signing</t>
  </si>
  <si>
    <t xml:space="preserve"> NYG</t>
  </si>
  <si>
    <t>07/11</t>
  </si>
  <si>
    <t xml:space="preserve"> TE Daniel Bellinger - Selection List Signing</t>
  </si>
  <si>
    <t xml:space="preserve"> LB T.J. Brunson - Waived, No Recall</t>
  </si>
  <si>
    <t xml:space="preserve"> WR Keelan Doss - Free Agent Signing</t>
  </si>
  <si>
    <t xml:space="preserve"> DB Jordan Mosley - Waived</t>
  </si>
  <si>
    <t xml:space="preserve"> G Joshua Ezeudu - Selection List Signing</t>
  </si>
  <si>
    <t xml:space="preserve"> DT Antonio Valentino - Waived</t>
  </si>
  <si>
    <t xml:space="preserve"> CB Cor'Dale Flott - Selection List Signing</t>
  </si>
  <si>
    <t xml:space="preserve"> DB Michael Jacquet - Free Agent Signing</t>
  </si>
  <si>
    <t xml:space="preserve"> DB Jordan Mosley - Waived/Injured</t>
  </si>
  <si>
    <t xml:space="preserve"> LB Trent Harris - Terminated, Vested Veteran, all contracts</t>
  </si>
  <si>
    <t xml:space="preserve"> DE Raymond Johnson, QB Brian Lewerke - Waived</t>
  </si>
  <si>
    <t xml:space="preserve"> DB Henry Black, DB Maurice Canady, DB Khalil Dorsey, DE Jalyn Holmes - Free Agent Signings</t>
  </si>
  <si>
    <t xml:space="preserve"> OLB Kayvon Thibodeaux, T Evan Neal, LB Darrian Beavers, DT D.J. Davidson, LB Micah McFadden, G Marcus McKethan - Selection List Signings</t>
  </si>
  <si>
    <t xml:space="preserve"> DE Ryder Anderson, DB Jordan Mosley - Undrafted Free Agent Signings</t>
  </si>
  <si>
    <t xml:space="preserve"> RB Jashaun Corbin, LB Tomon Fox - Undrafted Free Agent Signings</t>
  </si>
  <si>
    <t xml:space="preserve"> TE Austin Allen, DB Yusuf Corker, DT Jabari Ellis, DB Darren Evans, DB Zyon Gilbert, FB Jeremiah Hall, DT Christopher Hinton, TE Andre Miller, G Josh Rivas, DB Trenton Thompson, DT Antonio Valentino - Undrafted Free Agent Signings</t>
  </si>
  <si>
    <t xml:space="preserve"> LB Omari Cobb, TE Jake Hausmann, TE Rysen John, OL Wes Martin - Waived</t>
  </si>
  <si>
    <t xml:space="preserve"> CB James Bradberry - Terminated, Vested Veteran, all contracts</t>
  </si>
  <si>
    <t xml:space="preserve"> TE Jordan Akins - Unrestricted Free Agent Signing</t>
  </si>
  <si>
    <t xml:space="preserve"> OT Roy Mbaeteka - Free Agent Signing</t>
  </si>
  <si>
    <t xml:space="preserve"> RB Sandro Platzgummer - Free Agent Signing</t>
  </si>
  <si>
    <t xml:space="preserve"> OL Max Garcia - Unrestricted Free Agent Signing</t>
  </si>
  <si>
    <t xml:space="preserve"> WR Richie James - Unrestricted Free Agent Signing</t>
  </si>
  <si>
    <t xml:space="preserve"> DT Justin Ellis - Unrestricted Free Agent Signing</t>
  </si>
  <si>
    <t xml:space="preserve"> RB Matt Breida, OL Jamil Douglas, LS Casey Kreiter, LB Jihad Ward - Unrestricted Free Agent Signing</t>
  </si>
  <si>
    <t xml:space="preserve"> TE Ricky Seals-Jones - Unrestricted Free Agent Signing</t>
  </si>
  <si>
    <t xml:space="preserve"> DB Logan Ryan - Terminated, Vested Veteran, all contracts</t>
  </si>
  <si>
    <t xml:space="preserve"> QB Tyrod Taylor - Unrestricted Free Agent Signing</t>
  </si>
  <si>
    <t xml:space="preserve"> OL Mark Glowinski - Unrestricted Free Agent Signing</t>
  </si>
  <si>
    <t xml:space="preserve"> OT Korey Cunningham - Unrestricted Free Agent Signing</t>
  </si>
  <si>
    <t xml:space="preserve"> DB Jarren Williams - Exclusive Rights Signing</t>
  </si>
  <si>
    <t xml:space="preserve"> OL Jon Feliciano - Free Agent Signing</t>
  </si>
  <si>
    <t xml:space="preserve"> WR C.J. Board - Signed, Prior to becoming a Free Agent</t>
  </si>
  <si>
    <t xml:space="preserve"> WR Robert Foster - Free Agent Signing</t>
  </si>
  <si>
    <t xml:space="preserve"> TE Kaden Smith - Waived</t>
  </si>
  <si>
    <t xml:space="preserve"> OL Matt Gono - Free Agent Signing</t>
  </si>
  <si>
    <t xml:space="preserve"> WR David Sills - Signed</t>
  </si>
  <si>
    <t xml:space="preserve"> P Riley Dixon - Terminated, Vested Veteran, all contracts</t>
  </si>
  <si>
    <t xml:space="preserve"> RB Devontae Booker, TE Kyle Rudolph - Terminated, Vested Veteran, all contracts</t>
  </si>
  <si>
    <t xml:space="preserve"> TE Chris Myarick - Free Agent Signing</t>
  </si>
  <si>
    <t xml:space="preserve"> WR Austin Proehl - Free Agent Signing</t>
  </si>
  <si>
    <t xml:space="preserve"> P Jamie Gillan, QB Davis Webb - Reserve/Future Signings</t>
  </si>
  <si>
    <t>01/27</t>
  </si>
  <si>
    <t xml:space="preserve"> RB Antonio Williams - Reserve/Future Signing</t>
  </si>
  <si>
    <t xml:space="preserve"> WR Alex Bachman - Reserve/Future Signing</t>
  </si>
  <si>
    <t xml:space="preserve"> LB Omari Cobb, OT Devery Hamilton, LB Trent Harris, TE Jake Hausmann, DE Niko Lalos, QB Brian Lewerke, DT David Moa, WR Travis Toivonen - Reserve/Future Signings</t>
  </si>
  <si>
    <t xml:space="preserve"> WR David Sills - Free Agent Signing from NYG Practice Squad</t>
  </si>
  <si>
    <t xml:space="preserve"> WR Alex Bachman, QB Brian Lewerke - Activated, from Practice Squad (Standard Elevation)</t>
  </si>
  <si>
    <t xml:space="preserve"> QB Clayton Thorson - Practice Squad Signing</t>
  </si>
  <si>
    <t xml:space="preserve"> WR Dante Pettis - Activated, from Reserve/COVID (Remains on Reserve/Injured)</t>
  </si>
  <si>
    <t xml:space="preserve"> DB Dwayne Johnson Jr. - Practice Squad; COVID-19</t>
  </si>
  <si>
    <t xml:space="preserve"> LB Elerson Smith - Reserve/Injured</t>
  </si>
  <si>
    <t xml:space="preserve"> DT Woodrow Hamilton - Practice Squad; COVID-19</t>
  </si>
  <si>
    <t xml:space="preserve"> OT Korey Cunningham, DL Dexter Lawrence, DL Danny Shelton, WR Darius Slayton - Activated, from Reserve/COVID</t>
  </si>
  <si>
    <t xml:space="preserve"> LB Omari Cobb, DB Ka'Darr Hollman - Restored to Practice Squad from PS, COVID</t>
  </si>
  <si>
    <t xml:space="preserve"> OT Isaiah Wilson - Terminated (by Club) from Practice Squad</t>
  </si>
  <si>
    <t xml:space="preserve"> TE Chris Myarick - Waived, No Recall</t>
  </si>
  <si>
    <t xml:space="preserve"> WR Pharoh Cooper, OT Derrick Kelly, DT David Moa, WR David Sills - Activated, from Practice Squad (COVID-19 Replacement)</t>
  </si>
  <si>
    <t xml:space="preserve"> WR Alex Bachman, DT Woodrow Hamilton - Activated, from Practice Squad (Standard Elevation)</t>
  </si>
  <si>
    <t xml:space="preserve"> DB Jullian Love - Activated, from Reserve/COVID</t>
  </si>
  <si>
    <t xml:space="preserve"> The Houston Texans have waived the following player from the reserve/injury list: Scottie Phillips</t>
  </si>
  <si>
    <t xml:space="preserve"> HOU</t>
  </si>
  <si>
    <t xml:space="preserve"> The Houston Texans have released the following player: Darrell Daniels</t>
  </si>
  <si>
    <t xml:space="preserve"> The Houston Texans have signed the following free agent: Chad Beebe</t>
  </si>
  <si>
    <t xml:space="preserve"> The Houston Texans have signed the following player: Tre'Vour Wallace-Simms</t>
  </si>
  <si>
    <t xml:space="preserve"> The Houston Texans waived the following player: Carson Green</t>
  </si>
  <si>
    <t xml:space="preserve"> The Houston Texans signed the following draft pick: Christian Harris</t>
  </si>
  <si>
    <t xml:space="preserve"> The Houston Texans have signed the following free agent: Fabian Moreau</t>
  </si>
  <si>
    <t xml:space="preserve"> The Houston Texans have signed the following free agent: Darrell Daniels</t>
  </si>
  <si>
    <t>05/22</t>
  </si>
  <si>
    <t xml:space="preserve"> The Houston Texans have waived the following player: Jimmy Moreland</t>
  </si>
  <si>
    <t xml:space="preserve"> The Houston Texans have acquired the following players via waivers: Kendall Sheffield and Connor Wedington</t>
  </si>
  <si>
    <t xml:space="preserve"> The Houston Texans have signed the following draft picks: Kenyon Green and John Metchie III</t>
  </si>
  <si>
    <t xml:space="preserve"> The Houston Texans signed the following draft picks: Thomas Booker, Austin Deculus, Dameon Pierce, Jalen Pitre, Teagan Quitoriano and Derek Stingley Jr.</t>
  </si>
  <si>
    <t xml:space="preserve"> The Houston Texans have signed the following free agent: Jerry Hughes</t>
  </si>
  <si>
    <t xml:space="preserve"> The Houston Texans have signed the following free agent: Mario Addison</t>
  </si>
  <si>
    <t xml:space="preserve"> The Houston Texans have signed the following free agent: Kevin Hogan</t>
  </si>
  <si>
    <t xml:space="preserve"> The Houston Texans have waived the following players: Sam Cooper and Kingsley Keke</t>
  </si>
  <si>
    <t xml:space="preserve"> The Houston Texans have signed the following unrestricted free agent: Rasheem Green</t>
  </si>
  <si>
    <t xml:space="preserve"> The Houston Texans have waived the following player: Ron'Dell Carter</t>
  </si>
  <si>
    <t xml:space="preserve"> The Houston Texans have signed the following player to a contract extension: Brandin Cooks</t>
  </si>
  <si>
    <t xml:space="preserve"> The Houston Texans have signed the following unrestricted free agent: Marlon Mack</t>
  </si>
  <si>
    <t xml:space="preserve"> The Houston Texans have signed the following unrestricted free agent: Terrence Brooks</t>
  </si>
  <si>
    <t xml:space="preserve"> The Houston Texans have signed the following free agent: DaeSean Hamilton</t>
  </si>
  <si>
    <t xml:space="preserve"> The Houston Texans have signed the following unrestricted free agents: Royce Freeman and Andy Janovich</t>
  </si>
  <si>
    <t xml:space="preserve"> The Houston Texans have signed the following unrestricted free agents: Pharaoh Brown, Kamu Grugier-Hill, Chris Moore and M.J. Stewart</t>
  </si>
  <si>
    <t xml:space="preserve"> The Houston Texans have signed the following free agents: Kyle Allen and Dare Ogunbowale</t>
  </si>
  <si>
    <t xml:space="preserve"> The Houston Texans have waived the following players: Jake Eldrenkamp, Connor Strachan</t>
  </si>
  <si>
    <t xml:space="preserve"> The Houston Texans have re-signed the following players: Justin Britt and Desmond King II</t>
  </si>
  <si>
    <t xml:space="preserve"> The Houston Texans have claimed the following player via waivers from the Dallas Cowboys: Reggie Robinson</t>
  </si>
  <si>
    <t xml:space="preserve"> The Houston Texans have re-signed the following players: Davion Davis, Carson Green and Jimmy Morrissey</t>
  </si>
  <si>
    <t xml:space="preserve"> The Houston Texans have re-signed the following players: Maliek Collins, Jeff Driskel, Christian Kirksey</t>
  </si>
  <si>
    <t xml:space="preserve"> The Houston Texans have signed the following players to contract extensions: Tae Davis and Jon Weeks</t>
  </si>
  <si>
    <t xml:space="preserve"> The Houston Texans have placed the following player on the Reserve/Injured list from the Reserve/COVID-19 list: Jeff Driskel</t>
  </si>
  <si>
    <t xml:space="preserve"> The Houston Texans have signed the following players to reserve/future contracts: Darius Anderson, Jalen Camp, Michael Dwumfour, Jake Eldrenkamp, Carson Green, Demone Harris, Damon Hazelton, Paul Quessenberry, Jordan Steckler, Connor Strachan and Josh Watson</t>
  </si>
  <si>
    <t xml:space="preserve"> The Houston Texans have elevated the following player to the active roster from the practice squad (COVID-19 Replacement): Michael Dwumfour</t>
  </si>
  <si>
    <t xml:space="preserve"> The Houston Texans have activated the following player from the Reserve/COVID-19 List: Kevin Pierre-Louis</t>
  </si>
  <si>
    <t xml:space="preserve"> The Houston Texans have activated the following players from the Reserve/COVID-19 List: Danny Amendola, Antony Auclair, Ron'Dell Carter, Tytus Howard, David Johnson, Lonnie Johnson Jr., Chris Moore</t>
  </si>
  <si>
    <t xml:space="preserve"> The Houston Texans have placed the following player on the Reserve/COVID-19 List: Justin Reid</t>
  </si>
  <si>
    <t xml:space="preserve"> The Houston Texans have elevated the following players to the active roster from the practice squad (COVID-19 Replacements): Jalen Camp, Cre'von LeBlanc, Jaylen Samuels, Jordan Samuels, Jordan Steckler, Jordan Veasy</t>
  </si>
  <si>
    <t xml:space="preserve"> Wyatt Ray (OLB) signed.</t>
  </si>
  <si>
    <t xml:space="preserve"> JAX</t>
  </si>
  <si>
    <t xml:space="preserve"> Jordan Smith (DE/OLB) placed on injured reserve.</t>
  </si>
  <si>
    <t xml:space="preserve"> Chad Muma (LB) signed.</t>
  </si>
  <si>
    <t xml:space="preserve"> Terry Godwin (WR), Josh Hammond (WR), Sean Mahone (S), Marcus Tatum (OL) waived.</t>
  </si>
  <si>
    <t xml:space="preserve"> Naz Bohannon (TE), Marvin Hall (WR), Willie Johnson (WR), Ryan McDaniel (WR) signed.</t>
  </si>
  <si>
    <t xml:space="preserve"> Jared Hocker (OL) signed.</t>
  </si>
  <si>
    <t xml:space="preserve"> Denzel Okafor (OL) released.</t>
  </si>
  <si>
    <t xml:space="preserve"> Travon Walker (OLB), Devin Lloyd (LB), Snoop Conner (RB), Gregory Junior (CB) and Montaric Brown (CB) signed.</t>
  </si>
  <si>
    <t xml:space="preserve"> Matthew Wright (K) waived.</t>
  </si>
  <si>
    <t xml:space="preserve"> EJ Perry (QB) signed.</t>
  </si>
  <si>
    <t xml:space="preserve"> Jared Hocker (OL) released.</t>
  </si>
  <si>
    <t xml:space="preserve"> Adam Gotsis (DL) re-signed.</t>
  </si>
  <si>
    <t xml:space="preserve"> Cam Robinson (OL) extended.</t>
  </si>
  <si>
    <t xml:space="preserve"> Dylan Moses (LB) waived.</t>
  </si>
  <si>
    <t>03/30</t>
  </si>
  <si>
    <t xml:space="preserve"> Arden Key (DE) signed.</t>
  </si>
  <si>
    <t xml:space="preserve"> Brandon Linder (OL) placed on Reserve/Retired list.</t>
  </si>
  <si>
    <t xml:space="preserve"> Xavier Crawford (CB) signed.</t>
  </si>
  <si>
    <t xml:space="preserve"> Elijah Sullivan (LB) signed to a Reserve/Future contract.</t>
  </si>
  <si>
    <t xml:space="preserve"> Raequan Williams (DT) signed to a Reserve/Future contract.</t>
  </si>
  <si>
    <t xml:space="preserve"> Signed wide receiver Erik Ezukanma.</t>
  </si>
  <si>
    <t xml:space="preserve"> MIA</t>
  </si>
  <si>
    <t xml:space="preserve"> Signed linebacker Porter Gustin and waived cornerback Javaris Davis and released defensive end Daeshon Hall.</t>
  </si>
  <si>
    <t xml:space="preserve"> Signed linebacker Channing Tindall.</t>
  </si>
  <si>
    <t xml:space="preserve"> Signed linebacker Melvin Ingram III as an unrestricted free agent and waived quarterback Chris Streveler.</t>
  </si>
  <si>
    <t xml:space="preserve"> Waived/failed physical offensive lineman Ty Clary and signed offensive lineman Cole Banwart.</t>
  </si>
  <si>
    <t xml:space="preserve"> Signed outside linebacker Cameron Goode, quarterback Skylar Thompson, offensive lineman Blaise Andries, defensive lineman Owen Carney, offensive lineman Ty Clary, tight end Tanner Conner, offensive lineman Kellen Diesch, cornerback Elijah Hamilton, punter Tommy Heatherly, linebacker Deandre Johnson, cornerback Kader Kohou, safety Verone McKinley, wide receiver Braylon Sanders, defensive lineman Ben Stille, running back ZaQuandre White and defensive lineman Jordan Williams.</t>
  </si>
  <si>
    <t xml:space="preserve"> Signed running back Sony Michel.</t>
  </si>
  <si>
    <t xml:space="preserve"> Team exercises fifth-year option on defensive tackle Christian Wilkins.</t>
  </si>
  <si>
    <t xml:space="preserve"> Re-signed defensive tackle Benito Jones.</t>
  </si>
  <si>
    <t xml:space="preserve"> Signed punter Thomas Morstead.</t>
  </si>
  <si>
    <t xml:space="preserve"> Re-signed defensive tackle John Jenkins.</t>
  </si>
  <si>
    <t xml:space="preserve"> Cornerback Xavien Howard signed contract extension.</t>
  </si>
  <si>
    <t xml:space="preserve"> Traded wide receiver DeVante Parker to Patriots.</t>
  </si>
  <si>
    <t xml:space="preserve"> Cornerback Nik Needham signed restricted free agent tender.</t>
  </si>
  <si>
    <t xml:space="preserve"> Released guard/tackle Jesse Davis, released/failed physical Allen Hurns, signed tackle Terron Armstead and acquired wide receiver Tyreek Hill.</t>
  </si>
  <si>
    <t xml:space="preserve"> Released guard/tackle Jesse Davis and released/failed physical Allen Hurns.</t>
  </si>
  <si>
    <t xml:space="preserve"> Re-signed tight end Durham Smythe and linebacker Brennan Scarlett.</t>
  </si>
  <si>
    <t xml:space="preserve"> Re-signed safety Sheldrick Redwine.</t>
  </si>
  <si>
    <t xml:space="preserve"> Re-signed linebacker Elandon Roberts and signed wide receiver Trent Sherfield.</t>
  </si>
  <si>
    <t xml:space="preserve"> Signed fullback Alec Ingold, offensive lineman Connor Williams, running back Chase Edmonds, quarterback Teddy Bridgewater, wide receiver Cedrick Wilson Jr., cornerback Keion Crossen and running back Raheem Mostert.</t>
  </si>
  <si>
    <t xml:space="preserve"> Re-signed linebacker Sam Eguavoen.</t>
  </si>
  <si>
    <t xml:space="preserve"> Re-signed wide receiver Preston Williams, defensive end Emmanuel Ogbah, and linebacker Duke Riley.</t>
  </si>
  <si>
    <t xml:space="preserve"> Placed second-round tender on cornerback Nik Needham.</t>
  </si>
  <si>
    <t xml:space="preserve"> Placed franchise tag on tight end Mike Gesicki. Tendered exclusive rights to running back Salvon Ahmed and defensive back Elijah Campbell.</t>
  </si>
  <si>
    <t xml:space="preserve"> Placed franchise tag on tight end Mike Gesicki.</t>
  </si>
  <si>
    <t xml:space="preserve"> Signed Quarterback Chris Streveler.</t>
  </si>
  <si>
    <t xml:space="preserve"> Signed defensive end Daeshon Hall and fullback John Lovett.</t>
  </si>
  <si>
    <t xml:space="preserve"> Signed wide receiver River Cracraft.</t>
  </si>
  <si>
    <t xml:space="preserve"> Signed wide receiver DeVonte Dedmon to a reserve/futures contract.</t>
  </si>
  <si>
    <t xml:space="preserve"> Signed defensive back D'Angelo Ross to a reserve/futures contract.</t>
  </si>
  <si>
    <t xml:space="preserve"> Signed defensive back Quincy Wilson to a reserve/futures contract.</t>
  </si>
  <si>
    <t xml:space="preserve"> Signed running back Gerrid Doaks to a reserve/futures contract.</t>
  </si>
  <si>
    <t xml:space="preserve"> Signed wide receiver Cody Core, cornerback Javaris Davis, tackle Adam Pankey and tackle Kion Smith to reserve/futures contracts.</t>
  </si>
  <si>
    <t xml:space="preserve"> Activated cornerback Noah Igbinoghene and safety Sheldrick Redwine off the reserve/COVID-19 list.</t>
  </si>
  <si>
    <t xml:space="preserve"> Activated defensive tackle John Jenkins and wide receiver Preston Williams off the reserve/COVID-19 list. Activated center Spencer Pulley and guard Durval Queiroz Neto off the practice squad/COVID-19 list.</t>
  </si>
  <si>
    <t xml:space="preserve"> Activated defensive lineman Adam Butler and safety Brandon Jones off the reserve/COVID-19 list. Activated linebacker Brennan Scarlett off injured reserve. Elevated wide receiver Kirk Merritt and center Cameron Tom as COVID-19 replacements and defensive back Chris Milton as a standard elevation for Sunday's game. Placed cornerback Noah Igbinoghene and safety Sheldrick Redwine on the reserve/COVID-19 list.</t>
  </si>
  <si>
    <t xml:space="preserve"> Signed G/T Khalique Washington to a three-year contract and reached an injury settlement with LB Sharif Finch.</t>
  </si>
  <si>
    <t xml:space="preserve"> NOR</t>
  </si>
  <si>
    <t xml:space="preserve"> Signed TE Kahale Warring and waived DB Jack Koerner.</t>
  </si>
  <si>
    <t xml:space="preserve"> Signed C/G Josh Andrews and DT Josh Black and placed LB Sharif Finch on Injured Reserve.</t>
  </si>
  <si>
    <t xml:space="preserve"> Signed RB Devine Ozigbo, LB Eric Wilson and waived C Cohl Cabral, LB Joel Dublankoand WR Jalen McCleskey.</t>
  </si>
  <si>
    <t>05/15</t>
  </si>
  <si>
    <t xml:space="preserve"> Signed WR Jarvis Landry to a one-year contract.</t>
  </si>
  <si>
    <t xml:space="preserve"> Signed WR Chris Olave, T Trevor Penning, LB D'Marco Jackson and DT Jordan Jackson waived/failed physical TE Dylan Soehner, waived OL Eric Wilson and Waived/Injured TE Ethan Wolf.</t>
  </si>
  <si>
    <t xml:space="preserve"> Waived DT Braxton Hoyett and terminated contract of RB Josh Adams.</t>
  </si>
  <si>
    <t xml:space="preserve"> Signed S Tyrann Mathieu to a three-year contract, waived DT Jalen Dalton and terminated contract of DB KeiVarae Russell.</t>
  </si>
  <si>
    <t xml:space="preserve"> Agreed to terms with undrafted free agents WR Dai'Jean Dixon, OL Sage Doxtater, LB Joel Dublanko, DB DaMarcus Fields, DB Vincent Gray, OLâ€ˆLewis Kidd, DB Jack Koerner, TE Lucas Krull, S Smoke Monday, LB Isaiah Pryor, K John Parker Romo, OL Derek Schweiger, LB Nephi Sewell, WR/RSâ€ˆRashid Shaheed, RB Abram Smith, P Daniel Whelan and OLâ€ˆEric Wilson.</t>
  </si>
  <si>
    <t xml:space="preserve"> WR/RSâ€ˆDeonte Harty signed one-year restricted free agent tender.</t>
  </si>
  <si>
    <t xml:space="preserve"> Re-signed RB Dwayne Washington to a one-year contract.</t>
  </si>
  <si>
    <t xml:space="preserve"> Signed TE J.P. Holtz and terminated contract of QB Blake Bortles.</t>
  </si>
  <si>
    <t xml:space="preserve"> Agreed to terms with DT Jaleel Johnson, S Justin Evans, DE Taco Charlton and DB P.J. Williams. Acquired the 16th overall pick, the 19th overall pick and a sixth round draft choice (19th overall) from the Philadlephia Eagles in exchange for the 18th pick in the 2022 Draft, a third round compensatory pick (101st overall) and a seventh round choice (237th overall), as well as the Saints' first round pick in the 2023 NFL Draft and their second round pick in 2024</t>
  </si>
  <si>
    <t>04/01</t>
  </si>
  <si>
    <t xml:space="preserve"> Agreed to terms with OL Forrest Lamp.</t>
  </si>
  <si>
    <t xml:space="preserve"> DTâ€ˆShy Tuttle signed one-year restricted free agent tender.</t>
  </si>
  <si>
    <t xml:space="preserve"> Agreed to terms with WRâ€ˆTre'Quan Smith on a two-year contract and S Malcolm Jenkins announced his retirement.</t>
  </si>
  <si>
    <t xml:space="preserve"> Agreed to terms with QB Andy Dalton on a one-year contract.</t>
  </si>
  <si>
    <t xml:space="preserve"> Agreed to terms with S Daniel Sorensen to a one-year contract.</t>
  </si>
  <si>
    <t xml:space="preserve"> Agreed to terms with QB Jameis Winston on a two-year contract.</t>
  </si>
  <si>
    <t xml:space="preserve"> Agreed to terms with DT Kentavius Street.</t>
  </si>
  <si>
    <t xml:space="preserve"> Agreed to terms with S Marcus Maye on a three-year contract.</t>
  </si>
  <si>
    <t xml:space="preserve"> Hired Bob Bicknell as senior offensive assistant, Matt Clapp as strength coach and Sterling Moore as defensive assistant.</t>
  </si>
  <si>
    <t xml:space="preserve"> Hired Matt Rhea as director of sports science.</t>
  </si>
  <si>
    <t xml:space="preserve"> Waived K Brett Maher.</t>
  </si>
  <si>
    <t xml:space="preserve"> Promoted Kris Richard to co-defensive coordinator/secondary coach, Ryan Nielsen to co-defensive coordinator/defensive line coach, Darren Rizzi to assistant head coach/special teams coordinator and Ronald Curry to the passing game coordinator/quarterbacks coach. Hired Doug Marrone as offensive line coach and Kodi Burns as wide receivers coach.</t>
  </si>
  <si>
    <t xml:space="preserve"> Named Dennis Allen head coach.</t>
  </si>
  <si>
    <t xml:space="preserve"> Head Coach Sean Payton stepped away.</t>
  </si>
  <si>
    <t xml:space="preserve"> Signed WR Kirk Merritt and RB Josh Adams to reserve/future contracts.</t>
  </si>
  <si>
    <t xml:space="preserve"> Signed WR Jalen McCleskey to reserve/future contract.</t>
  </si>
  <si>
    <t xml:space="preserve"> Signed QB Blake Bortles, OL Cohl Cabral, DL Malcolm Roach, DB Bryce Thompson, WR Kevin White and TE Ethan Wolf to reserve/future contracts.</t>
  </si>
  <si>
    <t xml:space="preserve"> Signed WR Easop Winston Jr., DB KeiVarae Russell, DB Jordan Miller, DT Braxton Hoyett, LB Sharif Finch, T Jerald Hawkins, WR Kawaan Baker and DB Dylan Mabin to reserve/future contracts.</t>
  </si>
  <si>
    <t xml:space="preserve"> Placed OL Caleb Benenoch on Reserve/COVID-19. Elevated DL Malcolm Roach (standard), G/C Will Clapp (COVID-19) and DB KeiVarae Russell (COVID-19) to active roster.</t>
  </si>
  <si>
    <t xml:space="preserve"> Placed practice squad QB Blake Bortles on Reserve/COVID-19, activated practice squad LB Chase Hansen from Reserve/COVID-19 and activated TE Nick Vannett from Reserve/COVID-19.</t>
  </si>
  <si>
    <t xml:space="preserve"> Re-signed DT Braxton Hoyett to practice squad. Placed practice squad DB Jordan Miller on Reserve/COVID-19. Activated T Ryan Ramczyk and practice squad DB Dylan Mabin from Reserve/COVID-19.</t>
  </si>
  <si>
    <t xml:space="preserve"> Activated TE Ethan Wolf from Reserve/COVID-19, placed DL Albert Huggins on Reserve/COVID-19 and terminated practice squad contract of RB Josh Adams.</t>
  </si>
  <si>
    <t xml:space="preserve"> Elevated WR Kawaan Baker and DB Bryce Thompson to active roster (standard). Activated OL Forrest Lamp and C/G Will Clapp to active roster (COVID-19). Placed TE Nick Vannett on Reserve/COVID-19. Activated C/G Erik McCoy and S Marcus Williams from Reserve/COVID-19.</t>
  </si>
  <si>
    <t xml:space="preserve"> QB Kurt Benkert released</t>
  </si>
  <si>
    <t xml:space="preserve"> GNB</t>
  </si>
  <si>
    <t xml:space="preserve"> K Gabe Brkic claimed off of waivers from the Minnesota Vikings, K Dominik Eberle released</t>
  </si>
  <si>
    <t xml:space="preserve"> WR Romeo Doubs, OL Zach Tom signed</t>
  </si>
  <si>
    <t xml:space="preserve"> DL Chris Slayton claimed off waivers from the San Francisco 49ers</t>
  </si>
  <si>
    <t xml:space="preserve"> K JJ Molson released</t>
  </si>
  <si>
    <t xml:space="preserve"> LS Jack Coco signed, T Jahmir Johnson released</t>
  </si>
  <si>
    <t xml:space="preserve"> CB Jaire Alexander signed to contract extension</t>
  </si>
  <si>
    <t xml:space="preserve"> TE Eli Wolf claimed off of waivers from the Indianapolis Colts, WR Chris Blair released</t>
  </si>
  <si>
    <t xml:space="preserve"> LB Kobe Jones, T Rasheed Walker signed</t>
  </si>
  <si>
    <t xml:space="preserve"> LB Quay Walker, DL Devonte Wyatt, T/G Sean Rhyan, LB Kingsley Enagbare, S Tariq Carpenter, DL Jonathan Ford and WR Samori Toure signed</t>
  </si>
  <si>
    <t xml:space="preserve"> RB BJ Baylor, LB Caliph Brice, LB Ellis Brooks, DL Akial Byers, WR Danny Davis, RB Tyler Goodson, T Jahmir Johnson, T Caleb Jones, LB Chauncey Manac, G George Moore, DL Hauati Pututau, C Cole Shneider, S Tre Sterling and CB Raleigh Texada agree to terms</t>
  </si>
  <si>
    <t xml:space="preserve"> WR Sammy Watkins signed</t>
  </si>
  <si>
    <t>03/26</t>
  </si>
  <si>
    <t xml:space="preserve"> CB Keisean Nixon signed</t>
  </si>
  <si>
    <t xml:space="preserve"> DL Jarran Reed signed</t>
  </si>
  <si>
    <t xml:space="preserve"> TE Robert Tonyan re-signed</t>
  </si>
  <si>
    <t xml:space="preserve"> CB Rasul Douglas re-signed</t>
  </si>
  <si>
    <t xml:space="preserve"> WR Davante Adams traded to the Las Vegas Raiders for a first round pick (No. 22 overall) and a second round pick (No. 53 overall) in the 2022 NFL Draft</t>
  </si>
  <si>
    <t xml:space="preserve"> P Pat O'Donnell signed</t>
  </si>
  <si>
    <t xml:space="preserve"> LB De'Vondre Campbell re-signed</t>
  </si>
  <si>
    <t xml:space="preserve"> QB Aaron Rodgers signed to contract extension</t>
  </si>
  <si>
    <t xml:space="preserve"> LB Preston Smith signed to contract extension</t>
  </si>
  <si>
    <t xml:space="preserve"> LB Za'Darius Smith, G/T Billy Turner released</t>
  </si>
  <si>
    <t xml:space="preserve"> K Dominik Eberle signed</t>
  </si>
  <si>
    <t xml:space="preserve"> TE AlizÃ© Mack signed</t>
  </si>
  <si>
    <t xml:space="preserve"> DL Jack Heflin signed</t>
  </si>
  <si>
    <t xml:space="preserve"> WR Rico Gafford and CB Kiondre Thomas signed</t>
  </si>
  <si>
    <t xml:space="preserve"> QB Kurt Benkert, WR Chris Blair, CB Kabion Ento, QB Danny Etling, S Innis Gaines, LB La'Darius Hamilton, C Michal Menet, K JJ Molson, T/G Cole Van Lanen and LB Ray Wilborn signed</t>
  </si>
  <si>
    <t xml:space="preserve"> LBs Za'Darius Smith, Whitney Mercilus both activated off injured reserve</t>
  </si>
  <si>
    <t xml:space="preserve"> LBs Za'Darius Smith, Whitney Mercilus both activated off injured reserve; DL Jack Heflin, CB Isaac Yiadom both released</t>
  </si>
  <si>
    <t xml:space="preserve"> WR Randall Cobb activated off injured reserve</t>
  </si>
  <si>
    <t xml:space="preserve"> DL Kingsley Keke released</t>
  </si>
  <si>
    <t xml:space="preserve"> G Lucas Patrick activated off the reserve/COVID-19 list</t>
  </si>
  <si>
    <t xml:space="preserve"> G Lucas Patrick placed on reserve/COVID-19 list; G Ben Braden signed to the practice squad</t>
  </si>
  <si>
    <t xml:space="preserve"> G/T Billy Turner activated off reserve/COVID-19 list; T Adrian Ealy released from the practice squad</t>
  </si>
  <si>
    <t xml:space="preserve"> WR David Moore restored to the practice squad off the practice squad reserve/COVID-19 list; G Ben Braden, WR Chris Blair released</t>
  </si>
  <si>
    <t xml:space="preserve"> C/G Josh Myers activated off injured reserve; DL Abdullah Anderson, LB La'Darius Hamilton both elevated from the practice squad to the active roster for gameday (Week 18)</t>
  </si>
  <si>
    <t xml:space="preserve"> CB Jaire Alexander activated off reserve/COVID-19 list</t>
  </si>
  <si>
    <t xml:space="preserve"> K JJ Molson, LB Ray Wilborn restored to the practice squad off the practice squad reserve/COVID-19 list</t>
  </si>
  <si>
    <t xml:space="preserve"> DL Kingsley Keke, T Dennis Kelly, WR Amari Rodgers and S Darnell Savage activated from the reserve/COVID-19 list; G/T Billy Turner placed on the reserve/COVID-19 list; CB Jayson Stanley restored to the practice squad off the practice squad reserve/COVID-19 list; CB Jayson Stanley and G/T Jon Dietzen released from the practice squad (Week 18)</t>
  </si>
  <si>
    <t xml:space="preserve"> LB Chauncey Rivers (reverts to injured reserve) activated from the reserve/COVID-19 list; T Dennis Kelly, S Darnell Savage both placed on the reserve/COVID-19 list; WR David Moore placed on the practice squad reserve/COVID-19 list; K Elliott Fry released from the practice squad</t>
  </si>
  <si>
    <t>01/02</t>
  </si>
  <si>
    <t xml:space="preserve"> CB Jaire Alexander placed on reserve/COVID-19 list</t>
  </si>
  <si>
    <t xml:space="preserve"> P Corey Bojorquez, G Ben Braden, LB Oren Burks, TE Tyler Davis, TE Marcedes Lewis and LB Ty Summers (reverts to injured reserve) activated off the reserve/COVID-19 list; DL RJ McIntosh restored to the practice squad off the practice squad reserve/COVID-19 list; DL Abdullah Anderson elevated from the practice squad to the active roster for gameday as a COVID-19 replacement; WR David Moore elevated from the practice squad to the active roster for gameday; K Elliott Fry signed to the practice squad; LB Aaron Adeoye released from the practice squad</t>
  </si>
  <si>
    <t xml:space="preserve"> Acquired QB Baker Mayfield via trade</t>
  </si>
  <si>
    <t xml:space="preserve"> CAR</t>
  </si>
  <si>
    <t xml:space="preserve"> Waived QB Davis Cheek</t>
  </si>
  <si>
    <t xml:space="preserve"> Waived WR Talolo Limu-Jones</t>
  </si>
  <si>
    <t xml:space="preserve"> Signed WR Keith Kirkwood</t>
  </si>
  <si>
    <t xml:space="preserve"> Signed DE Drew Jordan</t>
  </si>
  <si>
    <t xml:space="preserve"> Waived DE Joe Jackson</t>
  </si>
  <si>
    <t xml:space="preserve"> Signed T Wyatt Miller</t>
  </si>
  <si>
    <t xml:space="preserve"> Waived CB Troy Pride Jr.</t>
  </si>
  <si>
    <t xml:space="preserve"> Signed TE Jared Scott</t>
  </si>
  <si>
    <t xml:space="preserve"> Waived S Drew Hartlaub</t>
  </si>
  <si>
    <t xml:space="preserve"> Waived DE Azur Kamara</t>
  </si>
  <si>
    <t xml:space="preserve"> Agreed to terms with T Ikem Ekwonu</t>
  </si>
  <si>
    <t xml:space="preserve"> Agreed to terms with OL Cade Mays</t>
  </si>
  <si>
    <t xml:space="preserve"> Agreed to terms with CB Kalon Barnes</t>
  </si>
  <si>
    <t xml:space="preserve"> Waived K Lirim Hajrullahu</t>
  </si>
  <si>
    <t xml:space="preserve"> DE AmarÃ© Barno signs rookie contract</t>
  </si>
  <si>
    <t xml:space="preserve"> Drafted DE AmarÃ© Barno in sixth round (189th overall)</t>
  </si>
  <si>
    <t xml:space="preserve"> Received pick 94th pick in third round from New England for 137th pick in fourth round and 2023 third round pick</t>
  </si>
  <si>
    <t xml:space="preserve"> Drafted QB Matt Corral in third round (94th overall) of 2022 NFL Draft</t>
  </si>
  <si>
    <t xml:space="preserve"> Received fourth-round pick No. 120 and sixth round pick No. 189 from Washington in return for fifth round picks No. 144 and No. 149</t>
  </si>
  <si>
    <t xml:space="preserve"> Drafted CB Kalon Barnes in seventh round (242nd overall) in the 2022 Draft</t>
  </si>
  <si>
    <t xml:space="preserve"> Drafted LB Brandon Smith in the fourth round (120th overall) of the 2022 NFL Draft</t>
  </si>
  <si>
    <t xml:space="preserve"> Drafted OL Cade Mays in sixth round (199th overall) of 2022 Draft</t>
  </si>
  <si>
    <t xml:space="preserve"> Drafted T Ickey Ekwonu in the first round (6th overall) of 2022 NFL Draft</t>
  </si>
  <si>
    <t xml:space="preserve"> Agreed to terms with S Juston Burris</t>
  </si>
  <si>
    <t xml:space="preserve"> Agreed to terms with CB Rashaan Melvin</t>
  </si>
  <si>
    <t xml:space="preserve"> Signed unrestricted free agent LB Cory Littleton</t>
  </si>
  <si>
    <t xml:space="preserve"> Signed unrestricted free agent CB Donte Jackson</t>
  </si>
  <si>
    <t xml:space="preserve"> Signed unrestricted free agent G/C Bradley Bozeman</t>
  </si>
  <si>
    <t xml:space="preserve"> Signed WR DJ Moore to contract extension</t>
  </si>
  <si>
    <t xml:space="preserve"> Agreed to terms with DT Matt Ioannidis</t>
  </si>
  <si>
    <t xml:space="preserve"> Signed unrestricted free agent G Austin Corbett</t>
  </si>
  <si>
    <t xml:space="preserve"> Agreed to terms with P Johnny Hekker</t>
  </si>
  <si>
    <t xml:space="preserve"> Agreed to terms with LB Damien Wilson</t>
  </si>
  <si>
    <t xml:space="preserve"> Signed unrestricted free agent RB D'Onta Foreman</t>
  </si>
  <si>
    <t xml:space="preserve"> Signed unrestricted free agent WR Rashard Higgins</t>
  </si>
  <si>
    <t xml:space="preserve"> Signed unrestricted free agent S Xavier Woods</t>
  </si>
  <si>
    <t xml:space="preserve"> Released DE Morgan Fox</t>
  </si>
  <si>
    <t xml:space="preserve"> Re-signed WR Brandon Zylstra</t>
  </si>
  <si>
    <t xml:space="preserve"> Re-signed S Sean Chandler</t>
  </si>
  <si>
    <t xml:space="preserve"> Re-signed DE Marquis Haynes Sr.</t>
  </si>
  <si>
    <t xml:space="preserve"> Released CB A.J. Bouye</t>
  </si>
  <si>
    <t xml:space="preserve"> Re-signed K Zane Gonzalez</t>
  </si>
  <si>
    <t xml:space="preserve"> Re-signed TE Ian Thomas</t>
  </si>
  <si>
    <t xml:space="preserve"> Re-signed LB Frankie Luvu</t>
  </si>
  <si>
    <t>02/11</t>
  </si>
  <si>
    <t xml:space="preserve"> Signed DE Joe Jackson to reserve/future contract</t>
  </si>
  <si>
    <t xml:space="preserve"> Re-signed LS J.J. Jansen</t>
  </si>
  <si>
    <t xml:space="preserve"> Signed RB Darius Bradwell to reserve/future contract</t>
  </si>
  <si>
    <t xml:space="preserve"> Signed DE Austin Larkin and OL Austen Pleasants to reserve/future contracts</t>
  </si>
  <si>
    <t xml:space="preserve"> Signed FB Giovanni Ricci to one-year contract extension</t>
  </si>
  <si>
    <t xml:space="preserve"> Signed QB P.J. Walker to one-year contract extension</t>
  </si>
  <si>
    <t xml:space="preserve"> Signed RB Spencer Brown, CB Madre Harper, DE Frank Herron, OL Mike Horton, OL Aaron Monteiro, WR Aaron Parker, WR C.J. Saunders and TE Colin Thompson to reserve/future contracts</t>
  </si>
  <si>
    <t xml:space="preserve"> Activated CB Madre Harper, DE Frank Herron and WR Keith Kirkwood as COVID elevations for Week 18</t>
  </si>
  <si>
    <t xml:space="preserve"> Activated RB Reggie Bonnafon and WR C.J. Saunders as standard elevations for Week 18</t>
  </si>
  <si>
    <t xml:space="preserve"> Released CB Jalen Julius from practice squad</t>
  </si>
  <si>
    <t xml:space="preserve"> Signed K Dominik Eberle to practice squad</t>
  </si>
  <si>
    <t xml:space="preserve"> Signed TE Stephen Sullivan to active roster</t>
  </si>
  <si>
    <t xml:space="preserve"> CB Jaycee Horn reverted from reserve/COVID-19 list to injured reserve list</t>
  </si>
  <si>
    <t xml:space="preserve"> Placed CB Stephon Gilmore and WR Shi Smith on reserve/COVID-19 list</t>
  </si>
  <si>
    <t xml:space="preserve"> Signed CB Jalen Julius to practice squad</t>
  </si>
  <si>
    <t xml:space="preserve"> Signed DT Jacob Tuioti-Mariner</t>
  </si>
  <si>
    <t xml:space="preserve"> Placed WR Terrace Marshall Jr. (foot) on injured reserve</t>
  </si>
  <si>
    <t xml:space="preserve"> Placed DE Yetur Gross-Matos on reserve/COVID-19 list</t>
  </si>
  <si>
    <t xml:space="preserve"> Placed T Cameron Erving (calf) on injured reserve</t>
  </si>
  <si>
    <t xml:space="preserve"> Activated OLB Haason Reddick, TE Tommy Tremble and QB P.J. Walker from reserve/COVID-19 llst and RB Reggie Bonnafon from practice squad/COVID-19 list</t>
  </si>
  <si>
    <t xml:space="preserve"> Released K Blake Haubeil, G Patrick Omameh and QB Jordan Ta'amu from practice squad</t>
  </si>
  <si>
    <t xml:space="preserve"> Activated C Sam Tecklenburg and DE Darryl Johnson from reserve/COVID-19 list and reverted C Matt Paradis from COVID list to injured reserve</t>
  </si>
  <si>
    <t xml:space="preserve"> Promoted DE Austin Larkin as standard elevation for Week 17</t>
  </si>
  <si>
    <t xml:space="preserve"> Activated DE Brian Burns, DE Marquis Haynes and LB Shaq Thompson off reserve/COVID-19 list</t>
  </si>
  <si>
    <t xml:space="preserve"> Elevated TE Colin Thompson, CB Madre Harper, RB Spencer Brown and G Mike Horton as COVID-19 replacements for Week 17</t>
  </si>
  <si>
    <t xml:space="preserve"> Traded WR N'Keal Harry to the Chicago Bears.</t>
  </si>
  <si>
    <t xml:space="preserve"> NWE</t>
  </si>
  <si>
    <t xml:space="preserve"> Signed offensive lineman Darryl Williams.</t>
  </si>
  <si>
    <t xml:space="preserve"> Signed restricted free agent WR Jakobi Meyers, WR Lil'Jordan Humphrey and 2022 fourth-round draft pick RB Pierre Strong Jr.</t>
  </si>
  <si>
    <t xml:space="preserve"> Signed kicker Tristan Vizcaino and released kicker Quinn Nordin.</t>
  </si>
  <si>
    <t xml:space="preserve"> Signed 2022 fourth-round draft pick DB Jack Jones.</t>
  </si>
  <si>
    <t xml:space="preserve"> Signed 2022 sixth-round draft pick OL Chasen Hines and 2022 seventh-round draft pick Andrew Stueber. Signed rookie free agent LS Ross Reiter from Colorado State and released rookie free agents DB Devin Hafford and QB D'Eriq King.</t>
  </si>
  <si>
    <t xml:space="preserve"> Traded QB Jarrett Stidham to the Las Vegas Raiders.</t>
  </si>
  <si>
    <t xml:space="preserve"> Signed DB Marcus Jones and sixth-round picks RB Kevin Harris and DL Sam Roberts; Released OL Liam Shanahan.</t>
  </si>
  <si>
    <t xml:space="preserve"> Claimed TE Matt Sokol off waivers from the Detroit Lions.</t>
  </si>
  <si>
    <t xml:space="preserve"> Signed eight rookie free agents: DB Devin Hafford, P Jake Julien, QB D'Eriq King, DL DaMarcus Mitchell, DE LaBryan Ray, OL Kody Russey, DB Brenden Schooler and OL Liam Shanahan.</t>
  </si>
  <si>
    <t xml:space="preserve"> Released LB Terez Hall.</t>
  </si>
  <si>
    <t xml:space="preserve"> Released RB Devine Ozigbo.</t>
  </si>
  <si>
    <t xml:space="preserve"> Re-Signed defensive lineman Carl Davis Jr.</t>
  </si>
  <si>
    <t xml:space="preserve"> Signed DB Jabrill Peppers.</t>
  </si>
  <si>
    <t xml:space="preserve"> Signed CB Malcolm Butler.</t>
  </si>
  <si>
    <t xml:space="preserve"> Re-Signed OL Trent Brown.</t>
  </si>
  <si>
    <t xml:space="preserve"> Re-signed LB Ja'Whaun Bentley and K Nick Folk.</t>
  </si>
  <si>
    <t xml:space="preserve"> Signed veteran WR Ty Montgomery as an unrestricted free agent from New Orleans.</t>
  </si>
  <si>
    <t xml:space="preserve"> Traded G Shaq Mason to Tampa Bay in exchange for a 2022 fifth-round draft pick.</t>
  </si>
  <si>
    <t xml:space="preserve"> Re-Signed running back James White.</t>
  </si>
  <si>
    <t xml:space="preserve"> Acquired LB Mack Wilson in a trade with the Cleveland Browns in exchange for DL Chase Winovich.</t>
  </si>
  <si>
    <t xml:space="preserve"> Signed DB Terrance Mitchell</t>
  </si>
  <si>
    <t xml:space="preserve"> Signed OL James Ferentz.</t>
  </si>
  <si>
    <t xml:space="preserve"> Released LB Kyle Van Noy.</t>
  </si>
  <si>
    <t xml:space="preserve"> Signed defensive lineman Bill Murray to a future contract.</t>
  </si>
  <si>
    <t xml:space="preserve"> Signed OL Drew Desjarlais to a future contract.</t>
  </si>
  <si>
    <t xml:space="preserve"> Signed DL Daniel Ekuale to future contract.</t>
  </si>
  <si>
    <t xml:space="preserve"> Signed OL Arlington Hambright to a future contract.</t>
  </si>
  <si>
    <t xml:space="preserve"> Signed WR Tre Nixon, K Quinn Nordin, WR Malcolm Perry, RB Devine Ozigbo, OL Will Sherman,WR Kristian Wilkerson to future contracts.</t>
  </si>
  <si>
    <t xml:space="preserve"> Elevated CB De'Vante Bausby, DL Daniel Ekuale, DB D'Angelo Ross and WR Kristian Wilkerson to the active roster from the practice squad.</t>
  </si>
  <si>
    <t xml:space="preserve"> Signed DB Cre'Von LeBlanc to the practice squad.</t>
  </si>
  <si>
    <t xml:space="preserve"> Signed DB DJ Daniel and TE Jaylen Smith to the practice squad.</t>
  </si>
  <si>
    <t xml:space="preserve"> DB Sean Davis, DL Daniel Ekuale and DB D'Angelo Ross have reverted back to the practice squad.</t>
  </si>
  <si>
    <t xml:space="preserve"> Elevated DB Sean Davis, DL Daniel Ekuale and DB D'Angelo Ross to the active roster from the practice squad.</t>
  </si>
  <si>
    <t xml:space="preserve"> Signed LB LaRoy Reynolds to the Practice Squad.</t>
  </si>
  <si>
    <t xml:space="preserve"> DL Daniel Ekuale, DB D'Angelo Ross and WR Kristian Wilkerson have reverted back to the practice squad.</t>
  </si>
  <si>
    <t xml:space="preserve"> Elevated DL Daniel Ekuale, D'Angelo Ross and WR Kristian Wilkerson to the active roster.</t>
  </si>
  <si>
    <t xml:space="preserve"> Signed C/G Cam Jurgens.</t>
  </si>
  <si>
    <t xml:space="preserve"> PHI</t>
  </si>
  <si>
    <t xml:space="preserve"> Agreed to terms with S Jaquiski Tartt on a one-year contract.</t>
  </si>
  <si>
    <t xml:space="preserve"> Claimed CB Jimmy Moreland off of waivers. Released LB Joe Ostman.</t>
  </si>
  <si>
    <t xml:space="preserve"> Agreed to terms with CB James Bradberry on a one-year contract.</t>
  </si>
  <si>
    <t xml:space="preserve"> Claimed WR Josh Hammond off of waivers.</t>
  </si>
  <si>
    <t xml:space="preserve"> Signed WR Keric Wheatfall.</t>
  </si>
  <si>
    <t xml:space="preserve"> Signed LB Nakobe Dean.</t>
  </si>
  <si>
    <t xml:space="preserve"> Signed the following 12 undrafted free agents: CB Josh Blackwell, S Reed Blankenship, RB Kennedy Brooks, WR Britain Covey, OL William Dunkle, DT Noah Elliss, LB Ali Fayad, CB Mario Goodrich, CB Josh Jobe, OL Josh Sills, QB Carson Strong, and OL Jarrid Williams.</t>
  </si>
  <si>
    <t xml:space="preserve"> Signed the following draft picks: DT Jordan Davis, LB Kyron Johnson, and TE Grant Calcaterra.</t>
  </si>
  <si>
    <t xml:space="preserve"> Waived C/G Nate Herbig.</t>
  </si>
  <si>
    <t xml:space="preserve"> Signed WR A.J. Brown to a four-year contract extension through 2026.</t>
  </si>
  <si>
    <t xml:space="preserve"> Traded a 2022 sixth-round pick (No. 188 overall) and a 2022 seventh-round pick (No. 237 overall) to Detroit for a 2022 sixth-round pick (No. 181 overall).</t>
  </si>
  <si>
    <t xml:space="preserve"> Selected LB Kyron Johnson with the 181st overall pick in the 2022 NFL Draft.</t>
  </si>
  <si>
    <t xml:space="preserve"> Selected LB Nakobe Dean with the 83rd overall pick in the 2022 NFL Draft.</t>
  </si>
  <si>
    <t xml:space="preserve"> Traded a 2022 fifth-round pick (No. 154 overall) to Jacksonville for two 2022 sixth-round picks (No. 188 and 198 overall).</t>
  </si>
  <si>
    <t xml:space="preserve"> Selected TE Grant Calcaterra with the 198th overall pick in the 2022 NFL Draft.</t>
  </si>
  <si>
    <t xml:space="preserve"> Selected C Cam Jurgens with the 51st overall pick in the 2022 NFL Draft.</t>
  </si>
  <si>
    <t xml:space="preserve"> Traded a 2022 first-round pick (No. 18 overall) and a 2022 third-round pick (No. 101 overall) to Tennessee for WR A.J. Brown.</t>
  </si>
  <si>
    <t xml:space="preserve"> Traded a 2022 first-round pick (No. 15 overall), a 2022 fourth-round pick (No. 124 overall), and two 2022 fifth-round picks (Nos. 162 and 166 overall) to Houston for a 2022 first-round pick (No. 13 overall).</t>
  </si>
  <si>
    <t xml:space="preserve"> Selected DT Jordan Davis with the 13th overall pick in the 2022 NFL Draft.</t>
  </si>
  <si>
    <t xml:space="preserve"> C/G Nate Herbig signed his restricted free agent tender.</t>
  </si>
  <si>
    <t xml:space="preserve"> Signed WR Devon Allen to a three-year contract.</t>
  </si>
  <si>
    <t xml:space="preserve"> Agreed to trade 2022 picks No. 16, 19, and 194 to New Orleans in exchange for 2022 picks No. 18, 101, 237, a 2023 first-round pick, and a 2024 second-round pick.</t>
  </si>
  <si>
    <t xml:space="preserve"> Agreed to terms with LB Kyzir White on a one-year contract.</t>
  </si>
  <si>
    <t xml:space="preserve"> Signed DE Derek Barnett to a two-year contract.</t>
  </si>
  <si>
    <t xml:space="preserve"> Agreed to terms with WR Zach Pascal on a one-year contract.</t>
  </si>
  <si>
    <t xml:space="preserve"> Agreed to terms on one-year contracts with DT Fletcher Cox and RB Boston Scott.</t>
  </si>
  <si>
    <t xml:space="preserve"> Agreed to terms with S Anthony Harris on a one-year contract.</t>
  </si>
  <si>
    <t xml:space="preserve"> Released DT Fletcher Cox.</t>
  </si>
  <si>
    <t xml:space="preserve"> Agreed to terms with LB Haason Reddick on a three-year contract.</t>
  </si>
  <si>
    <t xml:space="preserve"> Agreed to terms on one-year contracts with WR Greg Ward and DB Andre Chachere.</t>
  </si>
  <si>
    <t xml:space="preserve"> Tendered restricted free agent C/G Nate Herbig.</t>
  </si>
  <si>
    <t xml:space="preserve"> Signed DT Renell Wren.</t>
  </si>
  <si>
    <t xml:space="preserve"> Signed WR John Hightower to a Reserve/Future contract.</t>
  </si>
  <si>
    <t xml:space="preserve"> Signed the following players to Reserve/Future contracts: G/T Kayode Awosika, WR Deon Cain, LB Christian Elliss, CB Craig James, DE Matt Leo, DE Cameron Malveaux, S Jared Mayden, CB Mac McCain, LB JaCoby Stevens, TE Noah Togiai, and DT Marvin Wilson.</t>
  </si>
  <si>
    <t xml:space="preserve"> Signed TE Richard Rodgers from the practice squad to the active roster.</t>
  </si>
  <si>
    <t xml:space="preserve"> Placed DT Marlon Tuipulotu on the Reserve/COVID-19 list.</t>
  </si>
  <si>
    <t xml:space="preserve"> Protected the following practice squad players: T Kayode Awosika, DB Jared Mayden, DB Mac McCain, and LB JaCoby Stevens.</t>
  </si>
  <si>
    <t xml:space="preserve"> Released K Matt McCrane and RB Kerryon Johnson from the practice squad.</t>
  </si>
  <si>
    <t xml:space="preserve"> Activated LB Genard Avery, DT Fletcher Cox, S Marcus Epps, TE Dallas Goedert, G Nate Herbig, RB Jordan Howard, CB Avonte Maddox, S Rodney McLeod, RB Boston Scott, LB Alex Singleton, and TE Jack Stoll from the Reserve/COVID-19 list.</t>
  </si>
  <si>
    <t xml:space="preserve"> Signed RB Jason Huntley from the practice squad to the active roster.</t>
  </si>
  <si>
    <t xml:space="preserve"> Placed WR J.J. Arcega-Whiteside, TE Tyree Jackson, and T/G Brett Toth on Reserve/Injured.</t>
  </si>
  <si>
    <t xml:space="preserve"> Activated C Jason Kelce from the Reserve/COVID-19 list.</t>
  </si>
  <si>
    <t xml:space="preserve"> Activated WR KeeSean Johnson from the practice squad Reserve/COVID-19 list to the practice squad.</t>
  </si>
  <si>
    <t xml:space="preserve"> Activated CB Craig James and WR John Hightower from the practice squad Reserve/COVID-19 list.</t>
  </si>
  <si>
    <t xml:space="preserve"> Protected the following practice squad players: T Kayode Awosika, WR John Hightower, DB Jared Mayden, and DB Mac McCain.</t>
  </si>
  <si>
    <t xml:space="preserve"> Elevated DE Cameron Malveaux and LB JaCoby Stevens from the practice squad to the active roster as COVID replacements for Saturday's game against Dallas.</t>
  </si>
  <si>
    <t xml:space="preserve"> Activated TE Noah Togiai from the practice squad Reserve/COVID-19 list to the practice squad.</t>
  </si>
  <si>
    <t xml:space="preserve"> Released K Matt McCrane from the practice squad.</t>
  </si>
  <si>
    <t xml:space="preserve"> Placed LB Genard Avery, DT Fletcher Cox, S Marcus Epps, TE Dallas Goedert, G Nate Herbig, RB Jordan Howard, C Jason Kelce, CB Avonte Maddox, S Rodney McLeod, RB Boston Scott, LB Alex Singleton, and TE Jack Stoll on the Reserve/COVID-19 list.</t>
  </si>
  <si>
    <t xml:space="preserve"> Placed WR KeeSean Johnson and CB Craig James on the practice squad Reserve/COVID-19 list.</t>
  </si>
  <si>
    <t xml:space="preserve"> Elevated DE Cameron Malveaux and LB JaCoby Stevens from the practice squad for Sunday's game against Washington and signed K Matt McCrane to the practice squad.</t>
  </si>
  <si>
    <t xml:space="preserve"> Activated DE Derek Barnett from the Reserve/COVID-19 list.</t>
  </si>
  <si>
    <t>07/07</t>
  </si>
  <si>
    <t xml:space="preserve"> Waived CB Stanford Samuels III.</t>
  </si>
  <si>
    <t xml:space="preserve"> LVE</t>
  </si>
  <si>
    <t xml:space="preserve"> Signed CB Chris Jones.</t>
  </si>
  <si>
    <t xml:space="preserve"> Signed WR Hunter Renfrow to a multi-year contract extension. Signed DT Neil Farrell Jr. (D4-22).</t>
  </si>
  <si>
    <t xml:space="preserve"> Signed RB Zamir White (D4-22); Waived TE Travis Koontz.</t>
  </si>
  <si>
    <t xml:space="preserve"> Signed TE Jesper Horsted.</t>
  </si>
  <si>
    <t xml:space="preserve"> Signed DL Tyler Lancaster.</t>
  </si>
  <si>
    <t xml:space="preserve"> Placed RB Sincere McCormick on the Reserve/Injured list.</t>
  </si>
  <si>
    <t xml:space="preserve"> Placed CB Malkelm Morrison on the Reserve/Retired list.</t>
  </si>
  <si>
    <t xml:space="preserve"> Signed WR Jordan Veasy; Released FB Sutton Smith.</t>
  </si>
  <si>
    <t xml:space="preserve"> Signed TE Travis Koontz, CB Stanford Samuels III and T Tyrone Wheatley Jr.; Waived C Brett Heggie and WR TrÃ© Turner.</t>
  </si>
  <si>
    <t xml:space="preserve"> Acquired QB Jarrett Stidham and a 2023 seventh-round draft pick via a trade with the New England Patriots for a 2023 sixth-round draft pick; Traded WR Bryan Edwards and a conditional 2023 seventh-round pick to the Atlanta Falcons in exchange for a 2023 fifth-round draft pick.</t>
  </si>
  <si>
    <t xml:space="preserve"> Signed G Dylan Parham (D3-22), DT Matthew Butler (D5-22), RB Brittain Brown (D7-22) and T Thayer Munford Jr. (D7-22); Signed WR Keelan Cole; Signed LB Darien Butler, S Qwynnterrio Cole, CB Bryce Cosby, TE Cole Fotheringham, QB Chase Garbers, WR Justin Hall, LB Luke Masterson, RB Sincere McCormick, CB Malkelm Morrison, T Bamidele Olaseni, S Isaiah Pola-Mao, DE Myron Tagovailoa-Amosa, WR TrÃ© Turner, DE Zach VanValkenburg and CB Sam Webb; Released QB Garrett Gilbert.</t>
  </si>
  <si>
    <t xml:space="preserve"> Signed LB Kenny Young; Released LB Justin March-Lillard.</t>
  </si>
  <si>
    <t xml:space="preserve"> Waived RB Trey Ragas.</t>
  </si>
  <si>
    <t xml:space="preserve"> Signed QB Derek Carr to a multi-year contract extension.</t>
  </si>
  <si>
    <t xml:space="preserve"> Signed DE Tashawn Bower; Signed exclusive rights free agents TE Nick Bowers and S Roderic Teamer; Waived/Non-Football Injury OL Kamaal Seymour.</t>
  </si>
  <si>
    <t xml:space="preserve"> Signed QB Nick Mullens; Re-signed DT Johnathan Hankins.</t>
  </si>
  <si>
    <t xml:space="preserve"> Signed OL Jermaine Eluemunor; Waived S Jordan Brown, DT P.J. Johnson and T William Sweet; Released S Natrell Jamerson and WR Javon Wims.</t>
  </si>
  <si>
    <t xml:space="preserve"> Signed S Duron Harmon and LB Jayon Brown.</t>
  </si>
  <si>
    <t xml:space="preserve"> Signed DT Vernon Butler.</t>
  </si>
  <si>
    <t xml:space="preserve"> Signed WR Demarcus Robinson, DT Kyle Peko and TE Jacob Hollister.</t>
  </si>
  <si>
    <t xml:space="preserve"> Signed QB Garrett Gilbert, T Brandon Parker, LB Micah Kiser and LB Kyler Fackrell.</t>
  </si>
  <si>
    <t xml:space="preserve"> Signed S Dallin Leavitt.</t>
  </si>
  <si>
    <t xml:space="preserve"> Acquired WR Davante Adams via a trade with the Green Bay Packers for the Raiders' first and second-round selections in the 2022 NFL Draft; Signed RB Ameer Abdullah.</t>
  </si>
  <si>
    <t xml:space="preserve"> Signed LB Chandler Jones, CB Anthony Averett, CB Darius Phillips, RB Brandon Bolden, FB Jakob Johnson, WR Mack Hollins, DT Bilal Nichols and OL Alex Bars; Acquired CB Rock Ya-Sin via a trade with the Indianapolis Colts for DE Yannick Ngakoue.</t>
  </si>
  <si>
    <t xml:space="preserve"> Released LB Nick Kwiatkoski, DE Carl Nassib and LB Cory Littleton.</t>
  </si>
  <si>
    <t xml:space="preserve"> Signed DE Maxx Crosby to a multi-year contract extension.</t>
  </si>
  <si>
    <t xml:space="preserve"> Released DB Kavon Frazier.</t>
  </si>
  <si>
    <t>02/28</t>
  </si>
  <si>
    <t xml:space="preserve"> Signed DT Andrew Billings; Waived OL Jeremiah Poutasi.</t>
  </si>
  <si>
    <t xml:space="preserve"> Signed OL Jordan Meredith.</t>
  </si>
  <si>
    <t xml:space="preserve"> Signed CB Cre'Von LeBlanc.</t>
  </si>
  <si>
    <t xml:space="preserve"> Signed WR Javon Wims and T William Sweet to Reserve/Future contracts.</t>
  </si>
  <si>
    <t xml:space="preserve"> Signed S Natrell Jamerson to a Reserve/Future contract.</t>
  </si>
  <si>
    <t xml:space="preserve"> G Lester Cotton Sr. and DT Damion Square reverted to the practice squad; Signed WR Dillon Stoner, LB Justin March-Lillard, DE Gerri Green, G Lester Cotton Sr., DL P.J. Johnson, S Jordan Brown, OL Hroniss Grasu, DB Kavon Frazier, RB Trey Ragas, OL Jeremiah Poutasi, C Brett Heggie and WR DJ Turner to Reserve/Future contracts.</t>
  </si>
  <si>
    <t xml:space="preserve"> Activated G Lester Cotton Sr. and DT Damion Square from the practice squad.</t>
  </si>
  <si>
    <t xml:space="preserve"> Released LB Will Compton; Designated LB Nicholas Morrow for return; Placed DT Darius Philon on the Reserve/Injured list; LB Marquel Lee and DT Kendal Vickers returned from the Reserve/COVID-19 list; Signed LB Justin March-Lillard, TE Daniel Helm and DL Isaiah Buggs to the practice squad; Released WR Javon Wims and LB Asmar Bilal from the practice squad.</t>
  </si>
  <si>
    <t xml:space="preserve"> G Lester Cotton Sr. and DT Damion Square reverted to the practice squad.</t>
  </si>
  <si>
    <t xml:space="preserve"> Signed WR Tyron Johnson; Activated TE Derek Carrier from the Reserve/Injured list; Released TE Daniel Helm; Activated G Lester Cotton Sr. and DT Damion Square from the practice squad.</t>
  </si>
  <si>
    <t xml:space="preserve"> Signed LB Will Compton.</t>
  </si>
  <si>
    <t xml:space="preserve"> Placed LB Marquel Lee on the Reserve/COVID-19 list.</t>
  </si>
  <si>
    <t xml:space="preserve"> Released LB Will Compton; Waived LB Justin March-Lillard; DE Carl Nassib, G Jordan Simmons and TE Darren Waller returned from the Reserve/COVID-19 list.</t>
  </si>
  <si>
    <t xml:space="preserve"> LB Will Compton and LB Patrick Onwuasor returned from the Reserve/COVID-19 list; G Lester Cotton Sr. and OL Jeremiah Poutasi restored to the practice squad from the Practice Squad/COVID-19 list; Released OL Nico Falah and OL Brett Heggie from the practice squad; S Jordan Brown, OL Hroniss Grasu, WR Tyron Johnson and DT Damion Square reverted to the practice squad.</t>
  </si>
  <si>
    <t xml:space="preserve"> CB Casey Hayward Jr., LB Denzel Perryman, LB Cory Littleton and DT Darius Philon returned from the Reserve/COVID-19 list; Activated S Jordan Brown, OL Hroniss Grasu, WR Tyron Johnson and DT Damion Square from the practice squad.</t>
  </si>
  <si>
    <t xml:space="preserve"> Released G Pier-Olivier Lestage. Signed DT Bryan Mone to contract extension.</t>
  </si>
  <si>
    <t xml:space="preserve"> SEA</t>
  </si>
  <si>
    <t xml:space="preserve"> Released DE Alex Tchangam.</t>
  </si>
  <si>
    <t xml:space="preserve"> Signed T Charles Cross.</t>
  </si>
  <si>
    <t xml:space="preserve"> Signed T Abraham Lucas.</t>
  </si>
  <si>
    <t xml:space="preserve"> Signed WR Marquise Goodwin.</t>
  </si>
  <si>
    <t xml:space="preserve"> Released QB Levi Lewis.</t>
  </si>
  <si>
    <t xml:space="preserve"> Signed CB Elijah Jones and T Liam Ryan.</t>
  </si>
  <si>
    <t xml:space="preserve"> Released CB Matt Cole, WR Jake Herslow, TE John Mitchell and WR Demetris Robertson. Signed WR Deontez Alexander and WR Kevin Kassis.</t>
  </si>
  <si>
    <t xml:space="preserve"> Signed S Joey Blount, S Bubba Bolden, TE Cade Brewer, G Shamarious Gilmore, DT Matt Gotel, WR Jake Herslow, LB Vi Jones, QB Levi Lewis, WR Bo Melton, TE John Mitchell, S Scott Nelson, DE Josh Onujiogu, WR Demetris Robertson, LB Tyreke Smith, S Josh Valentine-Turner, S Deontai Williams, CB Tariq Woolen and WR Dareke Young.</t>
  </si>
  <si>
    <t xml:space="preserve"> Released DT Niles Scott. Signed S Josh Jones.</t>
  </si>
  <si>
    <t xml:space="preserve"> Re-signed WR Penny Hart, G Phil Haynes, DT Bryan Mone, LB Tanner Muse, S Ryan Neal, CB John Reid, LB Jon Rhattigan, C Dakoda Shepley and QB Geno Smith.</t>
  </si>
  <si>
    <t xml:space="preserve"> Signed CB Justin Coleman and LB Joel Iyiegbuniwe.</t>
  </si>
  <si>
    <t xml:space="preserve"> Re-signed RB Rashaad Penny. Signed C Austin Blythe and DT Quinton Jefferson.</t>
  </si>
  <si>
    <t xml:space="preserve"> Signed CB Artie Burns. Released LB Carlos Dunlap II and DE Kerry Hyder Jr. Re-signed C Kyle Fuller.</t>
  </si>
  <si>
    <t xml:space="preserve"> Re-signed S Quandre Diggs, TE Will Dissly, CB Sidney Jones IV and DT Al Woods. Signed LB Uchenna Nwosu. Released LB Benson Mayowa.</t>
  </si>
  <si>
    <t xml:space="preserve"> Traded QB Russell Wilson and a 2022 fourth-round pick to Denver for a 2022 first-round pick, a 2022 second-round pick, a 2022 fifth-round pick, a 2023 first-round pick, a 2023 second-round pick, TE Noah Fant, DT Shelby Harris and QB Drew Lock.</t>
  </si>
  <si>
    <t xml:space="preserve"> Released LB Bobby Wagner.</t>
  </si>
  <si>
    <t xml:space="preserve"> Signed RB Darwin Thompson to future 2022 contract.</t>
  </si>
  <si>
    <t xml:space="preserve"> Signed DE Alex Tchangam to future 2022 contract.</t>
  </si>
  <si>
    <t xml:space="preserve"> Activated C Kyle Fuller from Reserve/COVID-19 list.</t>
  </si>
  <si>
    <t xml:space="preserve"> Activated S Gavin Heslop, S Ryan Neal, DE Alton Robinson and DT Al Woods from Reserve/COVID-19 list.</t>
  </si>
  <si>
    <t xml:space="preserve"> Signed DT Myles Adams, WR Matt Cole, LB Aaron Donkor, T Greg Eiland, WR Aaron Fuller, DT Jarrod Hewitt, CB Mike Jackson, WR Cade Johnson, G Pier-Olivier Lestage, DT Niles Scott, WR Cody Thompson and LB Lakiem Williams to 2022 future contracts. WR Aaron Fuller, CB Michael Jackson, S Josh Jones and WR Cody Thompson reverted to practice squad.</t>
  </si>
  <si>
    <t xml:space="preserve"> Elevated WR Aaron Fuller, CB Michael Jackson, S Josh Jones and WR Cody Thompson from practice squad. Placed T Brandon Shell on injured reserve. Signed TE Tyler Mabry from practice squad. Placed C Kyle Fuller on Reserve/COVID-19 list.</t>
  </si>
  <si>
    <t xml:space="preserve"> Placed S Ryan Neal on the Reserve/COVID-19 list. Activated CB Sidney Jones IV and G Damien Lewis from the Reserve/COVID-19 list.</t>
  </si>
  <si>
    <t xml:space="preserve"> Placed DT Myles Adams and DT Al Woods on Reserve/COVID-19 list.</t>
  </si>
  <si>
    <t xml:space="preserve"> Placed RB Alex Collins on injured reserve. Signed RB Josh Johnson from practice squad. Activated CB Bless Austin from Reserve/COVID-19 list. Placed S Gavin Heslop on Reserve/COVID-19 list.</t>
  </si>
  <si>
    <t xml:space="preserve"> Placed DE Alton Robinson on Reserve/COVID-19 list. CB Michael Jackson, S Josh Jones and LB Edmond Robinson reverted to practice squad.</t>
  </si>
  <si>
    <t xml:space="preserve"> Placed LB Jon Rhattigan on injured reserve. Activated T Jamarco Jones from injured reserve. Placed CB Sidney Jones IV on Reserve/COVID-19 list. Elevated CB Michael Jackson, S Josh Jones and LB Edmond Robinson from practice squad.</t>
  </si>
  <si>
    <t>06/23</t>
  </si>
  <si>
    <t xml:space="preserve"> Signed QB Kenny Pickett to a four-year deal.</t>
  </si>
  <si>
    <t xml:space="preserve"> PIT</t>
  </si>
  <si>
    <t xml:space="preserve"> Signed DT Larry Ogunjobi to a one-year contract</t>
  </si>
  <si>
    <t xml:space="preserve"> Signed S Minkah Fitzpatrick to a new five-year contract.</t>
  </si>
  <si>
    <t xml:space="preserve"> Signed WR Calvin Austin III to a four-year deal.</t>
  </si>
  <si>
    <t xml:space="preserve"> Signed LB Tuzar Skipper.</t>
  </si>
  <si>
    <t xml:space="preserve"> DE Stephon Tuitt retires.</t>
  </si>
  <si>
    <t xml:space="preserve"> Waived DT Trevon Mason</t>
  </si>
  <si>
    <t xml:space="preserve"> Signed DE DeMarvin Leal to a 4-year deal</t>
  </si>
  <si>
    <t xml:space="preserve"> Signed DT Trevon Mason, CB Carlins Platel, K Nick Sciba and WR Tyler Snead; Waived WR Rico Bussey and K Sam Sloman; Terminated vested veteran LB John Simon; Waived/injured DB Bryce Watts.</t>
  </si>
  <si>
    <t xml:space="preserve"> Signed TE/FB Connor Heyward, LB Mark Robinson and QB Chris Oladokun.</t>
  </si>
  <si>
    <t xml:space="preserve"> Signed OL Trent Scott to a one-year contract; Waived G Malcolm Pridgeon</t>
  </si>
  <si>
    <t xml:space="preserve"> Signed WR George Pickens to a 4-year deal</t>
  </si>
  <si>
    <t xml:space="preserve"> Waived LS Rex Sunahara and LB Tegray Scales; Waived/injured CB Isaiah Johnson.</t>
  </si>
  <si>
    <t xml:space="preserve"> Signed S Damontae Kazee to a one-year contract.</t>
  </si>
  <si>
    <t xml:space="preserve"> Agreed to terms with the following undrafted rookie free agents: OT Jake Dixon (Duquesne), RB Mataeo Durant (Duke), DL Donovan Jeter (Michigan). OLB Tyree Johnson (Texas A&amp;M), OLB T.D. Moultry (Auburn), OG Chris Owens (Alabama), CB Chris Steele (Southern California), OT Jordan Tucker (North Carolina), RB Jaylen Warren (Oklahoma State) and CB Bryce Watts (UMass).</t>
  </si>
  <si>
    <t xml:space="preserve"> Drafted WR Calvin Austin III (Memphis) in the 4th round of the 2022 NFL Draft (138th overall); Drafted TE/FB Connor Heyward (Michigan State) in the 6th round of the 2022 NFL Draft (208th overall); Drafted LB Mark Robinson (Ole Miss) in the 7th round of the 2022 NFL Draft (225th overall); Drafted QB Chris Oladokun (South Dakota State) in the 7th round of the 2022 NFL Draft (241th overall)</t>
  </si>
  <si>
    <t xml:space="preserve"> Drafted WR George Pickens (Georgia) in the 2nd round of the 2022 NFL Draft (52nd overall); Drafted DE DeMarvin Leal (Texas A&amp;M) in the 3rd round of the 2022 NFL Draft (84th overall)</t>
  </si>
  <si>
    <t xml:space="preserve"> Drafted QB Kenny Pickett (Pittsburgh) in the 1st round of the 2022 NFL Draft (20th overall)</t>
  </si>
  <si>
    <t xml:space="preserve"> Signed S Terrell Edmunds to a one-year contract.</t>
  </si>
  <si>
    <t xml:space="preserve"> Awarded WR Miles Boykin off of waivers.</t>
  </si>
  <si>
    <t xml:space="preserve"> Signed LB Marcus Allen to a one-year restricted free agent tender.</t>
  </si>
  <si>
    <t xml:space="preserve"> OL J.C. Hassenauer signed a one-year exclusive rights tender.</t>
  </si>
  <si>
    <t xml:space="preserve"> Signed LB Robert Spillane to a one-year restricted free agent tender.</t>
  </si>
  <si>
    <t xml:space="preserve"> Signed LB Genard Avery and S Karl Joseph to respective one-year contracts.</t>
  </si>
  <si>
    <t xml:space="preserve"> Signed CB Ahkello Witherspoon to a two-year contract.</t>
  </si>
  <si>
    <t xml:space="preserve"> Signed DT Montravius Adams to a two-year contract.</t>
  </si>
  <si>
    <t xml:space="preserve"> Signed WR Gunner Olszewski to a two-year contract.</t>
  </si>
  <si>
    <t xml:space="preserve"> Signed CB Levi Wallace to a two-year contract.</t>
  </si>
  <si>
    <t xml:space="preserve"> Terminated the contract of LB Joe Schobert.</t>
  </si>
  <si>
    <t xml:space="preserve"> Signed OL Mason Cole to a three-year contract.</t>
  </si>
  <si>
    <t xml:space="preserve"> Signed OL James Daniels to a three-year contract.</t>
  </si>
  <si>
    <t xml:space="preserve"> Signed QB Mitch Trubisky to a two-year contract.</t>
  </si>
  <si>
    <t xml:space="preserve"> Terminated the contract of OT Zach Banner.</t>
  </si>
  <si>
    <t xml:space="preserve"> Signed QB Dwayne Haskins to a one-year restricted free agent tender.</t>
  </si>
  <si>
    <t xml:space="preserve"> Signed S Miles Killebrew to a two-year contract.</t>
  </si>
  <si>
    <t xml:space="preserve"> Signed CB Arthur Maulet to a two-year contract.</t>
  </si>
  <si>
    <t xml:space="preserve"> Signed OT Chukwuma Okorafor to a three-year contract.</t>
  </si>
  <si>
    <t xml:space="preserve"> Signed DE John Simon to a Reserve/Future contract.</t>
  </si>
  <si>
    <t xml:space="preserve"> Signed P Cameron Nizialek to a Reserve/Future contract.</t>
  </si>
  <si>
    <t xml:space="preserve"> Signed WR Anthony Miller to a Reserve/Future contract.</t>
  </si>
  <si>
    <t xml:space="preserve"> Signed RB Trey Edmunds &amp; OT Chaz Green to Reserve/Future contracts.</t>
  </si>
  <si>
    <t xml:space="preserve"> Signed LS Christian Kuntz to a one-year contract; Signed DB Isaiah Johnson and WR Steven Sims to Reserve/Future contracts.</t>
  </si>
  <si>
    <t xml:space="preserve"> Signed DE Daniel Archibong, WR Rico Bussey, DT Khalil Davis, G Nathan Gilliam, G Malcolm Pridgeon, LB Delontae Scott, K Sam Sloman, DB Linden Stephens, TE Jace Sternberger, S Donovan Stiner, LS Rex Sunahara and WR Tyler Vaughns to to Reserve/Future contracts.</t>
  </si>
  <si>
    <t xml:space="preserve"> Activated WR JuJu Smith-Schuster from the Reserve/Injured List; released P Corliss Waitman.</t>
  </si>
  <si>
    <t xml:space="preserve"> Signed K Sam Sloman to the practice squad; Released WR Tyler Vaughns from the practice squad; Placed CB James Pierre on the Reserve/COVID-19 List.</t>
  </si>
  <si>
    <t xml:space="preserve"> Activated WR James Washington from the Reserve/COVID-19 List.</t>
  </si>
  <si>
    <t xml:space="preserve"> Placed LB Buddy Johnson on the Reserve/COVID-19 List (from the Reserve/Injured List).</t>
  </si>
  <si>
    <t xml:space="preserve"> Signed WR Tyler Vaughns to the practice squad; Released K Sam Sloman from the practice squad.</t>
  </si>
  <si>
    <t xml:space="preserve"> Activated CB Joe Haden and C Kendrick Green from the Reserve/COVID-19 List; placed WR James Washington on the Reserve/COVID-19 List; elevated G Rashaad Coward to the Active/Inactive List from the practice squad; released DE Isaiah Buggs; signed K Sam Sloman to the practice squad and released WR Tyler Vaughns from the practice squad.</t>
  </si>
  <si>
    <t xml:space="preserve"> Signed G Nate Gilliam to the practice squad; Placed LB Buddy Johnson on the Reserve/Injured List; Released WR Rico Bussey and WR Damion Willis from the practice squad; Activated WR Diontae Johnson from the Reserve/COVID-19 List.</t>
  </si>
  <si>
    <t xml:space="preserve"> Placed WR Diontae Johnson and C Kendrick Green on the Reserve/COVID-19 List; Restored DT Daniel Archibong to the practice squad.</t>
  </si>
  <si>
    <t xml:space="preserve"> Placed CB Joe Haden on the Reserve/COVID-19 List.</t>
  </si>
  <si>
    <t xml:space="preserve"> Restored WR Anthony Miller, WR Steven Sims, and WR Tyler Vaughns to the Practice Squad; Released P Cameron Nizialek and K Sam Sloman from the Practice Squad; LB Jacob Tuioti-Mariner terminated his practice squad contract.</t>
  </si>
  <si>
    <t xml:space="preserve"> Elevated G Rashaad Coward &amp; RB Trey Edmunds to the Active/Inactive roster; signed K Sam Sloman to the practice squad, placed WR Damion Willis on the Practice Squad/COVID-19 List and released WR Darrius Shepherd from the Practice Squad.</t>
  </si>
  <si>
    <t xml:space="preserve"> Activated DE Isaiah Buggs from the Reserve/COVID-19 list; restored S Karl Joseph to the practice squad; signed LB Tegray Scales from the Cincinnati Bengals practice squad.</t>
  </si>
  <si>
    <t xml:space="preserve"> Terminated vested veteran S JAMAL CARTER from injured reserve</t>
  </si>
  <si>
    <t xml:space="preserve"> TENN</t>
  </si>
  <si>
    <t xml:space="preserve"> Waived OL DERWIN GRAY; claimed OL CARSON GREEN off waivers from the Houston Texans</t>
  </si>
  <si>
    <t xml:space="preserve"> Terminated vested veteran TE RYAN IZZO; signed free agent WR JUWAN GREEN</t>
  </si>
  <si>
    <t xml:space="preserve"> Signed fourth-round choice TE CHIG OKONKWO</t>
  </si>
  <si>
    <t xml:space="preserve"> Signed third-round choice OL NICHOLAS PETIT-FRERE</t>
  </si>
  <si>
    <t xml:space="preserve"> Signed first-round choice WR TREYLON BURKS</t>
  </si>
  <si>
    <t xml:space="preserve"> Placed S JAMAL CARTER on injured reserve; signed free agents CB KENNETH GEORGE JR. and DL DeMARCUS WALKER</t>
  </si>
  <si>
    <t xml:space="preserve"> Signed the following undrafted free agents: OLB DAVID ANENIH, CB TRE AVERY, RB JULIUS CHESTNUT, DT HASKELL GARRETT, LB JACK GIBBENS, S MICHAEL GRIFFIN II, G HAYDEN HOWERTON, WR BRANDON LEWIS, T JALEN McKENZIE, C/G XAVIER NEWMAN-JOHNSON, TE THOMAS ODUKOYA, DT SAM OKUAYINONU, DE JAYDEN PEEVY, WR REGGIE ROBERSON JR., T ANDREW RUPCICH, K CALEB SHUDAK, P RYAN STONEHOUSE and CB TRE SWILLING</t>
  </si>
  <si>
    <t xml:space="preserve"> Signed fourth-round choice RB HASSAN HASKINS, fifth-round choice KYLE PHILIPS, sixth-round choice THEO JACKSON and sixth-round choice CHANCE CAMPBELL</t>
  </si>
  <si>
    <t xml:space="preserve"> Signed free agent CB GREG MABIN</t>
  </si>
  <si>
    <t xml:space="preserve"> Waived TE AUSTIN FORT, LB NATE HALL, LB KOBE JONES and OLB TUZAR SKIPPER</t>
  </si>
  <si>
    <t xml:space="preserve"> Drafted RB HASSAN HASKINS (fourth round, 131st overall), TE CHIG OKONKWO (fourth round, 143rd overall), WR KYLE PHILIPS (fifth round, 163rd overall), S THEO JACKSON (sixth round, 204th overall) and LB CHANCE CAMPBELL (sixth round, 219th overall); terminated vested veteran QB KEVIN HOGAN</t>
  </si>
  <si>
    <t xml:space="preserve"> Drafted CB ROGER McCREARY (second round, 35th overall) and OL NICHOLAS PETIT-FRERE (third round, 69th overall); traded a 2022 third-round pick (90th overall) and a 2022 fifth-round pick (169th overall) to the Las Vegas Raiders for their 2022 third-round pick (86th overall); drafted QB MALIK WILLIS (third round, 86th overall)</t>
  </si>
  <si>
    <t xml:space="preserve"> Traded WR A.J. BROWN to the Philadelphia Eagles for their 2022 first-round pick (18th overall) and their 2022 third-round pick (101st overall); drafted WR TREYLON BURKS (first round, 18th overall); traded a 2022 first-round pick (26th overall) and a 2022 third-round pick (101st overall) to the N.Y. Jets for their 2022 second-round pick (35th overall), their 2022 third-round pick (69th overall) and their fifth-round pick (163rd overall)</t>
  </si>
  <si>
    <t xml:space="preserve"> Exercised the fifth-year option on DT JEFFERY SIMMONS</t>
  </si>
  <si>
    <t xml:space="preserve"> Waived T BRANDON KEMP</t>
  </si>
  <si>
    <t xml:space="preserve"> Signed unrestricted free agent OLB OLA ADENIYI</t>
  </si>
  <si>
    <t xml:space="preserve"> Signed unrestricted free agent K RANDY BULLOCK</t>
  </si>
  <si>
    <t xml:space="preserve"> Signed unrestricted free agent RB DONTRELL HILLIARD; hired CHASE BLACKBURN as assistant special teams coach; elevated KYLAN BUTLER to offensive assistant and CLINTON McMILLAN to defensive line assistant</t>
  </si>
  <si>
    <t xml:space="preserve"> Traded a sixth-round pick in the 2023 NFL Draft to the Los Angeles Rams for WR ROBERT WOODS; signed unrestricted free agent LB DYLAN COLE</t>
  </si>
  <si>
    <t xml:space="preserve"> Signed unrestricted free agent CB BUSTER SKRINE; signed free agent C COREY LEVIN</t>
  </si>
  <si>
    <t xml:space="preserve"> Signed free agent TE AUSTIN HOOPER; signed unrestricted free agent S A.J. MOORE JR.; terminated vested veteran C COREY LEVIN</t>
  </si>
  <si>
    <t xml:space="preserve"> Signed unrestricted free agents RB TRENTON CANNON, C BEN JONES, TE GEOFF SWAIM and RB JORDAN WILKINS</t>
  </si>
  <si>
    <t xml:space="preserve"> Signed unrestricted free agent OL JAMARCO JONES</t>
  </si>
  <si>
    <t xml:space="preserve"> Terminated vested veteran WR JULIO JONES with Post-June 1 designation</t>
  </si>
  <si>
    <t xml:space="preserve"> Terminated vested veteran CB JACKRABBIT JENKINS</t>
  </si>
  <si>
    <t xml:space="preserve"> Terminated vested veterans T KENDALL LAMM and RODGER SAFFOLD III; waived RB DARRYNTON EVANS</t>
  </si>
  <si>
    <t xml:space="preserve"> Signed free agent OLB JUSTIN LAWLER</t>
  </si>
  <si>
    <t xml:space="preserve"> Signed free agent WR JOSH MALONE</t>
  </si>
  <si>
    <t xml:space="preserve"> Signed free agent DE Da'SHAWN HAND</t>
  </si>
  <si>
    <t xml:space="preserve"> Hired TIM KELLY as passing game coordinator and BOBBY KING as inside linebackers coach</t>
  </si>
  <si>
    <t xml:space="preserve"> Signed DB SHYHEIM CARTER, S RODNEY CLEMONS and LB NATE HALL to future contracts</t>
  </si>
  <si>
    <t xml:space="preserve"> Signed S JAMAL CARTER, T CHRISTIAN DiLAURO, TE AUSTIN FORT, OL DERWIN GRAY, QB KEVIN HOGAN, WR CODY HOLLISTER, LB JOE JONES, WR MASON KINSEY, C DANIEL MUNYER, G JORDAN ROOS and OLB TUZAR SKIPPER to future contracts; activated CB GREG MABIN from reserve/COVID-19</t>
  </si>
  <si>
    <t xml:space="preserve"> Activated RB DERRICK HENRY from reserve/injured, designated for return; activated CB CHRIS JONES from the practice squad to the active roster standard elevation</t>
  </si>
  <si>
    <t xml:space="preserve"> Placed CB GREG MABIN on reserve/COVID-19</t>
  </si>
  <si>
    <t xml:space="preserve"> Designated FB TORY CARTER to return to practice; activated RB JORDAN WILKINS from practice squad reserve/COVID-19</t>
  </si>
  <si>
    <t xml:space="preserve"> Signed RB JEREMY McNICHOLS to the practice squad; placed RB JORDAN WILKINS on practice squad reserve/COVID-19; signed LB KOBE JONES and DB CHRIS WILLIAMSON to future contracts</t>
  </si>
  <si>
    <t xml:space="preserve"> Signed CB CHRIS JONES and LB JOE JONES to the practice squad</t>
  </si>
  <si>
    <t xml:space="preserve"> Signed TE RYAN IZZO from the Seattle Seahawks practice squad; designated RB DERRICK HENRY to return to practice; signed DE Da'SHAWN HAND to the practice squad</t>
  </si>
  <si>
    <t xml:space="preserve"> Waived CB CHRIS JONES and LB JOE JONES; released DB SHYHEIM CARTER, DB RODNEY CLEMONS and WR GOLDEN TATE from the practice squad; placed LB MONTY RICE on reserve/COVID-19</t>
  </si>
  <si>
    <t xml:space="preserve"> Activated LB JAYON BROWN, WR JULIO JONES and T KENDALL LAMM from reserve/COVID-19; activated CB BRIEAN BODDY-CALHOUN from practice squad reserve/COVID-19; placed T PAUL ADAMS on practice squad reserve/COVID-19</t>
  </si>
  <si>
    <t xml:space="preserve"> Activated DE DENICO AUTRY, OLB BUD DUPREE and CB BUSTER SKRINE from reserve/COVID-19; activated WR CODY HOLLISTER from practice squad reserve/COVID-19; released WR CALEB SCOTT from the practice squad</t>
  </si>
  <si>
    <t xml:space="preserve"> Signed TE Jared Pinkney and RB A.J. Rose.</t>
  </si>
  <si>
    <t xml:space="preserve"> LAR</t>
  </si>
  <si>
    <t xml:space="preserve"> Re-signed LB Travin Howard to a 1-year deal.</t>
  </si>
  <si>
    <t xml:space="preserve"> Waived/No Recall LB Travin Howard.</t>
  </si>
  <si>
    <t xml:space="preserve"> OT A.J. Arcuri, OG Logan Bruss, DB Decobie Durant, LB Daniel Hardy, DB Derion Kendrick, DB Quentin Lake, RB Kyren Williams and DB Russ Yeast signed contracts.</t>
  </si>
  <si>
    <t xml:space="preserve"> Waived/No Recall DT Dion Novil.</t>
  </si>
  <si>
    <t xml:space="preserve"> Re-signed DB Jake Gervase.</t>
  </si>
  <si>
    <t xml:space="preserve"> Re-signed TE Roger Carter, DB T.J. Carter, DB Dan Isom and WR Lance McCutcheon.</t>
  </si>
  <si>
    <t xml:space="preserve"> Waived/No Recall TE Roger Carter, DB T.J. Carter, LB Andrzej Hughes-Murray, DB Dan Isom, WR Lance McCutcheon.</t>
  </si>
  <si>
    <t xml:space="preserve"> TE Roger Carter, LB Jake Hummel, DB Duron Lowe, DB Jairon McVea, G Jack Snyder, LB Brayden Thomas, LB Benton Whitley, P Cameron Dicker, DB TJ Carter, DT Elijah Garcia, LB Andrzej Hughes-Murray, DB Dan Isom, WR Lance McCutcheon, DT Dion Novil, TE Jamal Pettigrew, LB Keir Thomas and DB Caesar Williams signed as undrafted free agents.</t>
  </si>
  <si>
    <t xml:space="preserve"> Waived/No Recall DB Antoine Brooks Jr. and RB Javian Hawkins.</t>
  </si>
  <si>
    <t xml:space="preserve"> Waived/No Recall C Drake Jackson.</t>
  </si>
  <si>
    <t xml:space="preserve"> Signed exclusive rights free agent QB John Wolford. Read more here.</t>
  </si>
  <si>
    <t>04/16</t>
  </si>
  <si>
    <t xml:space="preserve"> Signed restricted free agent LB Travin Howard. Read more here. Waived/No Recall DB Kareem Orr.</t>
  </si>
  <si>
    <t xml:space="preserve"> Signed restricted free agent K Matt Gay. Read more here.</t>
  </si>
  <si>
    <t xml:space="preserve"> Signed P Riley Dixon. Read more here.</t>
  </si>
  <si>
    <t xml:space="preserve"> Signed LB Bobby Wagner and WR Brandon Powell.</t>
  </si>
  <si>
    <t xml:space="preserve"> Re-signed C Brian Allen.</t>
  </si>
  <si>
    <t xml:space="preserve"> Released P Johnny Hekker. Re-signed T Joe Noteboom.</t>
  </si>
  <si>
    <t xml:space="preserve"> Signed LB Anthony Hines III to Reserve/Future contract.</t>
  </si>
  <si>
    <t xml:space="preserve"> Signed WR Warren Jackson to Reserve/Future contract.</t>
  </si>
  <si>
    <t xml:space="preserve"> Signed WR Landen Akers, T Chandler Brewer, DB Antoine Brooks Jr., DE Earnest Brown IV, DB Tyler Hall, RB Javian Hawkins, G Jeremiah Kolone, WR J.J. Koski, TE Kyle Markaway, DB Kareem Orr, T Max Pircher, and DE Jonah Williams to Reserve/Future contracts. Read more here.</t>
  </si>
  <si>
    <t xml:space="preserve"> Activated DB Blake Countess and DB Eric Weddle from Practice Squad. Placed LB Anthony Hines and WR Warren Jackson on Practice Squad Injured List. Signed K Ryan Santoso and LS Carson Tinker to Practice Squad.</t>
  </si>
  <si>
    <t xml:space="preserve"> Signed T Adrian Ealy to Reserve/Future contract.</t>
  </si>
  <si>
    <t xml:space="preserve"> Activated RB Darrell Henderson Jr. and NT Sebastian Joseph-Day from Reserve/Injured. Placed TE Tyler Higbee and T Joe Noteboom on Reserve/Injured.</t>
  </si>
  <si>
    <t xml:space="preserve"> Signed DB Antoine Brooks Jr., WR Warren Jackson and TE Kyle Markway to Practice Squad. Placed DB Sharrod Neasman on Practice Squad Injured List. K Ryan Santoso and LS Carson Tinker terminated (by Club) from Practice Squad.</t>
  </si>
  <si>
    <t xml:space="preserve"> Waived/No Recall DB Antoine Brooks. Activated DB Eric Weddle and DB Blake Countess from Practice Squad (Standard Elevation). Activated LB Ernest Jones from Reserve/Injured. WR Warren Jackson and TE Kyle Markway terminated (by Club) from Practice Squad. Signed K Ryan Santoso and LS Carson Tinker to Practice Squad.</t>
  </si>
  <si>
    <t xml:space="preserve"> K Ryan Santoso and LS Carson Tinker terminated (by Club) from Practice Squad. Signed WR Warren Jackson and TE Kyle Markway to Practice Squad.</t>
  </si>
  <si>
    <t xml:space="preserve"> Activated DBs Blake Countess and Eric Weddle from Practice Squad (Standard Elevation).</t>
  </si>
  <si>
    <t xml:space="preserve"> WR Warren Jackson and TE Kyle Markway terminated (by Club) from Practice Squad. Signed K Ryan Santoso and LS Carson Tinker to Practice Squad.</t>
  </si>
  <si>
    <t xml:space="preserve"> Designated RB Darrell Henderson Jr., NT Sebastian Joseph-Day and DB Robert Rochell for Return from Reserve/Injured.</t>
  </si>
  <si>
    <t xml:space="preserve"> Designated LB Ernest Jones for Return from Reserve/Injured.</t>
  </si>
  <si>
    <t xml:space="preserve"> K Ryan Santoso and LS Carson Tinker terminated (by Club) from Practice Squad.</t>
  </si>
  <si>
    <t xml:space="preserve"> Added WR Warren Jackson and TE Kyle Markway to Practice Squad.</t>
  </si>
  <si>
    <t xml:space="preserve"> Activated DB Blake Countess and DB Eric Weddle from Practice Squad (Standard Elevation).</t>
  </si>
  <si>
    <t xml:space="preserve"> WR Warren Jackson and TE Kyle Markway terminated (by Club) from Practice Squad. Added K Ryan Santoso and LS Carson Tinker to Practice Squad.</t>
  </si>
  <si>
    <t xml:space="preserve"> Signed DB Eric Weddle, DB Blake Countess and DB Sharrod Neasman to Practice Squad. Signed DB Jake Gervase to Active Roster. Placed DB Jordan Fuller on Reserve/Injured.</t>
  </si>
  <si>
    <t xml:space="preserve"> Signed C Drake Jackson to Reserve/Future contract. K Ryan Santoso and LS Carson Tinker terminated (by Club) from Practice Squad.</t>
  </si>
  <si>
    <t xml:space="preserve"> Activated DB Jake Gervase from Practice Squad (Standard Elevation). Signed DB Grant Haley to Active Roster. Added K Ryan Santoso and LS Carson Tinker to Practice Squad. Waived/No Recall DB Juju Hughes.</t>
  </si>
  <si>
    <t xml:space="preserve"> Signed WR Brandon Powell to Active Roster. Added WR J.J. Koski to Practice Squad.</t>
  </si>
  <si>
    <t xml:space="preserve"> Added WR Warren Jackson to Practice Squad. K Ryan Santoso and LS Carson Tinker terminated (by Club) from Practice Squad. Waived/No Recall WR J.J. Koski.</t>
  </si>
  <si>
    <t xml:space="preserve"> Activated RB Raymond Calais from Reserve/COVID-19 List (Remains on Reserve/Injured).</t>
  </si>
  <si>
    <t xml:space="preserve"> Activated DB Grant Haley and WR Brandon Powell from Practice Squad (Standard Elevation). Signed WR J.J. Koski to Active Roster. WR Warren Jackson terminated (by Club) from Practice Squad. Added K Ryan Santoso and LS Carson Tinker to Practice Squad.</t>
  </si>
  <si>
    <t xml:space="preserve"> Signed CB  Akayleb Evans.</t>
  </si>
  <si>
    <t xml:space="preserve"> MIN</t>
  </si>
  <si>
    <t xml:space="preserve"> Signed OLB Andre Mintze.</t>
  </si>
  <si>
    <t xml:space="preserve"> Waived K Gabe Brkic.</t>
  </si>
  <si>
    <t xml:space="preserve"> Signed DL Jonathan Bullard. Waived DE Kenny Willekes.</t>
  </si>
  <si>
    <t xml:space="preserve"> Signed WR Albert Wilson. Waived RB A.J. Rose, Jr.</t>
  </si>
  <si>
    <t xml:space="preserve"> Waived LB Tuf Borland and signed LB William Kwenkeu.</t>
  </si>
  <si>
    <t xml:space="preserve"> Signed S Lewis Cine, DE Esezi Otomewo, RB Ty Chandler, WR Jalen Nailor and TE Nick Muse.</t>
  </si>
  <si>
    <t xml:space="preserve"> Agreed to terms with undrafted free agent K Gabe Brkic. Waived DT Jordon Scott.</t>
  </si>
  <si>
    <t xml:space="preserve"> Signed FB Jake Bargas.</t>
  </si>
  <si>
    <t xml:space="preserve"> Drafted CB Akayleb Evans, DL Esezi Otomewo, RB Ty Chandler, T Vederian Lowe, WR Jalen Nailor and TE Nick Muse.</t>
  </si>
  <si>
    <t xml:space="preserve"> Traded down, sending picks 122 and 250 to the Las Vegas Raiders for picks 126 and 227.</t>
  </si>
  <si>
    <t xml:space="preserve"> Traded up for the 42nd and 122nd picks in the 2022 NFL Draft from the Indianapolis Colts for picks 53, 77 and 192.</t>
  </si>
  <si>
    <t xml:space="preserve"> Agreed to terms with undrafted free agents S Mike Brown, WR Thomas Hennigan, RB Bryant Koback, OLB Zach McCloud, C Josh Sokol, DT Tyarise Stevenson, WR TrÃ© Turner, OLB Luiji Vilain and P Ryan Wright.</t>
  </si>
  <si>
    <t xml:space="preserve"> Received pick 118 from Cleveland Browns by sending pick 156 and a 2023 fourth-rounder.</t>
  </si>
  <si>
    <t xml:space="preserve"> Drafted CB Andrew Booth, G Ed Ingram and LB Brian Asamoah.</t>
  </si>
  <si>
    <t xml:space="preserve"> Traded pick 126 to the Las Vegas Raiders for picks 165 and 169.</t>
  </si>
  <si>
    <t xml:space="preserve"> Drafted Georgia S Lewis Cine.</t>
  </si>
  <si>
    <t xml:space="preserve"> Traded 34th pick in the 2022 NFL Draft to the Green Bay Packers for picks 53 and 59.</t>
  </si>
  <si>
    <t xml:space="preserve"> Traded 12th and 46th picks in the 2022 NFL Draft to Detroit Lions for picks 32, 34 and 66.</t>
  </si>
  <si>
    <t xml:space="preserve"> Signed DT Jullian Taylor.</t>
  </si>
  <si>
    <t xml:space="preserve"> Agreed to terms with G Chris Reed.</t>
  </si>
  <si>
    <t xml:space="preserve"> Agreed to terms with CB Patrick Peterson.</t>
  </si>
  <si>
    <t xml:space="preserve"> Signed CB Tye Smith, CB Nate Hairston and OL Jesse Davis.</t>
  </si>
  <si>
    <t xml:space="preserve"> Signed CB Chandon Sullivan.</t>
  </si>
  <si>
    <t xml:space="preserve"> Agreed to terms with OLB Za'Darius Smith.</t>
  </si>
  <si>
    <t xml:space="preserve"> Signed QB Sean Mannion.</t>
  </si>
  <si>
    <t xml:space="preserve"> Agreed to terms with G/C Austin Schlottmann.</t>
  </si>
  <si>
    <t xml:space="preserve"> Agreed to terms with DTHarrison Phillips and TE Johnny Mundt.</t>
  </si>
  <si>
    <t xml:space="preserve"> Signed P Jordan Berry.</t>
  </si>
  <si>
    <t xml:space="preserve"> Agreed to terms with DT Harrison Phillips and TE Johnny Mundt.</t>
  </si>
  <si>
    <t xml:space="preserve"> Agreed to terms with LB Jordan Hicks.</t>
  </si>
  <si>
    <t xml:space="preserve"> Released DT Michael Pierce.</t>
  </si>
  <si>
    <t xml:space="preserve"> Agreed in principle to contract extension with QB Kirk Cousins.</t>
  </si>
  <si>
    <t xml:space="preserve"> Placed tender on K Greg Joseph.</t>
  </si>
  <si>
    <t xml:space="preserve"> Signed G Kyle Hinton to a Reserve/Future contract</t>
  </si>
  <si>
    <t xml:space="preserve"> LB Tuf Borland, S Myles Dorn, WR Trishton Jackson, WR Myron Mitchell, CB Parry Nickerson, T Timon Parris, RB, A.J. Rose, Jr. and DT T.J. Smith Reserve/Future Free Agent signings.</t>
  </si>
  <si>
    <t xml:space="preserve"> CB Parry Nickerson medically cleared to play.</t>
  </si>
  <si>
    <t xml:space="preserve"> Signed TE Zach Davidson and DE Kelly Willekes to the 53-man roster. Activated CB Parry Nickerson from the practice squad / Covid-19 list. Activated G Ezra Cleveland and T Christian Darrisaw from the Covid-19 reserve list. Activated TE Ben Ellefson from the IR. Elevated LB Tuf Borland and CB Bryan Mills to the 53-man roster. Activated S Myles Dorn, DT T.Y. McGill, CB Parry Nickerson and CB Tye Smith to the 53-man roster.</t>
  </si>
  <si>
    <t xml:space="preserve"> Placed CB Harrison Hand on Reserve/COVID-19 list.</t>
  </si>
  <si>
    <t xml:space="preserve"> Activated QB Kirk Cousins from Reserve/COVID-19 list. Placed DE Tashawn Bower on Reserve/COVID-19 list. Signed CB Bryan Mills to practice squad.</t>
  </si>
  <si>
    <t xml:space="preserve"> Activated T Brian O'Neill from Reserve/COVID-19 list.</t>
  </si>
  <si>
    <t xml:space="preserve"> Activated LB Nick Vigil from Reserve/COVID-19 list. Placed TE Chris Herndon on Reserve/COVID-19 list. Placed CB Parry Nickerson on Practice Squad Reserve/COVID-19 list. Signed C/G Cole Banwart to practice squad.</t>
  </si>
  <si>
    <t xml:space="preserve"> Placed S Camryn Bynum, G Ezra Cleveland, T Christian Darrisaw, LB Eric Kendricks, T Brian O'Neill on Reserve/COVID-19 list. Activated DE Patrick Jones II from Reserve/COVID-19 list. Released QB Kyle Sloter.</t>
  </si>
  <si>
    <t xml:space="preserve"> Activated S Myles Dorn, CB Tye Smith and DE Kenny Willekes via COVID-19 replacement. Activated DT T.Y. McGill and DE Eddie Yarbrough (Standard Elevations). Activated G Olisaemeka Udoh from Reserve/COVID-19 list.</t>
  </si>
  <si>
    <t>Rótulos de Linha</t>
  </si>
  <si>
    <t>6'2</t>
  </si>
  <si>
    <t xml:space="preserve"> Released LS Ross Reiter</t>
  </si>
  <si>
    <t>Jackson State</t>
  </si>
  <si>
    <t>Arkansas-Pine Bluff</t>
  </si>
  <si>
    <t>07/19</t>
  </si>
  <si>
    <t xml:space="preserve"> DB Dane Belton - Selection List Signing</t>
  </si>
  <si>
    <t xml:space="preserve"> Released CB Craig James.</t>
  </si>
  <si>
    <t xml:space="preserve"> Signed DT Doug Costin to a one-year contract.</t>
  </si>
  <si>
    <t xml:space="preserve"> Waived QB Nate Stanley.</t>
  </si>
  <si>
    <t>Nick Guggemos</t>
  </si>
  <si>
    <t>University of St. Thomas</t>
  </si>
  <si>
    <t>Doug Costin</t>
  </si>
  <si>
    <t xml:space="preserve"> Signed defensive lineman Jeremiah Pharms Jr.</t>
  </si>
  <si>
    <t>Isaiah Zuber</t>
  </si>
  <si>
    <t>Iggy Iyiegbuniwe</t>
  </si>
  <si>
    <t>Vi Jones</t>
  </si>
  <si>
    <t>Josh Valentine-Turner</t>
  </si>
  <si>
    <t xml:space="preserve"> Falcons sign Desmond Ridder to four-year contract</t>
  </si>
  <si>
    <t xml:space="preserve"> Falcons DT Eddie Goldman retires from NFL football</t>
  </si>
  <si>
    <t>07/20</t>
  </si>
  <si>
    <t xml:space="preserve"> WR Christian Watson signed</t>
  </si>
  <si>
    <t xml:space="preserve"> Signed CB Isiah Brown; Released S Dallin Leavitt; Waived G Jordan Meredith.</t>
  </si>
  <si>
    <t xml:space="preserve"> Placed DT Johnathan Hankins, CB Trayvon Mullen Jr. and DT Bilal Nichols on the Physically Unable to Perform list: Signed WR Isaiah Zuber.</t>
  </si>
  <si>
    <t>Ike Brown</t>
  </si>
  <si>
    <t>Roger Carter Jr.</t>
  </si>
  <si>
    <t>Russ Yeast II</t>
  </si>
  <si>
    <t>07/21</t>
  </si>
  <si>
    <t xml:space="preserve"> Cardinals and QB KYLER MURRAY agree to contract extension through the 2028 season</t>
  </si>
  <si>
    <t xml:space="preserve"> TE Daniel Bellinger - Declared Physically Unable to Perform</t>
  </si>
  <si>
    <t>Jeremiah Pharms Jr.</t>
  </si>
  <si>
    <t>Friends U.</t>
  </si>
  <si>
    <t>Quinn Nordin</t>
  </si>
  <si>
    <t xml:space="preserve"> Falcons place Deion Jones on active/PUP list</t>
  </si>
  <si>
    <t xml:space="preserve"> TE Sal Cannella signed</t>
  </si>
  <si>
    <t xml:space="preserve"> Signed S Matthias Farley; Placed DT Vernon Butler on the Non-Football Injury list; Placed WR Dillon Stoner on the Physically Unable to Perform list.</t>
  </si>
  <si>
    <t>Craig James</t>
  </si>
  <si>
    <t>Sal Cannella</t>
  </si>
  <si>
    <t>Matthias Farley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</si>
</sst>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theme="8" tint="-0.499984740745262"/>
      <name val="Calibri"/>
      <family val="2"/>
      <scheme val="minor"/>
    </font>
  </fonts>
  <fills count="5">
    <fill>
      <patternFill patternType="none"/>
    </fill>
    <fill>
      <patternFill patternType="gray125"/>
    </fill>
    <fill>
      <patternFill patternType="solid">
        <fgColor theme="0" tint="-4.9989318521683403E-2"/>
        <bgColor indexed="64"/>
      </patternFill>
    </fill>
    <fill>
      <gradientFill degree="90">
        <stop position="0">
          <color theme="0"/>
        </stop>
        <stop position="1">
          <color theme="0" tint="-0.1490218817712943"/>
        </stop>
      </gradientFill>
    </fill>
    <fill>
      <patternFill patternType="solid">
        <fgColor theme="0" tint="-0.249977111117893"/>
        <bgColor indexed="64"/>
      </patternFill>
    </fill>
  </fills>
  <borders count="2">
    <border>
      <left/>
      <right/>
      <top/>
      <bottom/>
      <diagonal/>
    </border>
    <border>
      <left/>
      <right/>
      <top/>
      <bottom style="thin">
        <color indexed="64"/>
      </bottom>
      <diagonal/>
    </border>
  </borders>
  <cellStyleXfs count="1">
    <xf numFmtId="0" fontId="0" fillId="0" borderId="0"/>
  </cellStyleXfs>
  <cellXfs count="23">
    <xf numFmtId="0" fontId="0" fillId="0" borderId="0" xfId="0"/>
    <xf numFmtId="0" fontId="0" fillId="0" borderId="0" xfId="0" pivotButton="1"/>
    <xf numFmtId="0" fontId="0" fillId="2" borderId="0" xfId="0" applyFill="1"/>
    <xf numFmtId="0" fontId="2" fillId="2" borderId="0" xfId="0" applyFont="1" applyFill="1" applyAlignment="1">
      <alignment horizontal="left"/>
    </xf>
    <xf numFmtId="0" fontId="3" fillId="2" borderId="0" xfId="0" applyFont="1" applyFill="1" applyAlignment="1">
      <alignment horizontal="right"/>
    </xf>
    <xf numFmtId="0" fontId="3" fillId="2" borderId="1" xfId="0" applyFont="1" applyFill="1" applyBorder="1" applyAlignment="1">
      <alignment horizontal="right"/>
    </xf>
    <xf numFmtId="0" fontId="2" fillId="2" borderId="1" xfId="0" applyFont="1" applyFill="1" applyBorder="1" applyAlignment="1">
      <alignment horizontal="left"/>
    </xf>
    <xf numFmtId="0" fontId="0" fillId="0" borderId="0" xfId="0" applyAlignment="1">
      <alignment vertical="center"/>
    </xf>
    <xf numFmtId="0" fontId="1" fillId="2" borderId="0" xfId="0" applyFont="1" applyFill="1"/>
    <xf numFmtId="0" fontId="4" fillId="3" borderId="0" xfId="0" applyFont="1" applyFill="1"/>
    <xf numFmtId="0" fontId="2" fillId="3" borderId="0" xfId="0" applyFont="1" applyFill="1" applyAlignment="1">
      <alignment horizontal="left"/>
    </xf>
    <xf numFmtId="0" fontId="5" fillId="4" borderId="1" xfId="0" applyFont="1" applyFill="1" applyBorder="1" applyAlignment="1">
      <alignment vertical="center"/>
    </xf>
    <xf numFmtId="0" fontId="1" fillId="4" borderId="1" xfId="0" applyFont="1" applyFill="1" applyBorder="1" applyAlignment="1">
      <alignment horizontal="left" vertical="center"/>
    </xf>
    <xf numFmtId="0" fontId="0" fillId="0" borderId="0" xfId="0" pivotButton="1" applyAlignment="1">
      <alignment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center"/>
    </xf>
    <xf numFmtId="0" fontId="1" fillId="0" borderId="0" xfId="0" applyFont="1"/>
    <xf numFmtId="2" fontId="0" fillId="0" borderId="0" xfId="0" pivotButton="1" applyNumberFormat="1"/>
    <xf numFmtId="2" fontId="0" fillId="0" borderId="0" xfId="0" applyNumberFormat="1"/>
    <xf numFmtId="0" fontId="1" fillId="0" borderId="0" xfId="0" applyFont="1" applyAlignment="1">
      <alignment horizontal="center"/>
    </xf>
    <xf numFmtId="0" fontId="0" fillId="0" borderId="0" xfId="0" applyNumberFormat="1"/>
    <xf numFmtId="0" fontId="0" fillId="0" borderId="0" xfId="0" applyFont="1" applyFill="1"/>
  </cellXfs>
  <cellStyles count="1">
    <cellStyle name="Normal" xfId="0" builtinId="0"/>
  </cellStyles>
  <dxfs count="172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color auto="1"/>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s>
  <tableStyles count="0" defaultTableStyle="TableStyleMedium2" defaultPivotStyle="PivotStyleLight16"/>
  <colors>
    <mruColors>
      <color rgb="FF311D00"/>
      <color rgb="FFFF3C00"/>
      <color rgb="FFA5ACAF"/>
      <color rgb="FF000000"/>
      <color rgb="FFFFB81C"/>
      <color rgb="FFE31837"/>
      <color rgb="FF006778"/>
      <color rgb="FF002C5F"/>
      <color rgb="FF03202F"/>
      <color rgb="FFFFB6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editAs="absolute">
    <xdr:from>
      <xdr:col>0</xdr:col>
      <xdr:colOff>11909</xdr:colOff>
      <xdr:row>9</xdr:row>
      <xdr:rowOff>75413</xdr:rowOff>
    </xdr:from>
    <xdr:to>
      <xdr:col>3</xdr:col>
      <xdr:colOff>537003</xdr:colOff>
      <xdr:row>11</xdr:row>
      <xdr:rowOff>36413</xdr:rowOff>
    </xdr:to>
    <xdr:sp macro="[0]!Retângulo2_Clique" textlink="">
      <xdr:nvSpPr>
        <xdr:cNvPr id="3" name="Retângulo 2">
          <a:extLst>
            <a:ext uri="{FF2B5EF4-FFF2-40B4-BE49-F238E27FC236}">
              <a16:creationId xmlns:a16="http://schemas.microsoft.com/office/drawing/2014/main" id="{05BDB73A-4C25-457C-9BDE-B2BC3A890CC5}"/>
            </a:ext>
          </a:extLst>
        </xdr:cNvPr>
        <xdr:cNvSpPr/>
      </xdr:nvSpPr>
      <xdr:spPr>
        <a:xfrm>
          <a:off x="11909" y="1789913"/>
          <a:ext cx="3204000" cy="3420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pt-BR" sz="2000"/>
            <a:t>Offense</a:t>
          </a:r>
          <a:endParaRPr lang="pt-BR" sz="1100"/>
        </a:p>
      </xdr:txBody>
    </xdr:sp>
    <xdr:clientData fPrintsWithSheet="0"/>
  </xdr:twoCellAnchor>
  <xdr:twoCellAnchor editAs="absolute">
    <xdr:from>
      <xdr:col>0</xdr:col>
      <xdr:colOff>11909</xdr:colOff>
      <xdr:row>11</xdr:row>
      <xdr:rowOff>61923</xdr:rowOff>
    </xdr:from>
    <xdr:to>
      <xdr:col>3</xdr:col>
      <xdr:colOff>537003</xdr:colOff>
      <xdr:row>13</xdr:row>
      <xdr:rowOff>22923</xdr:rowOff>
    </xdr:to>
    <xdr:sp macro="[0]!Retângulo3_Clique" textlink="">
      <xdr:nvSpPr>
        <xdr:cNvPr id="4" name="Retângulo 3">
          <a:extLst>
            <a:ext uri="{FF2B5EF4-FFF2-40B4-BE49-F238E27FC236}">
              <a16:creationId xmlns:a16="http://schemas.microsoft.com/office/drawing/2014/main" id="{2C2E7D63-ED0B-4713-A2FB-09685B0D1134}"/>
            </a:ext>
          </a:extLst>
        </xdr:cNvPr>
        <xdr:cNvSpPr/>
      </xdr:nvSpPr>
      <xdr:spPr>
        <a:xfrm>
          <a:off x="11909" y="2157423"/>
          <a:ext cx="3204000" cy="342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000"/>
            <a:t>Defense</a:t>
          </a:r>
          <a:endParaRPr lang="pt-BR" sz="1100"/>
        </a:p>
      </xdr:txBody>
    </xdr:sp>
    <xdr:clientData fPrintsWithSheet="0"/>
  </xdr:twoCellAnchor>
  <xdr:twoCellAnchor editAs="absolute">
    <xdr:from>
      <xdr:col>0</xdr:col>
      <xdr:colOff>11909</xdr:colOff>
      <xdr:row>13</xdr:row>
      <xdr:rowOff>49227</xdr:rowOff>
    </xdr:from>
    <xdr:to>
      <xdr:col>3</xdr:col>
      <xdr:colOff>537003</xdr:colOff>
      <xdr:row>15</xdr:row>
      <xdr:rowOff>10227</xdr:rowOff>
    </xdr:to>
    <xdr:sp macro="[0]!Retângulo4_Clique" textlink="">
      <xdr:nvSpPr>
        <xdr:cNvPr id="5" name="Retângulo 4">
          <a:extLst>
            <a:ext uri="{FF2B5EF4-FFF2-40B4-BE49-F238E27FC236}">
              <a16:creationId xmlns:a16="http://schemas.microsoft.com/office/drawing/2014/main" id="{1F4E2A8C-1FED-448A-B1AF-F4BE2160F7AA}"/>
            </a:ext>
          </a:extLst>
        </xdr:cNvPr>
        <xdr:cNvSpPr/>
      </xdr:nvSpPr>
      <xdr:spPr>
        <a:xfrm>
          <a:off x="11909" y="2525727"/>
          <a:ext cx="3204000" cy="342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000"/>
            <a:t>Special</a:t>
          </a:r>
          <a:r>
            <a:rPr lang="pt-BR" sz="2400"/>
            <a:t> </a:t>
          </a:r>
          <a:r>
            <a:rPr lang="pt-BR" sz="2000"/>
            <a:t>Teams</a:t>
          </a:r>
          <a:endParaRPr lang="pt-BR" sz="1100"/>
        </a:p>
      </xdr:txBody>
    </xdr:sp>
    <xdr:clientData fPrintsWithSheet="0"/>
  </xdr:twoCellAnchor>
  <xdr:twoCellAnchor editAs="absolute">
    <xdr:from>
      <xdr:col>0</xdr:col>
      <xdr:colOff>11909</xdr:colOff>
      <xdr:row>31</xdr:row>
      <xdr:rowOff>47622</xdr:rowOff>
    </xdr:from>
    <xdr:to>
      <xdr:col>3</xdr:col>
      <xdr:colOff>537003</xdr:colOff>
      <xdr:row>33</xdr:row>
      <xdr:rowOff>26622</xdr:rowOff>
    </xdr:to>
    <xdr:sp macro="[0]!RefreshData" textlink="">
      <xdr:nvSpPr>
        <xdr:cNvPr id="6" name="Retângulo 5">
          <a:extLst>
            <a:ext uri="{FF2B5EF4-FFF2-40B4-BE49-F238E27FC236}">
              <a16:creationId xmlns:a16="http://schemas.microsoft.com/office/drawing/2014/main" id="{1424CBA5-3CD7-4AD5-9118-FC0FF3484350}"/>
            </a:ext>
          </a:extLst>
        </xdr:cNvPr>
        <xdr:cNvSpPr/>
      </xdr:nvSpPr>
      <xdr:spPr>
        <a:xfrm>
          <a:off x="11909" y="6119810"/>
          <a:ext cx="3204000" cy="3600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pt-BR" sz="2400"/>
            <a:t>Refresh Data</a:t>
          </a:r>
          <a:endParaRPr lang="pt-BR" sz="1100"/>
        </a:p>
      </xdr:txBody>
    </xdr:sp>
    <xdr:clientData fPrintsWithSheet="0"/>
  </xdr:twoCellAnchor>
  <xdr:twoCellAnchor editAs="oneCell">
    <xdr:from>
      <xdr:col>0</xdr:col>
      <xdr:colOff>0</xdr:colOff>
      <xdr:row>0</xdr:row>
      <xdr:rowOff>1</xdr:rowOff>
    </xdr:from>
    <xdr:to>
      <xdr:col>3</xdr:col>
      <xdr:colOff>525094</xdr:colOff>
      <xdr:row>9</xdr:row>
      <xdr:rowOff>59531</xdr:rowOff>
    </xdr:to>
    <mc:AlternateContent xmlns:mc="http://schemas.openxmlformats.org/markup-compatibility/2006" xmlns:a14="http://schemas.microsoft.com/office/drawing/2010/main">
      <mc:Choice Requires="a14">
        <xdr:graphicFrame macro="">
          <xdr:nvGraphicFramePr>
            <xdr:cNvPr id="7" name="Team">
              <a:extLst>
                <a:ext uri="{FF2B5EF4-FFF2-40B4-BE49-F238E27FC236}">
                  <a16:creationId xmlns:a16="http://schemas.microsoft.com/office/drawing/2014/main" id="{A0D8A512-7ED6-498E-93AA-3B22B8BD7179}"/>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0" y="1"/>
              <a:ext cx="3204000" cy="177403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5098676</xdr:colOff>
      <xdr:row>31</xdr:row>
      <xdr:rowOff>179294</xdr:rowOff>
    </xdr:to>
    <mc:AlternateContent xmlns:mc="http://schemas.openxmlformats.org/markup-compatibility/2006" xmlns:a14="http://schemas.microsoft.com/office/drawing/2010/main">
      <mc:Choice Requires="a14">
        <xdr:graphicFrame macro="">
          <xdr:nvGraphicFramePr>
            <xdr:cNvPr id="2" name="College">
              <a:extLst>
                <a:ext uri="{FF2B5EF4-FFF2-40B4-BE49-F238E27FC236}">
                  <a16:creationId xmlns:a16="http://schemas.microsoft.com/office/drawing/2014/main" id="{0232DF47-633A-45F7-A67E-8B0DA2951012}"/>
                </a:ext>
              </a:extLst>
            </xdr:cNvPr>
            <xdr:cNvGraphicFramePr/>
          </xdr:nvGraphicFramePr>
          <xdr:xfrm>
            <a:off x="0" y="0"/>
            <a:ext cx="0" cy="0"/>
          </xdr:xfrm>
          <a:graphic>
            <a:graphicData uri="http://schemas.microsoft.com/office/drawing/2010/slicer">
              <sle:slicer xmlns:sle="http://schemas.microsoft.com/office/drawing/2010/slicer" name="College"/>
            </a:graphicData>
          </a:graphic>
        </xdr:graphicFrame>
      </mc:Choice>
      <mc:Fallback xmlns="">
        <xdr:sp macro="" textlink="">
          <xdr:nvSpPr>
            <xdr:cNvPr id="0" name=""/>
            <xdr:cNvSpPr>
              <a:spLocks noTextEdit="1"/>
            </xdr:cNvSpPr>
          </xdr:nvSpPr>
          <xdr:spPr>
            <a:xfrm>
              <a:off x="0" y="0"/>
              <a:ext cx="5098676" cy="6084794"/>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5108762</xdr:colOff>
      <xdr:row>0</xdr:row>
      <xdr:rowOff>0</xdr:rowOff>
    </xdr:from>
    <xdr:to>
      <xdr:col>0</xdr:col>
      <xdr:colOff>6023162</xdr:colOff>
      <xdr:row>31</xdr:row>
      <xdr:rowOff>168088</xdr:rowOff>
    </xdr:to>
    <mc:AlternateContent xmlns:mc="http://schemas.openxmlformats.org/markup-compatibility/2006" xmlns:a14="http://schemas.microsoft.com/office/drawing/2010/main">
      <mc:Choice Requires="a14">
        <xdr:graphicFrame macro="">
          <xdr:nvGraphicFramePr>
            <xdr:cNvPr id="3" name="Team 2">
              <a:extLst>
                <a:ext uri="{FF2B5EF4-FFF2-40B4-BE49-F238E27FC236}">
                  <a16:creationId xmlns:a16="http://schemas.microsoft.com/office/drawing/2014/main" id="{5C11921D-0BE5-4FB5-BCAF-AEB616F37F05}"/>
                </a:ext>
              </a:extLst>
            </xdr:cNvPr>
            <xdr:cNvGraphicFramePr/>
          </xdr:nvGraphicFramePr>
          <xdr:xfrm>
            <a:off x="0" y="0"/>
            <a:ext cx="0" cy="0"/>
          </xdr:xfrm>
          <a:graphic>
            <a:graphicData uri="http://schemas.microsoft.com/office/drawing/2010/slicer">
              <sle:slicer xmlns:sle="http://schemas.microsoft.com/office/drawing/2010/slicer" name="Team 2"/>
            </a:graphicData>
          </a:graphic>
        </xdr:graphicFrame>
      </mc:Choice>
      <mc:Fallback xmlns="">
        <xdr:sp macro="" textlink="">
          <xdr:nvSpPr>
            <xdr:cNvPr id="0" name=""/>
            <xdr:cNvSpPr>
              <a:spLocks noTextEdit="1"/>
            </xdr:cNvSpPr>
          </xdr:nvSpPr>
          <xdr:spPr>
            <a:xfrm>
              <a:off x="5108762" y="0"/>
              <a:ext cx="914400" cy="607358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6061262</xdr:colOff>
      <xdr:row>0</xdr:row>
      <xdr:rowOff>0</xdr:rowOff>
    </xdr:from>
    <xdr:to>
      <xdr:col>0</xdr:col>
      <xdr:colOff>6975662</xdr:colOff>
      <xdr:row>31</xdr:row>
      <xdr:rowOff>156882</xdr:rowOff>
    </xdr:to>
    <mc:AlternateContent xmlns:mc="http://schemas.openxmlformats.org/markup-compatibility/2006" xmlns:a14="http://schemas.microsoft.com/office/drawing/2010/main">
      <mc:Choice Requires="a14">
        <xdr:graphicFrame macro="">
          <xdr:nvGraphicFramePr>
            <xdr:cNvPr id="4" name="Pos">
              <a:extLst>
                <a:ext uri="{FF2B5EF4-FFF2-40B4-BE49-F238E27FC236}">
                  <a16:creationId xmlns:a16="http://schemas.microsoft.com/office/drawing/2014/main" id="{86DD795E-A7F8-4938-AD9D-86DE88210EF4}"/>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6061262" y="0"/>
              <a:ext cx="914400" cy="6062382"/>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3133724</xdr:colOff>
      <xdr:row>18</xdr:row>
      <xdr:rowOff>0</xdr:rowOff>
    </xdr:to>
    <mc:AlternateContent xmlns:mc="http://schemas.openxmlformats.org/markup-compatibility/2006" xmlns:a14="http://schemas.microsoft.com/office/drawing/2010/main">
      <mc:Choice Requires="a14">
        <xdr:graphicFrame macro="">
          <xdr:nvGraphicFramePr>
            <xdr:cNvPr id="2" name="Team 1">
              <a:extLst>
                <a:ext uri="{FF2B5EF4-FFF2-40B4-BE49-F238E27FC236}">
                  <a16:creationId xmlns:a16="http://schemas.microsoft.com/office/drawing/2014/main" id="{8F41ECEA-91D0-44EC-82FE-92ED0BBF382B}"/>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mlns="">
        <xdr:sp macro="" textlink="">
          <xdr:nvSpPr>
            <xdr:cNvPr id="0" name=""/>
            <xdr:cNvSpPr>
              <a:spLocks noTextEdit="1"/>
            </xdr:cNvSpPr>
          </xdr:nvSpPr>
          <xdr:spPr>
            <a:xfrm>
              <a:off x="0" y="1"/>
              <a:ext cx="3133724" cy="3619499"/>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0</xdr:col>
      <xdr:colOff>0</xdr:colOff>
      <xdr:row>18</xdr:row>
      <xdr:rowOff>38100</xdr:rowOff>
    </xdr:from>
    <xdr:to>
      <xdr:col>0</xdr:col>
      <xdr:colOff>3131341</xdr:colOff>
      <xdr:row>20</xdr:row>
      <xdr:rowOff>17100</xdr:rowOff>
    </xdr:to>
    <xdr:sp macro="[0]!Recent_Transac_click" textlink="">
      <xdr:nvSpPr>
        <xdr:cNvPr id="3" name="Retângulo 2">
          <a:extLst>
            <a:ext uri="{FF2B5EF4-FFF2-40B4-BE49-F238E27FC236}">
              <a16:creationId xmlns:a16="http://schemas.microsoft.com/office/drawing/2014/main" id="{D9AFEF63-2489-4240-8522-0FA2EC9601F1}"/>
            </a:ext>
          </a:extLst>
        </xdr:cNvPr>
        <xdr:cNvSpPr/>
      </xdr:nvSpPr>
      <xdr:spPr>
        <a:xfrm>
          <a:off x="0" y="3657600"/>
          <a:ext cx="3131341" cy="3600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pt-BR" sz="2400"/>
            <a:t>Recent</a:t>
          </a:r>
          <a:r>
            <a:rPr lang="pt-BR" sz="2400" baseline="0"/>
            <a:t> Transactions</a:t>
          </a:r>
          <a:endParaRPr lang="pt-BR" sz="1100"/>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refreshedDate="44764.437707870369" createdVersion="6" refreshedVersion="6" minRefreshableVersion="3" recordCount="2887" xr:uid="{37D1F178-07DD-49D8-8501-61D5B81EAD37}">
  <cacheSource type="worksheet">
    <worksheetSource name="Rosters_2"/>
  </cacheSource>
  <cacheFields count="9">
    <cacheField name="Player" numFmtId="0">
      <sharedItems count="2876">
        <s v="Brandon Aiyuk"/>
        <s v="Azeez Al-Shaair"/>
        <s v="Arik Armstead"/>
        <s v="Kevin Atkins"/>
        <s v="Aaron Banks"/>
        <s v="Alex Barrett"/>
        <s v="Nick Bosa"/>
        <s v="Jake Brendel"/>
        <s v="Daniel Brunskill"/>
        <s v="Spencer Burford"/>
        <s v="Oren Burks"/>
        <s v="Tariq Castro-Fields"/>
        <s v="Tyrion Davis-Price"/>
        <s v="Kalia Davis"/>
        <s v="Darqueze Dennard"/>
        <s v="Ross Dwelley"/>
        <s v="Samson Ebukam"/>
        <s v="Demetrius Flannigan-Fowles"/>
        <s v="Dee Ford"/>
        <s v="Troy Fumagalli"/>
        <s v="Jimmy Garoppolo"/>
        <s v="Jeremiah Gemmel"/>
        <s v="Kevin Givens"/>
        <s v="Robbie Gould"/>
        <s v="Danny Gray"/>
        <s v="Dre Greenlaw"/>
        <s v="Alfredo Gutierrez"/>
        <s v="JaMycal Hasty"/>
        <s v="Tayler Hawkins"/>
        <s v="Josh Hokit"/>
        <s v="Ka'dar Hollman"/>
        <s v="Tanner Hudson"/>
        <s v="Talanoa Hufanga"/>
        <s v="Maurice Hurst"/>
        <s v="Kerry Hyder Jr."/>
        <s v="Drake Jackson"/>
        <s v="Jauan Jennings"/>
        <s v="Dontae Johnson"/>
        <s v="KeeSean Johnson"/>
        <s v="Marcus Johnson"/>
        <s v="Kyle Juszczyk"/>
        <s v="Javon Kinlaw"/>
        <s v="George Kittle"/>
        <s v="Qwuantrezz Knight"/>
        <s v="Tyler Kroft"/>
        <s v="Trey Lance"/>
        <s v="Deommodore Lenoir"/>
        <s v="Austin Mack"/>
        <s v="Taysir Mack"/>
        <s v="Tay Martin"/>
        <s v="Jordan Mason"/>
        <s v="Jordan Matthews"/>
        <s v="Ray-Ray McCloud III"/>
        <s v="Marcelino McCrary-Ball"/>
        <s v="Mike McGlinchey"/>
        <s v="Colton McKivitz"/>
        <s v="Elijah Mitchell"/>
        <s v="Jaylon Moore"/>
        <s v="Tarvarius Moore"/>
        <s v="Emmanuel Moseley"/>
        <s v="Leon O'Neal Jr."/>
        <s v="George Odum"/>
        <s v="Segun Olubi"/>
        <s v="Charles Omenihu"/>
        <s v="Taybor Pepper"/>
        <s v="Jason Poe"/>
        <s v="Brock Purdy"/>
        <s v="Hassan Ridgeway"/>
        <s v="Curtis Robinson"/>
        <s v="Deebo Samuel"/>
        <s v="Sam Schlueter"/>
        <s v="Trey Sermon"/>
        <s v="Justin Skule"/>
        <s v="Nate Sudfeld"/>
        <s v="Keaton Sutherland"/>
        <s v="Ambry Thomas"/>
        <s v="Kemoko Turay"/>
        <s v="Malik Turner"/>
        <s v="Jason Verrett"/>
        <s v="Charvarius Ward"/>
        <s v="Jimmie Ward"/>
        <s v="Fred Warner"/>
        <s v="Dohnovan West"/>
        <s v="Trent Williams"/>
        <s v="Jordan Willis"/>
        <s v="Jeff Wilson Jr."/>
        <s v="Mitch Wishnowsky"/>
        <s v="Charlie Woerner"/>
        <s v="Samuel Womack III"/>
        <s v="Nick Zakelj"/>
        <s v="Dee Alford"/>
        <s v="Tyler Allgeier"/>
        <s v="Geronimo Allison"/>
        <s v="Troy Andersen"/>
        <s v="Cornell Armstrong"/>
        <s v="Corey Ballentine"/>
        <s v="Cameron Batson"/>
        <s v="Quinton Bell"/>
        <s v="Jared Bernhardt"/>
        <s v="Stanley Berryhill"/>
        <s v="Jordan Brailford"/>
        <s v="Damiere Byrd"/>
        <s v="Lorenzo Carter"/>
        <s v="Drew Dalman"/>
        <s v="Jalen Dalton"/>
        <s v="Frank Darby"/>
        <s v="Marlon Davidson"/>
        <s v="Kuony Deng"/>
        <s v="Arnold Ebiketie"/>
        <s v="Bryan Edwards"/>
        <s v="Dorian Etheridge"/>
        <s v="Rashaan Evans"/>
        <s v="Anthony Firkser"/>
        <s v="Tucker Fisk"/>
        <s v="John FitzPatrick"/>
        <s v="Mike Ford"/>
        <s v="Feleipe Franks"/>
        <s v="Eddie Goldman"/>
        <s v="Colby Gossett"/>
        <s v="Ta'Quon Graham"/>
        <s v="Richie Grant"/>
        <s v="Darren Hall"/>
        <s v="Matt Hankins"/>
        <s v="Erik Harris"/>
        <s v="Jonotthan Harrison"/>
        <s v="Jaylinn Hawkins"/>
        <s v="Casey Hayward"/>
        <s v="Matt Hennessy"/>
        <s v="Parker Hesse"/>
        <s v="KhaDarel Hodge"/>
        <s v="Timmy Horne"/>
        <s v="Caleb Huntley"/>
        <s v="Germain Ifedi"/>
        <s v="Tyshaun James"/>
        <s v="Grady Jarrett"/>
        <s v="Younghoe Koo"/>
        <s v="Nick Kwiatkoski"/>
        <s v="Nathan Landman"/>
        <s v="Brayden Lenius"/>
        <s v="Rick Leonard"/>
        <s v="Chris Lindstrom"/>
        <s v="Drake London"/>
        <s v="Dom Maggio"/>
        <s v="DeAngelo Malone"/>
        <s v="Marcus Mariota"/>
        <s v="Dean Marlowe"/>
        <s v="Jake Matthews"/>
        <s v="Jalen Mayfield"/>
        <s v="Liam McCullough"/>
        <s v="Kaleb McGary"/>
        <s v="Ryan Neuzil"/>
        <s v="Adetokunbo Ogundeji"/>
        <s v="Isaiah Oliver"/>
        <s v="Qadree Ollison"/>
        <s v="Cordarrelle Patterson"/>
        <s v="Bradley Pinion"/>
        <s v="Kyle Pitts"/>
        <s v="Lafayette Pitts"/>
        <s v="John Raine"/>
        <s v="Desmond Ridder"/>
        <s v="Bryce Rodgers"/>
        <s v="Anthony Rush"/>
        <s v="Justin Shaffer"/>
        <s v="Keith Smith"/>
        <s v="Rashad Smith"/>
        <s v="Teez Tabor"/>
        <s v="Derrick Tangelo"/>
        <s v="Auden Tate"/>
        <s v="Vincent Taylor"/>
        <s v="A.J. Terrell"/>
        <s v="Nick Thurman"/>
        <s v="Seth Vernon"/>
        <s v="Tyler Vrabel"/>
        <s v="Mykal Walker"/>
        <s v="Leroy Watson"/>
        <s v="Tre Webb"/>
        <s v="Elijah Wilkinson"/>
        <s v="Avery Williams"/>
        <s v="Damien Williams"/>
        <s v="Olamide Zaccheaus"/>
        <s v="Deion Jones"/>
        <s v="Beau Brinkley"/>
        <s v="Calvin Ridley"/>
        <s v="Zach Allen"/>
        <s v="Stephen Anderson"/>
        <s v="Andre Baccellia"/>
        <s v="Budda Baker"/>
        <s v="Darrell Baker Jr."/>
        <s v="Kelvin Beachum"/>
        <s v="Eno Benjamin"/>
        <s v="Christian Blake"/>
        <s v="Breon Borders"/>
        <s v="Aaron Brewer"/>
        <s v="Nate Brooks"/>
        <s v="Marquise Brown"/>
        <s v="Zaven Collins"/>
        <s v="James Conner"/>
        <s v="Nolan Cooney"/>
        <s v="Tae Daley"/>
        <s v="Matt Dickerson"/>
        <s v="Victor Dimukeje"/>
        <s v="Michael Dogbe"/>
        <s v="Greg Dortch"/>
        <s v="Zach Ertz"/>
        <s v="Leki Fotu"/>
        <s v="Dennis Gardeck"/>
        <s v="Markus Golden"/>
        <s v="A.J. Green"/>
        <s v="Jarrett Guarantano"/>
        <s v="Antonio Hamilton"/>
        <s v="Sean Harlow"/>
        <s v="Marquis Hayes"/>
        <s v="Will Hernandez"/>
        <s v="DeAndre Hopkins"/>
        <s v="Rodney Hudson"/>
        <s v="D.J. Humphries"/>
        <s v="Keaontay Ingram"/>
        <s v="Andy Isabella"/>
        <s v="Danny Isidora"/>
        <s v="Josh Jackson"/>
        <s v="Josh Jones"/>
        <s v="Manny Jones"/>
        <s v="Kingsley Keke"/>
        <s v="Devon Kennard"/>
        <s v="Jontre Kirklin"/>
        <s v="Rashard Lawrence"/>
        <s v="Jonathan Ledbetter"/>
        <s v="Andy Lee"/>
        <s v="Jessie Lemonier"/>
        <s v="Greg Long"/>
        <s v="Jesse Luketa"/>
        <s v="Koda Martin"/>
        <s v="Christian Matthew"/>
        <s v="Trey McBride"/>
        <s v="Colt McCoy"/>
        <s v="Trace McSorley"/>
        <s v="Joshua Miles"/>
        <s v="Rondale Moore"/>
        <s v="Byron Murphy Jr."/>
        <s v="Justin Murray"/>
        <s v="Kyler Murray"/>
        <s v="Haggai Ndubuisi"/>
        <s v="Ben Niemann"/>
        <s v="JaVonta Payton"/>
        <s v="Chris Pierce Jr."/>
        <s v="T.J. Pledger"/>
        <s v="Matt Prater"/>
        <s v="Justin Pugh"/>
        <s v="Ronnie Rivers"/>
        <s v="Myjai Sanders"/>
        <s v="Bernhard Seikovits"/>
        <s v="Isaiah Simmons"/>
        <s v="Jared Smart"/>
        <s v="Eric Smith"/>
        <s v="Lecitus Smith"/>
        <s v="Cameron Thomas"/>
        <s v="Deionte Thompson"/>
        <s v="Jalen Thompson"/>
        <s v="Ezekiel Turner"/>
        <s v="Tanner Vallejo"/>
        <s v="Nick Vigil"/>
        <s v="Joe Walker"/>
        <s v="Jonathan Ward"/>
        <s v="Charles Washington"/>
        <s v="J.J. Watt"/>
        <s v="David Wells"/>
        <s v="Antoine Wesley"/>
        <s v="Jace Whittaker"/>
        <s v="James Wiggins"/>
        <s v="Darrel Williams"/>
        <s v="Maxx Williams"/>
        <s v="Marco Wilson"/>
        <s v="Chandler Wooten"/>
        <s v="Deon Yelder"/>
        <s v="Mark Andrews"/>
        <s v="Jalyn Armour-Davis"/>
        <s v="Tyler Badie"/>
        <s v="Rashod Bateman"/>
        <s v="Vince Biegel"/>
        <s v="Slade Bolden"/>
        <s v="Tyus Bowser"/>
        <s v="Nick Boyle"/>
        <s v="Shemar Bridges"/>
        <s v="Anthony Brown"/>
        <s v="Josh Bynes"/>
        <s v="Calais Campbell"/>
        <s v="Chuck Clark"/>
        <s v="Trevon Clark"/>
        <s v="Ben Cleveland"/>
        <s v="Trystan Colon"/>
        <s v="Aaron Crawford"/>
        <s v="Mike Davis"/>
        <s v="J.K. Dobbins"/>
        <s v="Devin Duvernay"/>
        <s v="Gus Edwards"/>
        <s v="Daniel Faalele"/>
        <s v="Diego Fagot"/>
        <s v="Kyle Fuller"/>
        <s v="Kyle Hamilton"/>
        <s v="Malik Harrison"/>
        <s v="Daelin Hayes"/>
        <s v="Justice Hill"/>
        <s v="Justin Houston"/>
        <s v="Marlon Humphrey"/>
        <s v="Brett Hundley"/>
        <s v="Tyler Huntley"/>
        <s v="Lamar Jackson"/>
        <s v="Robert Jackson"/>
        <s v="Ja'Wuan James"/>
        <s v="Tony Jefferson"/>
        <s v="Jaryd Jones-Smith"/>
        <s v="Travis Jones"/>
        <s v="Charlie Kolar"/>
        <s v="Isaiah Likely"/>
        <s v="Tyler Linderbaum"/>
        <s v="Isaiah Mack"/>
        <s v="Justin Madubuike"/>
        <s v="Iman Marshall"/>
        <s v="Ben Mason"/>
        <s v="Zakoby McClain"/>
        <s v="Nate McCrary"/>
        <s v="Kahlil McKenzie"/>
        <s v="Steven Means"/>
        <s v="Patrick Mekari"/>
        <s v="Jeremiah Moon"/>
        <s v="Nick Moore"/>
        <s v="Morgan Moses"/>
        <s v="Jimmy Murray"/>
        <s v="Rayshad Nichols"/>
        <s v="David Ojabo"/>
        <s v="Josh Oliver"/>
        <s v="Odafe Oweh"/>
        <s v="Ricky Person"/>
        <s v="Marcus Peters"/>
        <s v="Tyre Phillips"/>
        <s v="Michael Pierce"/>
        <s v="Tony Poljan"/>
        <s v="Makai Polk"/>
        <s v="Ben Powers"/>
        <s v="James Proche II"/>
        <s v="Patrick Queen"/>
        <s v="Patrick Ricard"/>
        <s v="Josh Ross"/>
        <s v="Kevon Seymour"/>
        <s v="Ronnie Stanley"/>
        <s v="Brandon Stephens"/>
        <s v="Geno Stone"/>
        <s v="Jordan Stout"/>
        <s v="Justin Tucker"/>
        <s v="Brent Urban"/>
        <s v="David Vereen"/>
        <s v="Binjimen Victor"/>
        <s v="Tylan Wallace"/>
        <s v="Ar'Darius Washington"/>
        <s v="Broderick Washington"/>
        <s v="Raleigh Webb"/>
        <s v="Kristian Welch"/>
        <s v="Chuck Wiley"/>
        <s v="Damarion Williams"/>
        <s v="Denzel Williams"/>
        <s v="Devon Williams"/>
        <s v="Marcus Williams"/>
        <s v="Kevin Zeitler"/>
        <s v="Sam Koch"/>
        <s v="Hakeem Adeniji"/>
        <s v="Cal Adomitis"/>
        <s v="Brandon Allen"/>
        <s v="Tycen Anderson"/>
        <s v="Eli Apple"/>
        <s v="Chidobe Awuzie"/>
        <s v="Joe Bachie"/>
        <s v="Markus Bailey"/>
        <s v="Jessie Bates III"/>
        <s v="Vonn Bell"/>
        <s v="Tyler Boyd"/>
        <s v="John Brannon"/>
        <s v="Ben Brown"/>
        <s v="Jake Browning"/>
        <s v="Joe Burrow"/>
        <s v="Alex Cappa"/>
        <s v="Jackson Carman"/>
        <s v="Zach Carter"/>
        <s v="Ja'Marr Chase"/>
        <s v="Drue Chrisman"/>
        <s v="Devin Cochran"/>
        <s v="La'el Collins"/>
        <s v="Abu Daramy-Swaray"/>
        <s v="Akeem Davis-Gaither"/>
        <s v="Jalen Davis"/>
        <s v="Nick Eubanks"/>
        <s v="Chris Evans"/>
        <s v="Tre Flowers"/>
        <s v="Lamont Gaillard"/>
        <s v="Allan George"/>
        <s v="Jeff Gunter"/>
        <s v="Clark Harris"/>
        <s v="Jaivon Heiligh"/>
        <s v="Trayvon Henderson"/>
        <s v="Trey Hendrickson"/>
        <s v="Clarence Hicks"/>
        <s v="Tee Higgins"/>
        <s v="B.J. Hill"/>
        <s v="Dax Hill"/>
        <s v="Trey Hill"/>
        <s v="Mike Hilton"/>
        <s v="Elijah Holyfield"/>
        <s v="Delonte Hood"/>
        <s v="Sam Hubbard"/>
        <s v="Kevin Huber"/>
        <s v="Wyatt Hubert"/>
        <s v="Hayden Hurst"/>
        <s v="Trenton Irwin"/>
        <s v="Clay Johnston"/>
        <s v="Keandre Jones"/>
        <s v="Shermari Jones"/>
        <s v="Khalid Kareem"/>
        <s v="Ted Karras"/>
        <s v="Kwamie Lassiter II"/>
        <s v="Evan McPherson"/>
        <s v="Joe Mixon"/>
        <s v="Stanley Morgan"/>
        <s v="Thaddeus Moss"/>
        <s v="Desmond Noel"/>
        <s v="Joseph Ossai"/>
        <s v="Samaje Perine"/>
        <s v="Germaine Pratt"/>
        <s v="Isaiah Prince"/>
        <s v="Kendric Pryor"/>
        <s v="Bookie Radley-Hiles"/>
        <s v="DJ Reader"/>
        <s v="Justin Rigg"/>
        <s v="Cam Sample"/>
        <s v="Drew Sample"/>
        <s v="Tyler Shelvin"/>
        <s v="D'Ante Smith"/>
        <s v="Jack Sorenson"/>
        <s v="Noah Spence"/>
        <s v="Cam Taylor-Britt"/>
        <s v="Trent Taylor"/>
        <s v="Michael Thomas"/>
        <s v="Mike Thomas"/>
        <s v="Tariqious Tisdale"/>
        <s v="Josh Tupou"/>
        <s v="Cordell Volson"/>
        <s v="Scotty Washington"/>
        <s v="Carson Wells"/>
        <s v="Mitchell Wilcox"/>
        <s v="Pooka Williams Jr."/>
        <s v="Jonah Williams"/>
        <s v="Trayveon Williams"/>
        <s v="Brandon Wilson"/>
        <s v="Logan Wilson"/>
        <s v="Andre Anthony"/>
        <s v="Kenjon Barner"/>
        <s v="Shaquil Barrett"/>
        <s v="Ben Beise"/>
        <s v="Giovani Bernard"/>
        <s v="Curtis Blackwell"/>
        <s v="Jose Borregales"/>
        <s v="Tom Brady"/>
        <s v="Cameron Brate"/>
        <s v="K.J. Britt"/>
        <s v="Kameron Brown"/>
        <s v="Jake Camarda"/>
        <s v="Ross Cockrell"/>
        <s v="Dylan Cook"/>
        <s v="Chris Cooper"/>
        <s v="Jaelon Darden"/>
        <s v="Lavonte David"/>
        <s v="Carlton Davis III"/>
        <s v="Jamel Dean"/>
        <s v="Dee Delaney"/>
        <s v="Mike Edwards"/>
        <s v="Mike Evans"/>
        <s v="Olakunle Fatukasi"/>
        <s v="Leonard Fournette"/>
        <s v="Blaine Gabbert"/>
        <s v="Russell Gage"/>
        <s v="Don Gardner"/>
        <s v="Kaylon Geiger"/>
        <s v="William Gholston"/>
        <s v="Cam Gill"/>
        <s v="Chris Godwin"/>
        <s v="Luke Goedeke"/>
        <s v="Cyril Grayson Jr."/>
        <s v="Mike Greene"/>
        <s v="Ryan Griffin"/>
        <s v="Robert Hainsey"/>
        <s v="Akiem Hicks"/>
        <s v="Sterling Hofrichter"/>
        <s v="JJ Howland"/>
        <s v="Jonathan Hubbard"/>
        <s v="Sadarius Hutcherson"/>
        <s v="Ryan Jensen"/>
        <s v="Fred Johnson"/>
        <s v="Tyler Johnson"/>
        <s v="Ko Kieft"/>
        <s v="Nick Leverett"/>
        <s v="Shaq Mason"/>
        <s v="Zyon McCollum"/>
        <s v="Codey McElroy"/>
        <s v="Kyler McMichael"/>
        <s v="Scotty Miller"/>
        <s v="John Molchon"/>
        <s v="Sean Murphy-Bunting"/>
        <s v="Keanu Neal"/>
        <s v="Anthony Nelson"/>
        <s v="Rakeem Nunez-Roches"/>
        <s v="Patrick O'Connor"/>
        <s v="JoJo Ozougwu"/>
        <s v="Breshad Perriman"/>
        <s v="Elijah Ponder"/>
        <s v="Benning Potoa'e"/>
        <s v="Willington Previlon"/>
        <s v="Rashard Robinson"/>
        <s v="J.J. Russell"/>
        <s v="Logan Ryan"/>
        <s v="Deadrin Senat"/>
        <s v="Donovan Smith"/>
        <s v="Vyncint Smith"/>
        <s v="Jerreth Sterns"/>
        <s v="Aaron Stinnie"/>
        <s v="Grant Stuard"/>
        <s v="Ryan Succop"/>
        <s v="Deven Thompkins"/>
        <s v="Kyle Trask"/>
        <s v="Zach Triner"/>
        <s v="Joe Tryon-Shoyinka"/>
        <s v="Nolan Turner"/>
        <s v="Ke'Shawn Vaughn"/>
        <s v="Vita Vea"/>
        <s v="Brandon Walton"/>
        <s v="Troy Warner"/>
        <s v="Josh Wells"/>
        <s v="Devin White"/>
        <s v="Rachaad White"/>
        <s v="Antoine Winfield Jr."/>
        <s v="Tristan Wirfs"/>
        <s v="Jordan Young"/>
        <s v="Logan Hall"/>
        <s v="Cade Otton"/>
        <s v="Ali Marpet"/>
        <s v="Josh Allen"/>
        <s v="Alec Anderson"/>
        <s v="Eli Ankou"/>
        <s v="Matt Araiza"/>
        <s v="Tavon Austin"/>
        <s v="Matt Barkley"/>
        <s v="Boogie Basham"/>
        <s v="Tyler Bass"/>
        <s v="Ryan Bates"/>
        <s v="Christian Benford"/>
        <s v="Terrel Bernard"/>
        <s v="Raheem Blackshear"/>
        <s v="Ike Boettger"/>
        <s v="C.J. Brewer"/>
        <s v="Spencer Brown"/>
        <s v="Brandin Bryant"/>
        <s v="Jacob Capra"/>
        <s v="James Cook"/>
        <s v="Jamison Crowder"/>
        <s v="Gabriel Davis"/>
        <s v="Dion Dawkins"/>
        <s v="Stefon Diggs"/>
        <s v="Tyrel Dodson"/>
        <s v="Tommy Doyle"/>
        <s v="Tremaine Edmunds"/>
        <s v="Kaiir Elam"/>
        <s v="Prince Emili"/>
        <s v="A.J. Epenesa"/>
        <s v="Reid Ferguson"/>
        <s v="Cody Ford"/>
        <s v="Travon Fuller"/>
        <s v="Tanner Gentry"/>
        <s v="Joe Giles-Harris"/>
        <s v="Reggie Gilliam"/>
        <s v="Olaijah Griffin"/>
        <s v="Matt Haack"/>
        <s v="Damar Hamlin"/>
        <s v="Tim Harris"/>
        <s v="Bobby Hart"/>
        <s v="Isaiah Hodgins"/>
        <s v="O.J. Howard"/>
        <s v="Micah Hyde"/>
        <s v="Ja'Marcus Ingram"/>
        <s v="Dane Jackson"/>
        <s v="Jaquan Johnson"/>
        <s v="Duke Johnson"/>
        <s v="Taron Johnson"/>
        <s v="Kingsley Jonathan"/>
        <s v="DaQuan Jones"/>
        <s v="Taiwan Jones"/>
        <s v="Case Keenum"/>
        <s v="Derek Kerstetter"/>
        <s v="Dawson Knox"/>
        <s v="Jake Kumerow"/>
        <s v="Shaq Lawson"/>
        <s v="Marquel Lee"/>
        <s v="Cam Lewis"/>
        <s v="Mike Love"/>
        <s v="Greg Mancz"/>
        <s v="Tyler Matakevich"/>
        <s v="Nick McCloud"/>
        <s v="Isaiah McKenzie"/>
        <s v="Matt Milano"/>
        <s v="Von Miller"/>
        <s v="Quintin Morris"/>
        <s v="Mitch Morse"/>
        <s v="Zack Moss"/>
        <s v="Siran Neal"/>
        <s v="Ed Oliver"/>
        <s v="Tanner Owen"/>
        <s v="Neil Pau'u"/>
        <s v="Jordan Phillips"/>
        <s v="Jordan Poyer"/>
        <s v="David Quessenberry"/>
        <s v="Greg Rousseau"/>
        <s v="Rodger Saffold"/>
        <s v="Tim Settle"/>
        <s v="Khalil Shakir"/>
        <s v="Devin Singletary"/>
        <s v="Andre Smith"/>
        <s v="Baylon Spector"/>
        <s v="Marquez Stevenson"/>
        <s v="Tommy Sweeney"/>
        <s v="Luke Tenuta"/>
        <s v="Josh Thomas"/>
        <s v="Tre'Davious White"/>
        <s v="Jalen Wydermyer"/>
        <s v="Nasir Adderley"/>
        <s v="Keenan Allen"/>
        <s v="Zack Bailey"/>
        <s v="Michael Bandy"/>
        <s v="Joey Bosa"/>
        <s v="Trevon Bradford"/>
        <s v="Andrew Brown"/>
        <s v="Leddie Brown"/>
        <s v="Bryce Callahan"/>
        <s v="Tevaughn Campbell"/>
        <s v="DeAndre Carter"/>
        <s v="Cole Christiansen"/>
        <s v="Will Clapp"/>
        <s v="Christian Covington"/>
        <s v="Chase Daniel"/>
        <s v="Jamal Davis II"/>
        <s v="Michael Davis"/>
        <s v="Ben DeLuca"/>
        <s v="Emeke Egbule"/>
        <s v="Austin Ekeler"/>
        <s v="Gerald Everett"/>
        <s v="Breiden Fehoko"/>
        <s v="Matt Feiler"/>
        <s v="Maurice Ffrench"/>
        <s v="Morgan Fox"/>
        <s v="Joe Gaziano"/>
        <s v="Alohi Gilman"/>
        <s v="Jalen Guyton"/>
        <s v="Kemon Hall"/>
        <s v="Josh Harris"/>
        <s v="Justin Herbert"/>
        <s v="Dustin Hopkins"/>
        <s v="Zander Horvath"/>
        <s v="Ryan Hunter"/>
        <s v="J.C. Jackson"/>
        <s v="Brenden Jaimes"/>
        <s v="Derwin James Jr."/>
        <s v="Austin Johnson"/>
        <s v="Zion Johnson"/>
        <s v="Sebastian Joseph-Day"/>
        <s v="Hunter Kampmoyer"/>
        <s v="Joshua Kelley"/>
        <s v="Erik Krommenhoek"/>
        <s v="Raheem Layne"/>
        <s v="Deane Leonard"/>
        <s v="Corey Linsley"/>
        <s v="Damon Lloyd"/>
        <s v="Khalil Mack"/>
        <s v="Tyreek Maddox-Williams"/>
        <s v="Kevin Marks Jr."/>
        <s v="James McCourt"/>
        <s v="Tre' McKitty"/>
        <s v="Forrest Merrill"/>
        <s v="Jason Moore Jr."/>
        <s v="Kenneth Murray Jr."/>
        <s v="Gabe Nabers"/>
        <s v="Nick Niemann"/>
        <s v="Storm Norton"/>
        <s v="Amen Ogbongbemiga"/>
        <s v="Otito Ogbonnia"/>
        <s v="Joshua Palmer"/>
        <s v="Donald Parham Jr."/>
        <s v="Brandon Peters"/>
        <s v="Trey Pipkins III"/>
        <s v="Joe Reed"/>
        <s v="Troy Reeder"/>
        <s v="Larry Rountree III"/>
        <s v="Chris Rumph II"/>
        <s v="Jamaree Salyer"/>
        <s v="Asante Samuel Jr."/>
        <s v="Foster Sarell"/>
        <s v="JK Scott"/>
        <s v="Brandon Sebastian"/>
        <s v="Ty Shelby"/>
        <s v="Rashawn Slater"/>
        <s v="Stone Smartt"/>
        <s v="Isaiah Spiller"/>
        <s v="Easton Stick"/>
        <s v="Ja'Sir Taylor"/>
        <s v="Skyler Thomas"/>
        <s v="Jerry Tillery"/>
        <s v="Andrew Trainer"/>
        <s v="Drue Tranquill"/>
        <s v="Kyle Van Noy"/>
        <s v="Isaac Weaver"/>
        <s v="Mark Webb Jr."/>
        <s v="Mike Williams"/>
        <s v="JT Woods"/>
        <s v="Matt Adams"/>
        <s v="Christian Albright"/>
        <s v="Jon Alexander"/>
        <s v="Chase Allen"/>
        <s v="Auzoyah Alufohai"/>
        <s v="C.J. Avery"/>
        <s v="Angelo Blackson"/>
        <s v="Khari Blasingame"/>
        <s v="Larry Borom"/>
        <s v="Jaquan Brisker"/>
        <s v="Ja'Tyre Carter"/>
        <s v="Shon Coleman"/>
        <s v="Isaiah Coulter"/>
        <s v="Dane Cruikshank"/>
        <s v="JuliÃ©n Davenport"/>
        <s v="Noah Dawkins"/>
        <s v="Jean Delance"/>
        <s v="Micah Dew-Treadway"/>
        <s v="Trestan Ebner"/>
        <s v="Mario Edwards Jr."/>
        <s v="Dieter Eiselen"/>
        <s v="Darrynton Evans"/>
        <s v="Justin Fields"/>
        <s v="Chris Finke"/>
        <s v="Trenton Gill"/>
        <s v="Trevis Gipson"/>
        <s v="Kyler Gordon"/>
        <s v="Thomas Graham Jr."/>
        <s v="Allie Green IV"/>
        <s v="N'Keal Harry"/>
        <s v="Khalil Herbert"/>
        <s v="Elijah Hicks"/>
        <s v="DeAndre Houston-Carson"/>
        <s v="Eddie Jackson"/>
        <s v="Teven Jenkins"/>
        <s v="Rysen John"/>
        <s v="Caleb Johnson"/>
        <s v="Jaylon Johnson"/>
        <s v="Braxton Jones"/>
        <s v="Jaylon Jones"/>
        <s v="Justin Jones"/>
        <s v="Velus Jones Jr."/>
        <s v="Michael Joseph"/>
        <s v="Sam Kamara"/>
        <s v="BoPete Keyes"/>
        <s v="Cole Kmet"/>
        <s v="Doug Kramer"/>
        <s v="LaCale London"/>
        <s v="David Montgomery"/>
        <s v="Darnell Mooney"/>
        <s v="David Moore"/>
        <s v="Nicholas Morrow"/>
        <s v="Al-Quadin Muhammad"/>
        <s v="Sam Mustipher"/>
        <s v="Dazz Newsome"/>
        <s v="James O'Shaughnessy"/>
        <s v="Lucas Patrick"/>
        <s v="Mike Pennel Jr."/>
        <s v="Nathan Peterman"/>
        <s v="Dante Pettis"/>
        <s v="Byron Pringle"/>
        <s v="Robert Quinn"/>
        <s v="Dominique Robinson"/>
        <s v="Jack Sanborn"/>
        <s v="Cairo Santos"/>
        <s v="Patrick Scales"/>
        <s v="Kevin Shaa"/>
        <s v="Tajae Sharpe"/>
        <s v="Duke Shelley"/>
        <s v="Trevor Siemian"/>
        <s v="Lachavious Simmons"/>
        <s v="Roquan Smith"/>
        <s v="Charles Snowden"/>
        <s v="Equanimeous St. Brown"/>
        <s v="Jayson Stanley"/>
        <s v="Greg Stroman Jr."/>
        <s v="Carson Taylor"/>
        <s v="A.J. Thomas"/>
        <s v="Joe Thomas"/>
        <s v="Zachary Thomas"/>
        <s v="Khyiris Tonga"/>
        <s v="Jake Tonges"/>
        <s v="De'Montre Tuggle"/>
        <s v="Kindle Vildor"/>
        <s v="Nsimba Webster"/>
        <s v="Cody Whitehair"/>
        <s v="Willie Wright"/>
        <s v="Tavon Young"/>
        <s v="Dakota Dozier"/>
        <s v="Nick Allegretti"/>
        <s v="Zayne Anderson"/>
        <s v="DeAndre Baker"/>
        <s v="Omar Bayless"/>
        <s v="Blake Bell"/>
        <s v="Nick Bolton"/>
        <s v="Dicaprio Bootle"/>
        <s v="Cortez Broughton"/>
        <s v="Orlando Brown"/>
        <s v="Shane Buechele"/>
        <s v="Michael Burton"/>
        <s v="Deon Bush"/>
        <s v="Matt Bushman"/>
        <s v="Harrison Butker"/>
        <s v="Shilique Calhoun"/>
        <s v="Mike Caliendo"/>
        <s v="Jermaine Carter"/>
        <s v="Leo Chenal"/>
        <s v="Geron Christian"/>
        <s v="Frank Clark"/>
        <s v="Jack Cochrane"/>
        <s v="Corey Coleman"/>
        <s v="Bryan Cook"/>
        <s v="Dustin Crum"/>
        <s v="Brandin Dandridge"/>
        <s v="Mike Danna"/>
        <s v="Jerrion Ealy"/>
        <s v="Clyde Edwards-Helaire"/>
        <s v="Austin Edwards"/>
        <s v="Rashad Fenton"/>
        <s v="Tayon Fleet-Davis"/>
        <s v="Jody Fortson"/>
        <s v="Daurice Fountain"/>
        <s v="Jordan Franks"/>
        <s v="Willie Gay"/>
        <s v="Chris Glaser"/>
        <s v="Josh Gordon"/>
        <s v="Derrick Gore"/>
        <s v="Noah Gray"/>
        <s v="Nasir Greer"/>
        <s v="Vitaliy Gurman"/>
        <s v="Mecole Hardman"/>
        <s v="Darius Harris"/>
        <s v="Chad Henne"/>
        <s v="Malik Herring"/>
        <s v="Creed Humphrey"/>
        <s v="Gary Jennings"/>
        <s v="Lonnie Johnson"/>
        <s v="Nazeeh Johnson"/>
        <s v="Roderick Johnson"/>
        <s v="Chris Jones"/>
        <s v="Ronald Jones"/>
        <s v="Joshua Kaindoh"/>
        <s v="George Karlaftis"/>
        <s v="Travis Kelce"/>
        <s v="Devon Key"/>
        <s v="Darian Kinnard"/>
        <s v="Chris Lammons"/>
        <s v="Elijah Lee"/>
        <s v="Patrick Mahomes"/>
        <s v="Trent McDuffie"/>
        <s v="Jerick McKinnon"/>
        <s v="Skyy Moore"/>
        <s v="Lucas Niang"/>
        <s v="Derrick Nnadi"/>
        <s v="Kehinde Oginni Hassan"/>
        <s v="Isiah Pacheco"/>
        <s v="Aaron Parker"/>
        <s v="Cornell Powell"/>
        <s v="Justin Reid"/>
        <s v="Austin Reiter"/>
        <s v="Mike Rose"/>
        <s v="Justyn Ross"/>
        <s v="Khalen Saunders"/>
        <s v="JuJu Smith-Schuster"/>
        <s v="Trey Smith"/>
        <s v="L'Jarius Sneed"/>
        <s v="Taylor Stallworth"/>
        <s v="Juan Thornhill"/>
        <s v="Joe Thuney"/>
        <s v="Tommy Townsend"/>
        <s v="Marquez Valdes-Scantling"/>
        <s v="Mark Vital"/>
        <s v="Prince Tega Wanogho"/>
        <s v="Jaylen Watson"/>
        <s v="Justin Watson"/>
        <s v="Tershawn Wharton"/>
        <s v="Joshua Williams"/>
        <s v="James Winchester"/>
        <s v="Andrew Wylie"/>
        <s v="Dakota Allen"/>
        <s v="D'Anthony Bell"/>
        <s v="David Bell"/>
        <s v="Joel Bitonio"/>
        <s v="Corey Bojorquez"/>
        <s v="Ja'Marcus Bradley"/>
        <s v="Jacoby Brissett"/>
        <s v="Taven Bryan"/>
        <s v="Harrison Bryant"/>
        <s v="Joseph Charlton"/>
        <s v="Nick Chubb"/>
        <s v="Jadeveon Clowney"/>
        <s v="Jack Conklin"/>
        <s v="Amari Cooper"/>
        <s v="Sheldon Day"/>
        <s v="Dawson Deaton"/>
        <s v="Grant Delpit"/>
        <s v="Joshua Dobbs"/>
        <s v="Michael Dunn"/>
        <s v="Jordan Elliott"/>
        <s v="Martin Emerson Jr."/>
        <s v="Demetric Felton Jr."/>
        <s v="Tony Fields II"/>
        <s v="Drew Forbes"/>
        <s v="Jerome Ford"/>
        <s v="Miller Forristall"/>
        <s v="Hjalte Froholdt"/>
        <s v="Myles Garrett"/>
        <s v="Jakeem Grant Sr."/>
        <s v="Nakia Griffin-Stewart"/>
        <s v="Nick Guggemos"/>
        <s v="Blake Hance"/>
        <s v="Mike Harley Jr."/>
        <s v="Nick Harris"/>
        <s v="Travell Harris"/>
        <s v="Ronnie Harrison Jr."/>
        <s v="Willie Harvey Jr."/>
        <s v="Brock Hoffman"/>
        <s v="Chris Hubbard"/>
        <s v="James Hudson III"/>
        <s v="Charley Hughlett"/>
        <s v="Kareem Hunt"/>
        <s v="D'Ernest Johnson"/>
        <s v="John Johnson III"/>
        <s v="Shaun Jolly"/>
        <s v="John Kelly Jr."/>
        <s v="Silas Kelly"/>
        <s v="Luther Kirk IV"/>
        <s v="Richard LeCounte III"/>
        <s v="Glen Logan"/>
        <s v="Nate Meadors"/>
        <s v="Herb Miller"/>
        <s v="Zaire Mitchell-Paden"/>
        <s v="Parnell Motley"/>
        <s v="Greg Newsome II"/>
        <s v="David Njoku"/>
        <s v="Elijah Nkansah"/>
        <s v="Jeremiah Owusu-Koramoah"/>
        <s v="Donovan Peoples-Jones"/>
        <s v="Roderick Perry II"/>
        <s v="Ben Petrula"/>
        <s v="Jacob Phillips"/>
        <s v="Ethan Pocic"/>
        <s v="Reggie Robinson II"/>
        <s v="Isaac Rochell"/>
        <s v="Marcus Santos-Silva"/>
        <s v="Anthony Schwartz"/>
        <s v="Johnny Stanton IV"/>
        <s v="Sione Takitaki"/>
        <s v="Alex Taylor"/>
        <s v="Wyatt Teller"/>
        <s v="Isaiah Thomas"/>
        <s v="Tommy Togiai"/>
        <s v="Anthony Walker Jr."/>
        <s v="Denzel Ward"/>
        <s v="Deshaun Watson"/>
        <s v="Stephen Weatherly"/>
        <s v="Curtis Weaver"/>
        <s v="Isaiah Weston"/>
        <s v="Greedy Williams"/>
        <s v="Jedrick Wills Jr."/>
        <s v="Javon Wims"/>
        <s v="Chase Winovich"/>
        <s v="Michael Woods II"/>
        <s v="Alex Wright"/>
        <s v="Cade York"/>
        <s v="Perrion Winfrey"/>
        <s v="Mo Alie-Cox"/>
        <s v="Ben Banogu"/>
        <s v="Julian Blackmon"/>
        <s v="Rodrigo Blankenship"/>
        <s v="Curtis Brooks"/>
        <s v="Tony Brown"/>
        <s v="DeForest Buckner"/>
        <s v="Parris Campbell"/>
        <s v="Anthony Chesley"/>
        <s v="Kameron Cline"/>
        <s v="Jack Coan"/>
        <s v="Keke Coutee"/>
        <s v="Bryan Cox"/>
        <s v="Kekoa Crawford"/>
        <s v="Nick Cross"/>
        <s v="Marcel Dabo"/>
        <s v="Trevor Denbow"/>
        <s v="JoJo Domann"/>
        <s v="Ashton Dulin"/>
        <s v="Sam Ehlinger"/>
        <s v="Brandon Facyson"/>
        <s v="Ethan Fernea"/>
        <s v="Dallis Flowers"/>
        <s v="Nick Foles"/>
        <s v="Zaire Franklin"/>
        <s v="Wesley French"/>
        <s v="Will Fries"/>
        <s v="Stephon Gilmore"/>
        <s v="Kylen Granson"/>
        <s v="DeMichael Harris"/>
        <s v="Nyheim Hines"/>
        <s v="Deon Jackson"/>
        <s v="Michael Jacobson"/>
        <s v="Eric Johnson"/>
        <s v="Nikola Kalinic"/>
        <s v="Dennis Kelly"/>
        <s v="Ryan Kelly"/>
        <s v="Brandon Kemp"/>
        <s v="Brandon King"/>
        <s v="Darius Leonard"/>
        <s v="Tyquan Lewis"/>
        <s v="Phillip Lindsay"/>
        <s v="R.J. McIntosh"/>
        <s v="Rodney McLeod"/>
        <s v="Kenny Moore II"/>
        <s v="Jordan Murray"/>
        <s v="Alexander Myres"/>
        <s v="Samson Nacua"/>
        <s v="Quenton Nelson"/>
        <s v="Yannick Ngakoue"/>
        <s v="Carter O'Donnell"/>
        <s v="Ifeadi Odenigbo"/>
        <s v="Dayo Odeyingbo"/>
        <s v="Andrew Ogletree"/>
        <s v="Bobby Okereke"/>
        <s v="Scott Patchan"/>
        <s v="Dezmon Patmon"/>
        <s v="Caeveon Patton"/>
        <s v="Kwity Paye"/>
        <s v="Alec Pierce"/>
        <s v="Danny Pinter"/>
        <s v="Michael Pittman Jr."/>
        <s v="D'vonte Price"/>
        <s v="Matt Pryor"/>
        <s v="Bernhard Raimann"/>
        <s v="Will Redmond"/>
        <s v="Luke Rhodes"/>
        <s v="Forrest Rhyne"/>
        <s v="Isaiah Rodgers"/>
        <s v="Matt Ryan"/>
        <s v="Rigoberto Sanchez"/>
        <s v="Josh Seltzner"/>
        <s v="James Skalski"/>
        <s v="Braden Smith"/>
        <s v="E.J. Speed"/>
        <s v="Jason Spriggs"/>
        <s v="Grover Stewart"/>
        <s v="Mike Strachan"/>
        <s v="Jonathan Taylor"/>
        <s v="Marvell Tell III"/>
        <s v="Rodney Thomas II"/>
        <s v="Ryan Van Demark"/>
        <s v="CJ Verdell"/>
        <s v="Jake Verity"/>
        <s v="Armani Watts"/>
        <s v="Sterling Weatherford"/>
        <s v="Chris Wilcox"/>
        <s v="Chris Williams"/>
        <s v="Ty'Son Williams"/>
        <s v="Jelani Woods"/>
        <s v="Michael Young Jr."/>
        <s v="Khari Willis"/>
        <s v="Jonathan Allen"/>
        <s v="Troy Apke"/>
        <s v="Alex Armah"/>
        <s v="David Bada"/>
        <s v="John Bates"/>
        <s v="Willie Beavers"/>
        <s v="Beau Benzschawel"/>
        <s v="Reggie Bonofon"/>
        <s v="Will Bradley-King"/>
        <s v="Dyami Brown"/>
        <s v="Percy Butler"/>
        <s v="Deion Calhoun"/>
        <s v="Saahdiq Charles"/>
        <s v="Camaron Cheeseman"/>
        <s v="Tyler Clark"/>
        <s v="Sam Cosmi"/>
        <s v="Kamren Curl"/>
        <s v="Jamin Davis"/>
        <s v="Jahan Dotson"/>
        <s v="Josh Drayden"/>
        <s v="Milo Eifler"/>
        <s v="Corn Elder"/>
        <s v="Alex Erickson"/>
        <s v="Jequez Ezzard"/>
        <s v="Darrick Forrest"/>
        <s v="Kendall Fuller"/>
        <s v="Antonio Gandy-Golden"/>
        <s v="Ferrod Gardner"/>
        <s v="Antonio Gibson"/>
        <s v="Justin Hamilton"/>
        <s v="Kelvin Harmon"/>
        <s v="De'Jon Harris"/>
        <s v="Taylor Heinicke"/>
        <s v="Curtis Hodges"/>
        <s v="Cole Holcomb"/>
        <s v="Christian Holmes"/>
        <s v="Sam Howell"/>
        <s v="Khaleke Hudson"/>
        <s v="Keith Ismael"/>
        <s v="William Jackson III"/>
        <s v="Danny Johnson"/>
        <s v="Cole Kelley"/>
        <s v="Tyler Larsen"/>
        <s v="Nolan Laufenberg"/>
        <s v="Charles Leno Jr."/>
        <s v="Cornelius Lucas"/>
        <s v="Phidarian Mathis"/>
        <s v="David Mayo"/>
        <s v="Bobby McCain"/>
        <s v="Kyric McGowan"/>
        <s v="J.D. McKissic"/>
        <s v="Terry McLaurin"/>
        <s v="Marken Michel"/>
        <s v="Dax Milne"/>
        <s v="Aaron Monteiro"/>
        <s v="DeJuan Neal"/>
        <s v="Andrew Norwell"/>
        <s v="Bryce Notree"/>
        <s v="Efe Obada"/>
        <s v="Jacub Panasiuk"/>
        <s v="Jaret Patterson"/>
        <s v="Chris Paul"/>
        <s v="Daron Payne"/>
        <s v="Jeremy Reaves"/>
        <s v="Sammis Reyes"/>
        <s v="Brian Robinson"/>
        <s v="Tyrese Robinson"/>
        <s v="Armani Rogers"/>
        <s v="Bunmi Rotimi"/>
        <s v="Chase Roullier"/>
        <s v="Curtis Samuel"/>
        <s v="Wes Schweitzer"/>
        <s v="Cam Sims"/>
        <s v="Joey Slye"/>
        <s v="James Smith-Williams"/>
        <s v="Benjamin St-Juste"/>
        <s v="Channing Stribling"/>
        <s v="Montez Sweat"/>
        <s v="Logan Thomas"/>
        <s v="Shaka Toney"/>
        <s v="Casey Toohill"/>
        <s v="Jon Toth"/>
        <s v="Cole Turner"/>
        <s v="Trai Turner"/>
        <s v="Tre Walker"/>
        <s v="Tress Way"/>
        <s v="Carson Wentz"/>
        <s v="Drew White"/>
        <s v="Jonathan Williams"/>
        <s v="Daniel Wise"/>
        <s v="Chase Young"/>
        <s v="Isaac AlarcÃ³n"/>
        <s v="Bryan Anger"/>
        <s v="Dorance Armstrong"/>
        <s v="Josh Ball"/>
        <s v="Tarell Basham"/>
        <s v="Markquese Bell"/>
        <s v="Tyler Biadasz"/>
        <s v="DaRon Bland"/>
        <s v="Quinton Bohanna"/>
        <s v="Devante Bond"/>
        <s v="Josiah Bronson"/>
        <s v="Kyron Brown"/>
        <s v="Noah Brown"/>
        <s v="Markaviest Bryant"/>
        <s v="Ian Bunting"/>
        <s v="Damone Clark"/>
        <s v="Aviante Collins"/>
        <s v="Jabril Cox"/>
        <s v="Tyler Coyle"/>
        <s v="Malik Davis"/>
        <s v="Trevon Diggs"/>
        <s v="Ben DiNucci"/>
        <s v="Rico Dowdle"/>
        <s v="Dontario Drummond"/>
        <s v="Ezekiel Elliott"/>
        <s v="James Empey"/>
        <s v="Austin Faoliu"/>
        <s v="Matt Farniok"/>
        <s v="Simi Fehoko"/>
        <s v="Jake Ferguson"/>
        <s v="Dante Fowler Jr."/>
        <s v="Ty Fryfogle"/>
        <s v="Neville Gallimore"/>
        <s v="Michael Gallup"/>
        <s v="Jonathan Garibay"/>
        <s v="Luke Gifford"/>
        <s v="Chauncey Golston"/>
        <s v="C.J. Goodwin"/>
        <s v="Will Grier"/>
        <s v="Aaron Hansford"/>
        <s v="Devin Harper"/>
        <s v="Peyton Hendershot"/>
        <s v="Trysten Hill"/>
        <s v="Malik Hooker"/>
        <s v="Dennis Houston"/>
        <s v="Storey Jackson"/>
        <s v="Malik Jefferson"/>
        <s v="Braylon Jones"/>
        <s v="Kelvin Joseph"/>
        <s v="Jayron Kearse"/>
        <s v="CeeDee Lamb"/>
        <s v="DeMarcus Lawrence"/>
        <s v="Jourdan Lewis"/>
        <s v="Alec Lindstrom"/>
        <s v="Zack Martin"/>
        <s v="Connor McGovern"/>
        <s v="Sean McKeon"/>
        <s v="Jake McQuaide"/>
        <s v="Quandre Mosely"/>
        <s v="Israel Mukuamu"/>
        <s v="Ryan Nall"/>
        <s v="Osa Odighizuwa"/>
        <s v="Micah Parsons"/>
        <s v="Tony Pollard"/>
        <s v="Dak Prescott"/>
        <s v="Nick Ralston"/>
        <s v="John Ridgeway"/>
        <s v="Jaquarii Robinson"/>
        <s v="Cooper Rush"/>
        <s v="Dalton Schultz"/>
        <s v="Aaron Shampklin"/>
        <s v="Amon Simon"/>
        <s v="Brandon Smith"/>
        <s v="Tyler Smith"/>
        <s v="Tyron Smith"/>
        <s v="Jeremy Sprinkle"/>
        <s v="Terence Steele"/>
        <s v="Mike Tafua"/>
        <s v="Isaac Taylor-Stuart"/>
        <s v="Juanyeh Thomas"/>
        <s v="Jalen Tolbert"/>
        <s v="Leighton Vander Esch"/>
        <s v="T.J. Vasher"/>
        <s v="Matt Waletzko"/>
        <s v="James Washington"/>
        <s v="Carlos Watkins"/>
        <s v="Sam Williams"/>
        <s v="Donovan Wilson"/>
        <s v="Nahshon Wright"/>
        <s v="McTelvin Agim"/>
        <s v="Christopher Allen"/>
        <s v="Calvin Anderson"/>
        <s v="Bless Austin"/>
        <s v="Quinn Bailey"/>
        <s v="Essang Bassey"/>
        <s v="Andrew Beck"/>
        <s v="Jacob Bobenmoyer"/>
        <s v="Garett Bolles"/>
        <s v="Nik Bonitto"/>
        <s v="Mike Boone"/>
        <s v="Ben Braden"/>
        <s v="Baron Browning"/>
        <s v="Bradley Chubb"/>
        <s v="Tyrie Cleveland"/>
        <s v="Tom Compton"/>
        <s v="Jonathon Cooper"/>
        <s v="Damarea Crockett"/>
        <s v="Lloyd Cushenberry III"/>
        <s v="Ronald Darby"/>
        <s v="Kaden Davis"/>
        <s v="Greg Dulcich"/>
        <s v="Travis Fulgham"/>
        <s v="Graham Glasgow"/>
        <s v="Melvin Gordon III"/>
        <s v="Randy Gregory"/>
        <s v="Jonas Griffith"/>
        <s v="Sebastian Gutierrez"/>
        <s v="KJ Hamler"/>
        <s v="Jonathan Harris"/>
        <s v="Matt Henningsen"/>
        <s v="Faion Hicks"/>
        <s v="Kendall Hinton"/>
        <s v="Kareem Jackson"/>
        <s v="Jerry Jeudy"/>
        <s v="Josey Jewell"/>
        <s v="Brandon Johnson"/>
        <s v="Jamar Johnson"/>
        <s v="Josh Johnson"/>
        <s v="Zack Johnson"/>
        <s v="D.J. Jones"/>
        <s v="Dre'Mont Jones"/>
        <s v="Jonathan Kongbo"/>
        <s v="Donnie Lewis Jr."/>
        <s v="P.J. Locke"/>
        <s v="Sam Martin"/>
        <s v="Damarri Mathis"/>
        <s v="Kana'i Mauga"/>
        <s v="Tyreik McAllister"/>
        <s v="Brandon McManus"/>
        <s v="Ja'Quan McMillian"/>
        <s v="Quinn Meinerz"/>
        <s v="Netane Muti"/>
        <s v="Michael Niese"/>
        <s v="Michael Ojemudia"/>
        <s v="Albert Okwuegbunam"/>
        <s v="Dylan Parham"/>
        <s v="Aaron Patrick"/>
        <s v="Tim Patrick"/>
        <s v="Mike Purcell"/>
        <s v="Trey Quinn"/>
        <s v="J.R. Reed"/>
        <s v="Malik Reed"/>
        <s v="Dalton Risner"/>
        <s v="Brett Rypien"/>
        <s v="Eric Saubert"/>
        <s v="Justin Simmons"/>
        <s v="Alex Singleton"/>
        <s v="Marquiss Spencer"/>
        <s v="Caden Sterns"/>
        <s v="Justin Strnad"/>
        <s v="Pat Surtain II"/>
        <s v="Courtland Sutton"/>
        <s v="Eric Tomlinson"/>
        <s v="Casey Tucker"/>
        <s v="Delarrin Turner-Yell"/>
        <s v="Billy Turner"/>
        <s v="Eyioma Uwazurike"/>
        <s v="Jalen Virgil"/>
        <s v="Barrington Wade"/>
        <s v="Corliss Waitman"/>
        <s v="Montrell Washington"/>
        <s v="Luke Wattenberg"/>
        <s v="DeShawn Williams"/>
        <s v="Javonte Williams"/>
        <s v="K'Waun Williams"/>
        <s v="Rodney Williams"/>
        <s v="Seth Williams"/>
        <s v="Russell Wilson"/>
        <s v="Kadofi Wright"/>
        <s v="Alex Anzalone"/>
        <s v="Eric Banks"/>
        <s v="Derrick Barnes"/>
        <s v="Greg Bell"/>
        <s v="Trinity Benson"/>
        <s v="David Blough"/>
        <s v="Chris Board"/>
        <s v="Cedric Boswell"/>
        <s v="Tim Boyle"/>
        <s v="Brady Breeze"/>
        <s v="Michael Brockers"/>
        <s v="Evan Brown"/>
        <s v="Austin Bryant"/>
        <s v="Jason Cabinda"/>
        <s v="Quintez Cephus"/>
        <s v="DJ Chark"/>
        <s v="John Cominsky"/>
        <s v="Jashon Cornell"/>
        <s v="Scott Daly"/>
        <s v="Jarrad Davis"/>
        <s v="Taylor Decker"/>
        <s v="Derrick Deese Jr."/>
        <s v="DeShon Elliott"/>
        <s v="Obinna Eze"/>
        <s v="Jack Fox"/>
        <s v="Devin Funchess"/>
        <s v="Mark Gilbert"/>
        <s v="Nolan Givan"/>
        <s v="Jared Goff"/>
        <s v="Garrett Griffin"/>
        <s v="Shaun Dion Hamilton"/>
        <s v="Charles Harris"/>
        <s v="Will Harris"/>
        <s v="Bruce Hector"/>
        <s v="T.J. Hockenson"/>
        <s v="James Houston"/>
        <s v="JuJu Hughes"/>
        <s v="Mike Hughes"/>
        <s v="Aidan Hutchinson"/>
        <s v="Godwin Igwebuike"/>
        <s v="Jonah Jackson"/>
        <s v="Jerry Jacobs"/>
        <s v="Kevin Jarvis"/>
        <s v="Jermar Jefferson"/>
        <s v="Kerby Joseph"/>
        <s v="Tom Kennedy"/>
        <s v="Tommy Kraemer"/>
        <s v="Chase Lucas"/>
        <s v="Ryan McCollum"/>
        <s v="Alim McNeill"/>
        <s v="Ifeatu Melifonwu"/>
        <s v="James Mitchell"/>
        <s v="C.J. Moore"/>
        <s v="Matt Nelson"/>
        <s v="Zein Obeid"/>
        <s v="Jeff Okudah"/>
        <s v="Julian Okwara"/>
        <s v="Romeo Okwara"/>
        <s v="Levi Onwuzurike"/>
        <s v="Amani Oruwariye"/>
        <s v="AJ Parker"/>
        <s v="Josh Paschal"/>
        <s v="Natrez Patrick"/>
        <s v="Riley Patterson"/>
        <s v="John Penisini"/>
        <s v="Kalil Pimpleton"/>
        <s v="Anthony Pittman"/>
        <s v="Bobby Price"/>
        <s v="Frank Ragnow"/>
        <s v="Kalif Raymond"/>
        <s v="Craig Reynolds"/>
        <s v="Josh Reynolds"/>
        <s v="Malcolm Rodriguez"/>
        <s v="Austin Seibert"/>
        <s v="Penei Sewell"/>
        <s v="Dan Skipper"/>
        <s v="Saivion Smith"/>
        <s v="Amon-Ra St. Brown"/>
        <s v="Logan Stenberg"/>
        <s v="Corey Sutton"/>
        <s v="D'Andre Swift"/>
        <s v="Demetrius Taylor"/>
        <s v="Halapoulivaati Vaitai"/>
        <s v="Tracy Walker III"/>
        <s v="Jamaal Williams"/>
        <s v="Jameson Williams"/>
        <s v="Josh Woods"/>
        <s v="Brock Wright"/>
        <s v="Shane Zylstra"/>
        <s v="Jordan Akins"/>
        <s v="Austin Allen"/>
        <s v="Ryder Anderson"/>
        <s v="Alex Bachman"/>
        <s v="Saquon Barkley"/>
        <s v="Darrian Beavers"/>
        <s v="Dane Belton"/>
        <s v="Henry Black"/>
        <s v="C.J. Board"/>
        <s v="Ben Bredeson"/>
        <s v="Matt Breida"/>
        <s v="Gary Brightwell"/>
        <s v="Cam Brown"/>
        <s v="Maurice Canady"/>
        <s v="Jashaun Corbin"/>
        <s v="Yusuf Corker"/>
        <s v="Carter Coughlin"/>
        <s v="Tae Crowder"/>
        <s v="Korey Cunningham"/>
        <s v="D.J. Davidson"/>
        <s v="Khalil Dorsey"/>
        <s v="Keelan Doss"/>
        <s v="Jamil Douglas"/>
        <s v="Jabari Ellis"/>
        <s v="Justin Ellis"/>
        <s v="Darren Evans"/>
        <s v="Joshua Ezeudu"/>
        <s v="Jon Feliciano"/>
        <s v="Cor'Dale Flott"/>
        <s v="Robert Foster"/>
        <s v="Tomon Fox"/>
        <s v="Graham Gano"/>
        <s v="Max Garcia"/>
        <s v="Nick Gates"/>
        <s v="Zyon Gilbert"/>
        <s v="Jamie Gillan"/>
        <s v="Mark Glowinski"/>
        <s v="Kenny Golladay"/>
        <s v="Matt Gono"/>
        <s v="Jeremiah Hall"/>
        <s v="Devery Hamilton"/>
        <s v="Justin Hilliard"/>
        <s v="Christopher Hinton"/>
        <s v="Darnay Holmes"/>
        <s v="Jalyn Holmes"/>
        <s v="Adoree' Jackson"/>
        <s v="Michael Jacquet III"/>
        <s v="Richie James"/>
        <s v="Collin Johnson"/>
        <s v="Daniel Jones"/>
        <s v="Casey Kreiter"/>
        <s v="Niko Lalos"/>
        <s v="Dexter Lawrence"/>
        <s v="Shane Lemieux"/>
        <s v="Julian Love"/>
        <s v="Blake Martinez"/>
        <s v="Roy Mbaeteka"/>
        <s v="Micah McFadden"/>
        <s v="Marcus McKethan"/>
        <s v="Xavier McKinney"/>
        <s v="Andre Miller"/>
        <s v="David Moa"/>
        <s v="Chris Myarick"/>
        <s v="Evan Neal"/>
        <s v="Azeez Ojulari"/>
        <s v="Matt Peart"/>
        <s v="Sandro Platzgummer"/>
        <s v="Austin Proehl"/>
        <s v="Josh Rivas"/>
        <s v="Aaron Robinson"/>
        <s v="Wan'Dale Robinson"/>
        <s v="Quincy Roche"/>
        <s v="Ricky Seals-Jones"/>
        <s v="Sterling Shepard"/>
        <s v="David Sills V"/>
        <s v="Darius Slayton"/>
        <s v="Elerson Smith"/>
        <s v="Tyrod Taylor"/>
        <s v="Kayvon Thibodeaux"/>
        <s v="Andrew Thomas"/>
        <s v="Trenton Thompson"/>
        <s v="Travis Toivonen"/>
        <s v="Kadarius Toney"/>
        <s v="Jihad Ward"/>
        <s v="Davis Webb"/>
        <s v="Antonio Williams"/>
        <s v="Jarren Williams"/>
        <s v="Leonard Williams"/>
        <s v="Rodarius Williams"/>
        <s v="Oshane Ximines"/>
        <s v="Daniel Bellinger"/>
        <s v="Mario Addison"/>
        <s v="Kyle Allen"/>
        <s v="Darius Anderson"/>
        <s v="Grayland Arnold"/>
        <s v="Antony Auclair"/>
        <s v="Chad Beebe"/>
        <s v="Ross Blacklock"/>
        <s v="Thomas Booker IV"/>
        <s v="Justin Britt"/>
        <s v="Terrence Brooks"/>
        <s v="Pharaoh Brown"/>
        <s v="Rex Burkhead"/>
        <s v="Jalen Camp"/>
        <s v="A.J. Cann"/>
        <s v="Blake Cashman"/>
        <s v="Maliek Collins"/>
        <s v="Nico Collins"/>
        <s v="Chris Conley"/>
        <s v="Brandin Cooks"/>
        <s v="Myron Cunningham"/>
        <s v="Damion Daniels"/>
        <s v="Davion Davis"/>
        <s v="Tae Davis"/>
        <s v="Austin Deculus"/>
        <s v="Phillip Dorsett"/>
        <s v="Jeff Driskel"/>
        <s v="Michael Dwumfour"/>
        <s v="Drew Estrada"/>
        <s v="Ka'imi Fairbairn"/>
        <s v="Jacobi Francis"/>
        <s v="Royce Freeman"/>
        <s v="Kenyon Green"/>
        <s v="Rasheem Green"/>
        <s v="Seth Green"/>
        <s v="Jonathan Greenard"/>
        <s v="Kamu Grugier-Hill"/>
        <s v="Troy Hairston"/>
        <s v="Jake Hansen"/>
        <s v="Christian Harris"/>
        <s v="Demone Harris"/>
        <s v="Charlie Heck"/>
        <s v="Neville Hewitt"/>
        <s v="Kurt Hinish"/>
        <s v="Kevin Hogan"/>
        <s v="Tytus Howard"/>
        <s v="Jerry Hughes"/>
        <s v="Andy Janovich"/>
        <s v="Jordan Jenkins"/>
        <s v="Johnny Johnson III"/>
        <s v="Cameron Johnston"/>
        <s v="Brevin Jordan"/>
        <s v="Desmond King II"/>
        <s v="Christian Kirksey"/>
        <s v="Roy Lopez"/>
        <s v="Marlon Mack"/>
        <s v="Tristin McCollum"/>
        <s v="Justin McCray"/>
        <s v="John Metchie III"/>
        <s v="Davis Mills"/>
        <s v="Chris Moore"/>
        <s v="Fabian Moreau"/>
        <s v="Jimmy Morrissey"/>
        <s v="Eric Murray"/>
        <s v="Steven Nelson"/>
        <s v="Adedayo Odeleye"/>
        <s v="Cedric Ogbuehi"/>
        <s v="Dare Ogunbowale"/>
        <s v="Ogbonnia Okoronkwo"/>
        <s v="Jonathan Owens"/>
        <s v="Dameon Pierce"/>
        <s v="Kevin Pierre-Louis"/>
        <s v="Jalen Pitre"/>
        <s v="Paul Quessenberry"/>
        <s v="Scott Quessenberry"/>
        <s v="Teagan Quitoriano"/>
        <s v="Jalen Reeves-Maybin"/>
        <s v="Derek Rivers"/>
        <s v="Max Scharping"/>
        <s v="Mason Schreck"/>
        <s v="Kendall Sheffield"/>
        <s v="Tremon Smith"/>
        <s v="Jordan Steckler"/>
        <s v="M.J. Stewart"/>
        <s v="Derek Stingley Jr."/>
        <s v="Tavierre Thomas"/>
        <s v="Laremy Tunsil"/>
        <s v="Tre'Vour Wallace-Simms"/>
        <s v="Garret Wallow"/>
        <s v="Connor Wedington"/>
        <s v="Jon Weeks"/>
        <s v="Isaac Yiadom"/>
        <s v="Tyrell Adams"/>
        <s v="Jamal Agnew"/>
        <s v="Israel Antwine"/>
        <s v="Ryquell Armstead"/>
        <s v="Dan Arnold"/>
        <s v="Kevin Austin Jr."/>
        <s v="Ben Bartch"/>
        <s v="C.J. Beathard"/>
        <s v="Rashod Berry"/>
        <s v="Naz Bohannon"/>
        <s v="Malcom Brown"/>
        <s v="Montaric Brown"/>
        <s v="Tyson Campbell"/>
        <s v="K'Lavon Chaisson"/>
        <s v="Andre Cisco"/>
        <s v="Chris Claybrooks"/>
        <s v="Snoop Conner"/>
        <s v="Logan Cooke"/>
        <s v="Jeff Cotton Jr."/>
        <s v="Nathan Cottrell"/>
        <s v="Xavier Crawford"/>
        <s v="Coy Cronk"/>
        <s v="Shabari Davis"/>
        <s v="De'Shaan Dixon"/>
        <s v="Evan Engram"/>
        <s v="Travis Etienne Jr."/>
        <s v="Luke Farrell"/>
        <s v="Folorunso Fatukasi"/>
        <s v="Rudy Ford"/>
        <s v="Nick Ford"/>
        <s v="Luke Fortner"/>
        <s v="Benjie Franklin"/>
        <s v="Adam Gotsis"/>
        <s v="Shaquill Griffin"/>
        <s v="Grayson Gunter"/>
        <s v="Marvin Hall"/>
        <s v="DaVon Hamilton"/>
        <s v="Tre Herndon"/>
        <s v="Jared Hocker"/>
        <s v="Rayshawn Jenkins"/>
        <s v="Willie Johnson"/>
        <s v="Zay Jones"/>
        <s v="Jamir Jones"/>
        <s v="Marvin Jones Jr."/>
        <s v="Tim Jones"/>
        <s v="Gregory Junior"/>
        <s v="Arden Key"/>
        <s v="Christian Kirk"/>
        <s v="Trevor Lawrence"/>
        <s v="Jeremiah Ledbetter"/>
        <s v="Walker Little"/>
        <s v="Devin Lloyd"/>
        <s v="Jake Luton"/>
        <s v="Chris Manhertz"/>
        <s v="Wes Martin"/>
        <s v="Ross Matiscik"/>
        <s v="Ryan McDaniel"/>
        <s v="KC McDermott"/>
        <s v="Andrew Mevis"/>
        <s v="Grant Morgan"/>
        <s v="Chad Muma"/>
        <s v="Foyesade Oluokun"/>
        <s v="Ayo Oyelola"/>
        <s v="E.J. Perry"/>
        <s v="Gerrit Prince"/>
        <s v="Shaquille Quarterman"/>
        <s v="Wyatt Ray"/>
        <s v="Will Richardson Jr."/>
        <s v="Roy Robertson-Harris"/>
        <s v="Cam Robinson"/>
        <s v="James Robinson"/>
        <s v="Brandon Rusnak"/>
        <s v="Chapelle Russell"/>
        <s v="Ryan Santoso"/>
        <s v="Mekhi Sargent"/>
        <s v="Brandon Scherff"/>
        <s v="Tyler Shatley"/>
        <s v="Laviska Shenault Jr."/>
        <s v="Dawuane Smoot"/>
        <s v="Jawaan Taylor"/>
        <s v="Daniel Thomas"/>
        <s v="Josh Thompson"/>
        <s v="Badara Traore"/>
        <s v="Laquon Treadwell"/>
        <s v="Jay Tufele"/>
        <s v="Travon Walker"/>
        <s v="Darious Williams"/>
        <s v="Raequan Williams"/>
        <s v="Andrew Wingard"/>
        <s v="Lujuan Winningham"/>
        <s v="Jordan Smith"/>
        <s v="Salvon Ahmed"/>
        <s v="Blaise Andries"/>
        <s v="Terron Armstead"/>
        <s v="Jerome Baker"/>
        <s v="Cole Banwart"/>
        <s v="Lynn Bowden Jr."/>
        <s v="Teddy Bridgewater"/>
        <s v="Adam Butler"/>
        <s v="Elijah Campbell"/>
        <s v="Owen Carney"/>
        <s v="Cethan Carter"/>
        <s v="Larnel Coleman"/>
        <s v="Tanner Conner"/>
        <s v="Cody Core"/>
        <s v="River Cracraft"/>
        <s v="Keion Crossen"/>
        <s v="Raekwon Davis"/>
        <s v="DeVonte Dedmon"/>
        <s v="Michael Deiter"/>
        <s v="Kellen Diesch"/>
        <s v="Gerrid Doaks"/>
        <s v="Chase Edmonds"/>
        <s v="Sam Eguavoen"/>
        <s v="Liam Eichenberg"/>
        <s v="Erik Ezukanma"/>
        <s v="Clayton Fejedelem"/>
        <s v="Blake Ferguson"/>
        <s v="Myles Gaskin"/>
        <s v="Mike Gesicki"/>
        <s v="Cameron Goode"/>
        <s v="Porter Gustin"/>
        <s v="Elijah Hamilton"/>
        <s v="Tommy Heatherly"/>
        <s v="Tyreek Hill"/>
        <s v="Darius Hodge"/>
        <s v="Jevon Holland"/>
        <s v="Xavien Howard"/>
        <s v="Robert Hunt"/>
        <s v="Noah Igbinoghene"/>
        <s v="Alec Ingold"/>
        <s v="Melvin Ingram III"/>
        <s v="Austin Jackson"/>
        <s v="John Jenkins"/>
        <s v="Deandre Johnson"/>
        <s v="Benito Jones"/>
        <s v="Brandon Jones"/>
        <s v="Byron Jones"/>
        <s v="Robert Jones"/>
        <s v="Solomon Kindley"/>
        <s v="Kader Kohou"/>
        <s v="Greg Little"/>
        <s v="Hunter Long"/>
        <s v="John Lovett"/>
        <s v="Verone McKinley III"/>
        <s v="Sony Michel"/>
        <s v="Thomas Morstead"/>
        <s v="Raheem Mostert"/>
        <s v="Calvin Munson"/>
        <s v="Nik Needham"/>
        <s v="Emmanuel Ogbah"/>
        <s v="Adam Pankey"/>
        <s v="Jaelan Phillips"/>
        <s v="Sheldrick Redwine"/>
        <s v="Duke Riley"/>
        <s v="Elandon Roberts"/>
        <s v="D'Angelo Ross"/>
        <s v="Eric Rowe"/>
        <s v="Jason Sanders"/>
        <s v="Braylon Sanders"/>
        <s v="Brennan Scarlett"/>
        <s v="Adam Shaheen"/>
        <s v="Trent Sherfield"/>
        <s v="Zach Sieler"/>
        <s v="Kion Smith"/>
        <s v="Durham Smythe"/>
        <s v="Ben Stille"/>
        <s v="Tua Tagovailoa"/>
        <s v="Skylar Thompson"/>
        <s v="Channing Tindall"/>
        <s v="Andrew Van Ginkel"/>
        <s v="Jaylen Waddle"/>
        <s v="ZaQuandre White"/>
        <s v="Christian Wilkins"/>
        <s v="Trill Williams"/>
        <s v="Connor Williams"/>
        <s v="Jordan Williams"/>
        <s v="Preston Williams"/>
        <s v="Cedrick Wilson Jr."/>
        <s v="Quincy Wilson"/>
        <s v="Paulson Adebo"/>
        <s v="Josh Andrews"/>
        <s v="Kawaan Baker"/>
        <s v="Zack Baun"/>
        <s v="Josh Black"/>
        <s v="Ian Book"/>
        <s v="Marquez Callaway"/>
        <s v="Taco Charlton"/>
        <s v="Andy Dalton"/>
        <s v="Marcus Davenport"/>
        <s v="Demario Davis"/>
        <s v="Brandon Dillon"/>
        <s v="Dai'Jean Dixon"/>
        <s v="Andrew Dowell"/>
        <s v="Sage Doxtater"/>
        <s v="Kaden Elliss"/>
        <s v="Justin Evans"/>
        <s v="DaMarcus Fields"/>
        <s v="C.J. Gardner-Johnson"/>
        <s v="Blake Gillikin"/>
        <s v="Carl Granderson"/>
        <s v="J.T. Gray"/>
        <s v="Vincent Gray"/>
        <s v="Ethan Greenidge"/>
        <s v="Deonte Harty"/>
        <s v="Jerald Hawkins"/>
        <s v="Taysom Hill"/>
        <s v="J.P. Holtz"/>
        <s v="Albert Huggins"/>
        <s v="James Hurst"/>
        <s v="Mark Ingram II"/>
        <s v="D'Marco Jackson"/>
        <s v="Jordan Jackson"/>
        <s v="Jaleel Johnson"/>
        <s v="Juwan Johnson"/>
        <s v="Tony Jones Jr."/>
        <s v="Cameron Jordan"/>
        <s v="Alvin Kamara"/>
        <s v="Lewis Kidd"/>
        <s v="Tanoh Kpassagnon"/>
        <s v="Lucas Krull"/>
        <s v="Forrest Lamp"/>
        <s v="Jarvis Landry"/>
        <s v="Marshon Lattimore"/>
        <s v="Wil Lutz"/>
        <s v="Dylan Mabin"/>
        <s v="Tyrann Mathieu"/>
        <s v="Marcus Maye"/>
        <s v="Erik McCoy"/>
        <s v="Kirk Merritt"/>
        <s v="Jordan Miller"/>
        <s v="Smoke Monday"/>
        <s v="Chris Olave"/>
        <s v="David Onyemata"/>
        <s v="Devine Ozigbo"/>
        <s v="Andrus Peat"/>
        <s v="Trevor Penning"/>
        <s v="Adam Prentice"/>
        <s v="Isaiah Pryor"/>
        <s v="Ryan Ramczyk"/>
        <s v="Malcolm Roach"/>
        <s v="Bradley Roby"/>
        <s v="John Parker Romo"/>
        <s v="Cesar Ruiz"/>
        <s v="Derek Schweiger"/>
        <s v="Nephi Sewell"/>
        <s v="Abram Smith"/>
        <s v="Tre'Quan Smith"/>
        <s v="Daniel Sorensen"/>
        <s v="Kentavius Street"/>
        <s v="Alontae Taylor"/>
        <s v="Bryce Thompson"/>
        <s v="Calvin Throckmorton"/>
        <s v="Adam Trautman"/>
        <s v="Payton Turner"/>
        <s v="Shy Tuttle"/>
        <s v="Nick Vannett"/>
        <s v="Dwayne Washington"/>
        <s v="Khalique Washington"/>
        <s v="Pete Werner"/>
        <s v="Daniel Whelan"/>
        <s v="Kevin White"/>
        <s v="P.J. Williams"/>
        <s v="Eric Wilson"/>
        <s v="Easop Winston Jr."/>
        <s v="Jameis Winston"/>
        <s v="Zach Wood"/>
        <s v="Landon Young"/>
        <s v="Rashid Shaheed"/>
        <s v="Dylan Soehner"/>
        <s v="Keshunn Abram"/>
        <s v="Tony Adams"/>
        <s v="Bradlee Anae"/>
        <s v="Nick Bawden"/>
        <s v="Braxton Berrios"/>
        <s v="Tarik Black"/>
        <s v="Lawrence Cager"/>
        <s v="Michael Carter"/>
        <s v="Michael Carter II"/>
        <s v="Irvin Charles"/>
        <s v="Micheal Clemons"/>
        <s v="Tevin Coleman"/>
        <s v="Tyler Conklin"/>
        <s v="Vinny Curry"/>
        <s v="Ashtyn Davis"/>
        <s v="Corey Davis"/>
        <s v="Isaiah Dunn"/>
        <s v="Brandin Echols"/>
        <s v="Chuma Edoga"/>
        <s v="Dan Feeney"/>
        <s v="Parker Ferguson"/>
        <s v="Joe Flacco"/>
        <s v="John Franklin-Myers"/>
        <s v="Sauce Gardner"/>
        <s v="Javelin Guidry"/>
        <s v="Breece Hall"/>
        <s v="Bryce Hall"/>
        <s v="Justin Hardee"/>
        <s v="Marcell Harris"/>
        <s v="Thomas Hennessy"/>
        <s v="Nate Herbig"/>
        <s v="Grant Hermanns"/>
        <s v="Bryce Huff"/>
        <s v="Calvin Jackson"/>
        <s v="Craig James"/>
        <s v="Jermaine Johnson"/>
        <s v="Ty Johnson"/>
        <s v="Lamarcus Joyner"/>
        <s v="Derrick Kelly"/>
        <s v="Zonovan Knight"/>
        <s v="Braden Mann"/>
        <s v="Jonathan Marshall"/>
        <s v="Jacob Martin"/>
        <s v="Conor McDermott"/>
        <s v="Denzel Mims"/>
        <s v="Max Mitchell"/>
        <s v="Jovante Moffatt"/>
        <s v="D.J. Montgomery"/>
        <s v="Elijah Moore"/>
        <s v="C.J. Mosley"/>
        <s v="Kai Nacua"/>
        <s v="Hamsah Nasirildeen"/>
        <s v="Will Parks"/>
        <s v="La'Mical Perine"/>
        <s v="Del'Shawn Phillips"/>
        <s v="Ross Pierschbacher"/>
        <s v="Eddy Pineiro"/>
        <s v="Jason Pinnock"/>
        <s v="Sheldon Rankins"/>
        <s v="Hamilcar Rashed Jr."/>
        <s v="D.J. Reed"/>
        <s v="Elijah Riley"/>
        <s v="Jeremy Ruckert"/>
        <s v="Nathan Shepherd"/>
        <s v="Jamien Sherwood"/>
        <s v="Tanzel Smart"/>
        <s v="Jeff Smith"/>
        <s v="DQ Thomas"/>
        <s v="Solomon Thomas"/>
        <s v="Laken Tomlinson"/>
        <s v="Alijah Vera-Tucker"/>
        <s v="Tim Ward"/>
        <s v="Trevon Wesco"/>
        <s v="Javin White"/>
        <s v="Mike White"/>
        <s v="Jordan Whitehead"/>
        <s v="Rachad Wildgoose"/>
        <s v="Quincy Williams"/>
        <s v="Quinnen Williams"/>
        <s v="Garrett Wilson"/>
        <s v="Zach Wilson"/>
        <s v="Kenny Yeboah"/>
        <s v="Greg Zuerlein"/>
        <s v="Jabari Zuniga"/>
        <s v="Mekhi Becton"/>
        <s v="George Fant"/>
        <s v="Carl Lawson"/>
        <s v="Dru Samia"/>
        <s v="C.J. Uzomah"/>
        <s v="Greg Senat"/>
        <s v="Jaire Alexander"/>
        <s v="Adrian Amos"/>
        <s v="David Bakhtiari"/>
        <s v="Krys Barnes"/>
        <s v="BJ Baylor"/>
        <s v="Caliph Brice"/>
        <s v="Gabe Brkic"/>
        <s v="Ellis Brooks"/>
        <s v="Akial Byers"/>
        <s v="De'Vondre Campbell"/>
        <s v="Sal Cannella"/>
        <s v="Tariq Carpenter"/>
        <s v="Kenny Clark"/>
        <s v="Randall Cobb"/>
        <s v="Jack Coco"/>
        <s v="Mason Crosby"/>
        <s v="Dominique Dafney"/>
        <s v="Danny Davis"/>
        <s v="Shawn Davis"/>
        <s v="Tyler Davis"/>
        <s v="Josiah Deguara"/>
        <s v="AJ Dillon"/>
        <s v="Romeo Doubs"/>
        <s v="Rasul Douglas"/>
        <s v="Kingsley Enagbare"/>
        <s v="Kabion Ento"/>
        <s v="Danny Etling"/>
        <s v="Jonathan Ford"/>
        <s v="Rico Gafford"/>
        <s v="Innis Gaines"/>
        <s v="Tipa Galeai"/>
        <s v="Jonathan Garvin"/>
        <s v="Rashan Gary"/>
        <s v="Tyler Goodson"/>
        <s v="La'Darius Hamilton"/>
        <s v="Jake Hanson"/>
        <s v="Jack Heflin"/>
        <s v="Kylin Hill"/>
        <s v="Shemar Jean-Charles"/>
        <s v="Elgton Jenkins"/>
        <s v="Aaron Jones"/>
        <s v="Caleb Jones"/>
        <s v="Kobe Jones"/>
        <s v="Allen Lazard"/>
        <s v="Marcedes Lewis"/>
        <s v="Jordan Love"/>
        <s v="Dean Lowry"/>
        <s v="AlizÃ© Mack"/>
        <s v="Chauncey Manac"/>
        <s v="Isaiah McDuffie"/>
        <s v="Michal Menet"/>
        <s v="George Moore"/>
        <s v="Josh Myers"/>
        <s v="Royce Newman"/>
        <s v="Yosh Nijman"/>
        <s v="Keisean Nixon"/>
        <s v="Pat O'Donnell"/>
        <s v="Hauati Pututau"/>
        <s v="Randy Ramsey"/>
        <s v="Jarran Reed"/>
        <s v="Sean Rhyan"/>
        <s v="Aaron Rodgers"/>
        <s v="Amari Rodgers"/>
        <s v="Jon Runyan"/>
        <s v="Darnell Savage"/>
        <s v="Cole Schneider"/>
        <s v="Vernon Scott"/>
        <s v="T.J. Slaton"/>
        <s v="Chris Slayton"/>
        <s v="Preston Smith"/>
        <s v="Tre Sterling"/>
        <s v="Eric Stokes"/>
        <s v="Ty Summers"/>
        <s v="Malik Taylor"/>
        <s v="Patrick Taylor"/>
        <s v="Raleigh Texada"/>
        <s v="Kiondre Thomas"/>
        <s v="Zach Tom"/>
        <s v="Robert Tonyan"/>
        <s v="Samori Toure"/>
        <s v="Cole Van Lanen"/>
        <s v="Quay Walker"/>
        <s v="Rasheed Walker"/>
        <s v="Sammy Watkins"/>
        <s v="Christian Watson"/>
        <s v="Ray Wilborn"/>
        <s v="Juwann Winfree"/>
        <s v="Steven Wirtel"/>
        <s v="Eli Wolf"/>
        <s v="Devonte Wyatt"/>
        <s v="Robbie Anderson"/>
        <s v="Josh Babicz"/>
        <s v="Kalon Barnes"/>
        <s v="AmarÃ© Barno"/>
        <s v="Bradley Bozeman"/>
        <s v="Darius Bradwell"/>
        <s v="Deonte Brown"/>
        <s v="Derrick Brown"/>
        <s v="Brian Burns"/>
        <s v="Juston Burris"/>
        <s v="Sean Chandler"/>
        <s v="Jeremy Chinn"/>
        <s v="Brady Christensen"/>
        <s v="Austin Corbett"/>
        <s v="Matt Corral"/>
        <s v="Dennis Daley"/>
        <s v="Sam Darnold"/>
        <s v="Ikem Ekwonu"/>
        <s v="Pat Elflein"/>
        <s v="Cameron Erving"/>
        <s v="Thomas Fletcher"/>
        <s v="D'Onta Foreman"/>
        <s v="Sam Franklin Jr."/>
        <s v="Zane Gonzalez"/>
        <s v="Isaiah Graham-Mobley"/>
        <s v="Yetur Gross-Matos"/>
        <s v="Madre Harper"/>
        <s v="Myles Hartsfield"/>
        <s v="Marquis Haynes Sr."/>
        <s v="Johnny Hekker"/>
        <s v="CJ Henderson"/>
        <s v="Ra'Shaun Henry"/>
        <s v="Frank Herron"/>
        <s v="Rashard Higgins"/>
        <s v="Jaycee Horn"/>
        <s v="Mike Horton"/>
        <s v="Phil Hoskins"/>
        <s v="Chuba Hubbard"/>
        <s v="Matt Ioannidis"/>
        <s v="Donte Jackson"/>
        <s v="JJ Jansen"/>
        <s v="Darryl Johnson"/>
        <s v="Drew Jordan"/>
        <s v="Michael Jordan"/>
        <s v="Keith Kirkwood"/>
        <s v="Austin Larkin"/>
        <s v="Cory Littleton"/>
        <s v="Frankie Luvu"/>
        <s v="Terrace Marshall Jr."/>
        <s v="Kamal Martin"/>
        <s v="Baker Mayfield"/>
        <s v="Cade Mays"/>
        <s v="Christian McCaffrey"/>
        <s v="Marquan McCall"/>
        <s v="Rashaan Melvin"/>
        <s v="Wyatt Miller"/>
        <s v="DJ Moore"/>
        <s v="Arron Mosby"/>
        <s v="Taylor Moton"/>
        <s v="Daviyon Nixon"/>
        <s v="Andrew Parchment"/>
        <s v="Austen Pleasants"/>
        <s v="Charleston Rambo"/>
        <s v="Giovanni Ricci"/>
        <s v="Andre Roberts"/>
        <s v="Kenny Robinson"/>
        <s v="Bravvion Roy"/>
        <s v="C.J. Saunders"/>
        <s v="Jared Scott"/>
        <s v="Shi Smith"/>
        <s v="Julian Stanford"/>
        <s v="Stephen Sullivan"/>
        <s v="Keith Taylor Jr."/>
        <s v="Sam Tecklenburg"/>
        <s v="Stantley Thomas-Oliver III"/>
        <s v="Ian Thomas"/>
        <s v="Colin Thompson"/>
        <s v="Shaq Thompson"/>
        <s v="Khalan Tolson"/>
        <s v="Tommy Tremble"/>
        <s v="Jacob Tuioti-Mariner"/>
        <s v="PJ Walker"/>
        <s v="Chris Westry"/>
        <s v="Damien Wilson"/>
        <s v="Xavier Woods"/>
        <s v="Derek Wright"/>
        <s v="Brandon Zylstra"/>
        <s v="Nelson Agholor"/>
        <s v="Henry Anderson"/>
        <s v="David Andrews"/>
        <s v="Devin Asiasi"/>
        <s v="Jake Bailey"/>
        <s v="Christian Barmore"/>
        <s v="Ja'Whaun Bentley"/>
        <s v="Justin Bethel"/>
        <s v="Joshuah Bledsoe"/>
        <s v="Kendrick Bourne"/>
        <s v="Trent Brown"/>
        <s v="Myles Bryant"/>
        <s v="Malcolm Butler"/>
        <s v="Yodny Cajuste"/>
        <s v="Joe Cardona"/>
        <s v="Byron Cowart"/>
        <s v="Carl Davis Jr."/>
        <s v="Cody Davis"/>
        <s v="Drew Desjarlais"/>
        <s v="Kyle Dugger"/>
        <s v="Yasir Durant"/>
        <s v="Daniel Ekuale"/>
        <s v="James Ferentz"/>
        <s v="Nick Folk"/>
        <s v="Davon Godchaux"/>
        <s v="Lawrence Guy"/>
        <s v="Arlington Hambright"/>
        <s v="Damien Harris"/>
        <s v="Kevin Harris"/>
        <s v="Hunter Henry"/>
        <s v="Justin Herron"/>
        <s v="Chasen Hines"/>
        <s v="Brian Hoyer"/>
        <s v="Lil'Jordan Humphrey"/>
        <s v="Anfernee Jennings"/>
        <s v="Jack Jones"/>
        <s v="Jonathan Jones"/>
        <s v="Marcus Jones"/>
        <s v="Mac Jones"/>
        <s v="Matthew Judon"/>
        <s v="Jake Julien"/>
        <s v="Dalton Keene"/>
        <s v="Harvey Langi"/>
        <s v="Devin McCourty"/>
        <s v="Cameron McGrone"/>
        <s v="Raekwon McMillan"/>
        <s v="Jakobi Meyers"/>
        <s v="Jalen Mills"/>
        <s v="DaMarcus Mitchell"/>
        <s v="Terrance Mitchell"/>
        <s v="Ty Montgomery"/>
        <s v="Bill Murray"/>
        <s v="Tre Nixon"/>
        <s v="Mike Onwenu"/>
        <s v="DeVante Parker"/>
        <s v="Jabrill Peppers"/>
        <s v="Ronnie Perkins"/>
        <s v="Malcolm Perry"/>
        <s v="Jeremiah Pharms Jr."/>
        <s v="Adrian Phillips"/>
        <s v="LaBryan Ray"/>
        <s v="Sam Roberts"/>
        <s v="Kody Russey"/>
        <s v="Brenden Schooler"/>
        <s v="Will Sherman"/>
        <s v="Matthew Slater"/>
        <s v="Jonnu Smith"/>
        <s v="Matt Sokol"/>
        <s v="Rhamondre Stevenson"/>
        <s v="Cole Strange"/>
        <s v="Pierre Strong Jr."/>
        <s v="Andrew Stueber"/>
        <s v="Jahlani Tavai"/>
        <s v="J.J. Taylor"/>
        <s v="Tyquan Thornton"/>
        <s v="Josh Uche"/>
        <s v="Tristan Vizcaino"/>
        <s v="Shaun Wade"/>
        <s v="James White"/>
        <s v="Kristian Wilkerson"/>
        <s v="Darryl Williams"/>
        <s v="Joejuan Williams"/>
        <s v="Mack Wilson"/>
        <s v="Deatrich Wise Jr."/>
        <s v="Isaiah Wynn"/>
        <s v="Bailey Zappe"/>
        <s v="Quinn Nordin"/>
        <s v="Jamie Collins Sr."/>
        <s v="Dont'a Hightower"/>
        <s v="Devon Allen"/>
        <s v="Jack Anderson"/>
        <s v="J.J. Arcega-Whiteside"/>
        <s v="Kayode Awosika"/>
        <s v="Derek Barnett"/>
        <s v="Josh Blackwell"/>
        <s v="Reed Blankenship"/>
        <s v="James Bradberry"/>
        <s v="Shaun Bradley"/>
        <s v="Kennedy Brooks"/>
        <s v="A.J. Brown"/>
        <s v="Deon Cain"/>
        <s v="Grant Calcaterra"/>
        <s v="Andre Chachere"/>
        <s v="Le'Raven Clark"/>
        <s v="Britain Covey"/>
        <s v="Fletcher Cox"/>
        <s v="Jordan Davis"/>
        <s v="Nakobe Dean"/>
        <s v="Landon Dickerson"/>
        <s v="Andre Dillard"/>
        <s v="Jack Driscoll"/>
        <s v="William Dunkle"/>
        <s v="T.J. Edwards"/>
        <s v="Jake Elliott"/>
        <s v="Christian Elliss"/>
        <s v="Noah Elliss"/>
        <s v="Marcus Epps"/>
        <s v="Ali Fayad"/>
        <s v="Kenneth Gainwell"/>
        <s v="Dallas Goedert"/>
        <s v="Mario Goodrich"/>
        <s v="Tay Gowan"/>
        <s v="Brandon Graham"/>
        <s v="Josh Hammond"/>
        <s v="Javon Hargrave"/>
        <s v="Anthony Harris"/>
        <s v="John Hightower"/>
        <s v="Jason Huntley"/>
        <s v="Jalen Hurts"/>
        <s v="Tarron Jackson"/>
        <s v="Tyree Jackson"/>
        <s v="Josh Jobe"/>
        <s v="Lane Johnson"/>
        <s v="Kyron Johnson"/>
        <s v="Patrick Johnson"/>
        <s v="Cam Jurgens"/>
        <s v="Jason Kelce"/>
        <s v="Matt Leo"/>
        <s v="Rick Lovato"/>
        <s v="Avonte Maddox"/>
        <s v="Jordan Mailata"/>
        <s v="Jared Mayden"/>
        <s v="Mac McCain III"/>
        <s v="Zech McPhearson"/>
        <s v="Gardner Minshew"/>
        <s v="Jimmy Moreland"/>
        <s v="Sua Opeta"/>
        <s v="Zach Pascal"/>
        <s v="Jalen Reagor"/>
        <s v="Haason Reddick"/>
        <s v="Richard Rodgers"/>
        <s v="Miles Sanders"/>
        <s v="Boston Scott"/>
        <s v="Josiah Scott"/>
        <s v="Isaac Seumalo"/>
        <s v="Josh Sills"/>
        <s v="Reid Sinnett"/>
        <s v="Arryn Siposs"/>
        <s v="Darius Slay"/>
        <s v="DeVonta Smith"/>
        <s v="JaCoby Stevens"/>
        <s v="Jack Stoll"/>
        <s v="Carson Strong"/>
        <s v="Josh Sweat"/>
        <s v="Jaquiski Tartt"/>
        <s v="Davion Taylor"/>
        <s v="Noah Togiai"/>
        <s v="Brett Toth"/>
        <s v="Marlon Tuipulotu"/>
        <s v="Kary Vincent Jr."/>
        <s v="K'Von Wallace"/>
        <s v="Greg Ward"/>
        <s v="Quez Watkins"/>
        <s v="Keric Wheatfall"/>
        <s v="Kyzir White"/>
        <s v="Jarrid Williams"/>
        <s v="Milton Williams"/>
        <s v="Marvin Wilson"/>
        <s v="Renell Wren"/>
        <s v="Ameer Abdullah"/>
        <s v="Johnathan Abram"/>
        <s v="Davante Adams"/>
        <s v="Anthony Averett"/>
        <s v="Alex Bars"/>
        <s v="Jackson Barton"/>
        <s v="Andrew Billings"/>
        <s v="Brandon Bolden"/>
        <s v="Tashawn Bower"/>
        <s v="Nick Bowers"/>
        <s v="Brittain Brown"/>
        <s v="Ike Brown"/>
        <s v="Jayon Brown"/>
        <s v="Darien Butler"/>
        <s v="Matthew Butler"/>
        <s v="Daniel Carlson"/>
        <s v="Derek Carr"/>
        <s v="AJ Cole"/>
        <s v="Keelan Cole"/>
        <s v="Qwynnterrio Cole"/>
        <s v="Bryce Cosby"/>
        <s v="Lester Cotton Sr."/>
        <s v="Maxx Crosby"/>
        <s v="Divine Deablo"/>
        <s v="Kenyan Drake"/>
        <s v="Jermaine Eluemunor"/>
        <s v="Kyler Fackrell"/>
        <s v="Matthias Farley"/>
        <s v="Neil Farrell Jr."/>
        <s v="Clelin Ferrell"/>
        <s v="Cole Fotheringham"/>
        <s v="Chase Garbers"/>
        <s v="Tyree Gillespie"/>
        <s v="Denzelle Good"/>
        <s v="Hroniss Grasu"/>
        <s v="Gerri Green"/>
        <s v="Justin Hall"/>
        <s v="Duron Harmon"/>
        <s v="Nate Hobbs"/>
        <s v="Mack Hollins"/>
        <s v="Jacob Hollister"/>
        <s v="Jesper Horsted"/>
        <s v="Josh Jacobs"/>
        <s v="Andre James"/>
        <s v="Jakob Johnson"/>
        <s v="Tyron Johnson"/>
        <s v="Chandler Jones"/>
        <s v="Micah Kiser"/>
        <s v="Malcolm Koonce"/>
        <s v="Tyler Lancaster"/>
        <s v="Alex Leatherwood"/>
        <s v="Cre'Von LeBlanc"/>
        <s v="Luke Masterson"/>
        <s v="Kolton Miller"/>
        <s v="Treâ€™von Moehrig"/>
        <s v="Foster Moreau"/>
        <s v="Nick Mullens"/>
        <s v="Thayer Munford Jr."/>
        <s v="Bamidele Olaseni"/>
        <s v="Brandon Parker"/>
        <s v="Kyle Peko"/>
        <s v="Denzel Perryman"/>
        <s v="Darius Phillips"/>
        <s v="Isaiah Pola-Mao"/>
        <s v="Hunter Renfrow"/>
        <s v="Amik Robertson"/>
        <s v="Demarcus Robinson"/>
        <s v="Trent Sieg"/>
        <s v="John Simpson"/>
        <s v="Jarrett Stidham"/>
        <s v="Myron Tagovailoa-Amosa"/>
        <s v="Roderic Teamer"/>
        <s v="DJ Turner"/>
        <s v="Zach VanValkenburg"/>
        <s v="Jordan Veasy"/>
        <s v="Kendal Vickers"/>
        <s v="Darren Waller"/>
        <s v="Sam Webb"/>
        <s v="Tyrone Wheatley Jr."/>
        <s v="Zamir White"/>
        <s v="Rock Ya-Sin"/>
        <s v="Kenny Young"/>
        <s v="Isaiah Zuber"/>
        <s v="Vernon Butler"/>
        <s v="Johnathan Hankins"/>
        <s v="Trayvon Mullen Jr."/>
        <s v="Bilal Nichols"/>
        <s v="Dillon Stoner"/>
        <s v="Sincere McCormick"/>
        <s v="Jamal Adams"/>
        <s v="Myles Adams"/>
        <s v="Deontez Alexander"/>
        <s v="Ugo Amadi"/>
        <s v="Cody Barton"/>
        <s v="Nick Bellore"/>
        <s v="Marquise Blair"/>
        <s v="Joey Blount"/>
        <s v="Austin Blythe"/>
        <s v="Bubba Bolden"/>
        <s v="Cade Brewer"/>
        <s v="Jordyn Brooks"/>
        <s v="Tre Brown"/>
        <s v="Coby Bryant"/>
        <s v="Artie Burns"/>
        <s v="Ben Burr-Kirven"/>
        <s v="Chris Carson"/>
        <s v="Justin Coleman"/>
        <s v="L.J. Collier"/>
        <s v="Charles Cross"/>
        <s v="Jake Curhan"/>
        <s v="DeeJay Dallas"/>
        <s v="Michael Dickson"/>
        <s v="Quandre Diggs"/>
        <s v="Will Dissly"/>
        <s v="Aaron Donkor"/>
        <s v="Jacob Eason"/>
        <s v="Greg Eiland"/>
        <s v="Dee Eskridge"/>
        <s v="Noah Fant"/>
        <s v="Poona Ford"/>
        <s v="Stone Forsythe"/>
        <s v="Aaron Fuller"/>
        <s v="Shamarious Gilmore"/>
        <s v="Marquise Goodwin"/>
        <s v="Matt Gotel"/>
        <s v="Shelby Harris"/>
        <s v="Penny Hart"/>
        <s v="Phil Haynes"/>
        <s v="Jarrod Hewitt"/>
        <s v="Travis Homer"/>
        <s v="Iggy Iyiegbuniwe"/>
        <s v="Gabe Jackson"/>
        <s v="Mike Jackson"/>
        <s v="Quinton Jefferson"/>
        <s v="Cade Johnson"/>
        <s v="Elijah Jones"/>
        <s v="Vi Jones"/>
        <s v="Sidney Jones IV"/>
        <s v="Kevin Kassis"/>
        <s v="Damien Lewis"/>
        <s v="Drew Lock"/>
        <s v="Tyler Lockett"/>
        <s v="Abraham Lucas"/>
        <s v="Tyler Mabry"/>
        <s v="Boye Mafe"/>
        <s v="Bo Melton"/>
        <s v="DK Metcalf"/>
        <s v="Bryan Mone"/>
        <s v="Tanner Muse"/>
        <s v="Jason Myers"/>
        <s v="Ryan Neal"/>
        <s v="Scott Nelson"/>
        <s v="Uchenna Nwosu"/>
        <s v="Joshua Onujiogu"/>
        <s v="Tyler Ott"/>
        <s v="Colby Parkinson"/>
        <s v="Rashaad Penny"/>
        <s v="John Reid"/>
        <s v="Jon Rhattigan"/>
        <s v="Alton Robinson"/>
        <s v="Liam Ryan"/>
        <s v="Dakoda Shepley"/>
        <s v="Geno Smith"/>
        <s v="Tyreke Smith"/>
        <s v="Freddie Swain"/>
        <s v="Darrell Taylor"/>
        <s v="Cody Thompson"/>
        <s v="Darwin Thompson"/>
        <s v="Josh Valentine-Turner"/>
        <s v="Kenneth Walker III"/>
        <s v="Deontai Williams"/>
        <s v="Lakiem Williams"/>
        <s v="Al Woods"/>
        <s v="Tariq Woolen"/>
        <s v="Dareke Young"/>
        <s v="Montravius Adams"/>
        <s v="Marcus Allen"/>
        <s v="Tyson Alualu"/>
        <s v="Daniel Archibong"/>
        <s v="Calvin Austin III"/>
        <s v="Genard Avery"/>
        <s v="Chris Boswell"/>
        <s v="Miles Boykin"/>
        <s v="Devin Bush"/>
        <s v="Chase Claypool"/>
        <s v="Mason Cole"/>
        <s v="Doug Costin"/>
        <s v="James Daniels"/>
        <s v="Carlos Davis"/>
        <s v="Khalil Davis"/>
        <s v="Jake Dixon"/>
        <s v="Kevin Dotson"/>
        <s v="Mataeo Durant"/>
        <s v="Terrell Edmunds"/>
        <s v="Trey Edmunds"/>
        <s v="Minkah Fitzpatrick"/>
        <s v="Pat Freiermuth"/>
        <s v="Zach Gentry"/>
        <s v="Ulysees Gilbert III"/>
        <s v="Nate Gilliam"/>
        <s v="Chaz Green"/>
        <s v="Kendrick Green"/>
        <s v="Joe Haeg"/>
        <s v="Najee Harris"/>
        <s v="Pressley Harvin III"/>
        <s v="J.C. Hassenauer"/>
        <s v="Cameron Heyward"/>
        <s v="Connor Heyward"/>
        <s v="Alex Highsmith"/>
        <s v="Myles Jack"/>
        <s v="Donovan Jeter"/>
        <s v="Buddy Johnson"/>
        <s v="Diontae Johnson"/>
        <s v="Tyree Johnson"/>
        <s v="Karl Joseph"/>
        <s v="Damontae Kazee"/>
        <s v="Miles Killebrew"/>
        <s v="Christian Kuntz"/>
        <s v="Justin Layne"/>
        <s v="DeMarvin Leal"/>
        <s v="John Leglue"/>
        <s v="Isaiahh Loudermilk"/>
        <s v="Arthur Maulet"/>
        <s v="Anthony McFarland Jr."/>
        <s v="Anthony Miller"/>
        <s v="Henry Mondeaux"/>
        <s v="Dan Moore Jr."/>
        <s v="T.D. Moultry"/>
        <s v="Cameron Nizialek"/>
        <s v="Tre Norwood"/>
        <s v="Larry Ogunjobi"/>
        <s v="Chukwuma Okorafor"/>
        <s v="Chris Oladokun"/>
        <s v="Gunner Olszewski"/>
        <s v="Chris Owens"/>
        <s v="George Pickens"/>
        <s v="Kenny Pickett"/>
        <s v="James Pierre"/>
        <s v="Carlins Platel"/>
        <s v="Kevin Rader"/>
        <s v="Mark Robinson"/>
        <s v="Mason Rudolph"/>
        <s v="Nick Sciba"/>
        <s v="Delontae Scott"/>
        <s v="Trent Scott"/>
        <s v="Steven Sims"/>
        <s v="Tuzar Skipper"/>
        <s v="Tyler Snead"/>
        <s v="Benny Snell Jr."/>
        <s v="Robert Spillane"/>
        <s v="Chris Steele"/>
        <s v="Linden Stephens"/>
        <s v="Jace Sternberger"/>
        <s v="Donovan Stiner"/>
        <s v="Cameron Sutton"/>
        <s v="Mitch Trubisky"/>
        <s v="Jordan Tucker"/>
        <s v="Derrek Tuszka"/>
        <s v="Tyler Vaughns"/>
        <s v="Levi Wallace"/>
        <s v="Jaylen Warren"/>
        <s v="Derek Watt"/>
        <s v="T.J. Watt"/>
        <s v="Cody White"/>
        <s v="Ahkello Witherspoon"/>
        <s v="Chris Wormley"/>
        <s v="Ola Adeniyi"/>
        <s v="David Anenih"/>
        <s v="Denico Autry"/>
        <s v="Tre Avery"/>
        <s v="Randy Bullock"/>
        <s v="Treylon Burks"/>
        <s v="Kevin Byard"/>
        <s v="Chance Campbell"/>
        <s v="Trenton Cannon"/>
        <s v="Shyheim Carter"/>
        <s v="Tory Carter"/>
        <s v="Julius Chestnut"/>
        <s v="Rodney Clemons"/>
        <s v="Dylan Cole"/>
        <s v="Morgan Cox"/>
        <s v="Zach Cunningham"/>
        <s v="Nate Davis"/>
        <s v="Christian DiLauro"/>
        <s v="Bud Dupree"/>
        <s v="Caleb Farley"/>
        <s v="Dez Fitzpatrick"/>
        <s v="Kristian Fulton"/>
        <s v="Haskell Garrett"/>
        <s v="Kenneth George Jr."/>
        <s v="Jack Gibbens"/>
        <s v="Carson Green"/>
        <s v="Juwan Green"/>
        <s v="Michael Griffin"/>
        <s v="Da'Shawn Hand"/>
        <s v="Hassan Haskins"/>
        <s v="Derrick Henry"/>
        <s v="Dontrell Hilliard"/>
        <s v="Cody Hollister"/>
        <s v="Amani Hooker"/>
        <s v="Austin Hooper"/>
        <s v="Hayden Howerton"/>
        <s v="Tommy Hudson"/>
        <s v="Chris Jackson"/>
        <s v="Theo Jackson"/>
        <s v="Ben Jones"/>
        <s v="Jamarco Jones"/>
        <s v="Joe Jones"/>
        <s v="Naquan Jones"/>
        <s v="Brett Kern"/>
        <s v="Mason Kinsey"/>
        <s v="Harold Landry III"/>
        <s v="Justin Lawler"/>
        <s v="Corey Levin"/>
        <s v="Taylor Lewan"/>
        <s v="Brandon Lewis"/>
        <s v="David Long Jr."/>
        <s v="Greg Mabin"/>
        <s v="Josh Malone"/>
        <s v="Roger McCreary"/>
        <s v="Jalen McKenzie"/>
        <s v="Racey McMath"/>
        <s v="Elijah Molden"/>
        <s v="Briley Moore"/>
        <s v="A.J. Moore"/>
        <s v="Daniel Munyer"/>
        <s v="Larrell Murchison"/>
        <s v="Xavier Newman"/>
        <s v="Thomas Odukoya"/>
        <s v="Chigoziem Okonkwo"/>
        <s v="Sam Okuayinonu"/>
        <s v="Jayden Peevy"/>
        <s v="Nicholas Petit-Frere"/>
        <s v="Kyle Philips"/>
        <s v="Dillon Radunz"/>
        <s v="Monty Rice"/>
        <s v="Reggie Roberson Jr."/>
        <s v="Jordan Roos"/>
        <s v="Andrew Rupcich"/>
        <s v="Caleb Shudak"/>
        <s v="Jeffery Simmons"/>
        <s v="Buster Skrine"/>
        <s v="Ryan Stonehouse"/>
        <s v="Kevin Strong"/>
        <s v="Geoff Swaim"/>
        <s v="Tre Swilling"/>
        <s v="Ryan Tannehill"/>
        <s v="Teair Tart"/>
        <s v="DeMarcus Walker"/>
        <s v="Rashad Weaver"/>
        <s v="Nick Westbrook-Ikhine"/>
        <s v="Jordan Wilkins"/>
        <s v="Chris Williamson"/>
        <s v="Malik Willis"/>
        <s v="Robert Woods"/>
        <s v="Logan Woodside"/>
        <s v="Cam Akers"/>
        <s v="Brian Allen"/>
        <s v="Tremayne Anchrum Jr."/>
        <s v="AJ Arcuri"/>
        <s v="Kendall Blanton"/>
        <s v="Bobby Brown III"/>
        <s v="Logan Bruss"/>
        <s v="Terrell Burgess"/>
        <s v="Roger Carter Jr."/>
        <s v="TJ Carter"/>
        <s v="Marquise Copeland"/>
        <s v="Caesar Dancy-Williams"/>
        <s v="Cameron Dicker"/>
        <s v="Riley Dixon"/>
        <s v="Aaron Donald"/>
        <s v="Cobie Durant"/>
        <s v="David Edwards"/>
        <s v="Bobby Evans"/>
        <s v="Leonard Floyd"/>
        <s v="Jake Funk"/>
        <s v="Greg Gaines"/>
        <s v="Elijah Garcia"/>
        <s v="Chris Garrett"/>
        <s v="Matt Gay"/>
        <s v="Jake Gervase"/>
        <s v="Grant Haley"/>
        <s v="Daniel Hardy"/>
        <s v="Rob Havenstein"/>
        <s v="Darrell Henderson Jr."/>
        <s v="Troy Hill"/>
        <s v="Michael Hoecht"/>
        <s v="Justin Hollins"/>
        <s v="Brycen Hopkins"/>
        <s v="Travin Howard"/>
        <s v="Jake Hummel"/>
        <s v="Dan Isom"/>
        <s v="AJ Jackson"/>
        <s v="Van Jefferson"/>
        <s v="Ernest Jones"/>
        <s v="Derion Kendrick"/>
        <s v="Cooper Kupp"/>
        <s v="Quentin Lake"/>
        <s v="Terrell Lewis"/>
        <s v="Duron Lowe"/>
        <s v="Lance McCutcheon"/>
        <s v="Jairon McVea"/>
        <s v="Matthew Orzech"/>
        <s v="Bryce Perkins"/>
        <s v="Jamal Pettigrew"/>
        <s v="Jared Pinkney"/>
        <s v="Brandon Powell"/>
        <s v="Jalen Ramsey"/>
        <s v="Taylor Rapp"/>
        <s v="A'Shawn Robinson"/>
        <s v="Allen Robinson II"/>
        <s v="A.J. Rose"/>
        <s v="Christian Rozeboom"/>
        <s v="Nick Scott"/>
        <s v="Coleman Shelton"/>
        <s v="Ben Skowronek"/>
        <s v="Jack Snyder"/>
        <s v="Matthew Stafford"/>
        <s v="Brayden Thomas"/>
        <s v="Keir Thomas"/>
        <s v="Bobby Wagner"/>
        <s v="Benton Whitley"/>
        <s v="Kyren Williams"/>
        <s v="John Wolford"/>
        <s v="Russ Yeast II"/>
        <s v="Landen Akers"/>
        <s v="Chandler Brewer"/>
        <s v="Earnest Brown IV"/>
        <s v="Adrian Ealy"/>
        <s v="Tyler Hall"/>
        <s v="Anthony Hines III"/>
        <s v="Warren Jackson"/>
        <s v="Jeremiah Kolone"/>
        <s v="J.J. Koski"/>
        <s v="Kyle Markway"/>
        <s v="Max Pircher"/>
        <s v="Tutu Atwell"/>
        <s v="Raymond Calais"/>
        <s v="Jordan Fuller"/>
        <s v="Jacob Harris"/>
        <s v="Tyler Higbee"/>
        <s v="Xavier Jones"/>
        <s v="Joe Noteboom"/>
        <s v="Robert Rochell"/>
        <s v="Brian Asamoah"/>
        <s v="Jake Bargas"/>
        <s v="Jordan Berry"/>
        <s v="Andrew Booth Jr."/>
        <s v="Kris Boyd"/>
        <s v="Garrett Bradbury"/>
        <s v="Blake Brandel"/>
        <s v="Mike Brown"/>
        <s v="Jonathan Bullard"/>
        <s v="Camryn Bynum"/>
        <s v="Ty Chandler"/>
        <s v="Dan Chisena"/>
        <s v="Lewis Cine"/>
        <s v="Ezra Cleveland"/>
        <s v="Ryan Connelly"/>
        <s v="Dalvin Cook"/>
        <s v="Kirk Cousins"/>
        <s v="Cameron Dantzler"/>
        <s v="Christian Darrisaw"/>
        <s v="Zach Davidson"/>
        <s v="Jesse Davis"/>
        <s v="Wyatt Davis"/>
        <s v="Andrew DePaola"/>
        <s v="Myles Dorn"/>
        <s v="Troy Dye"/>
        <s v="Ben Ellefson"/>
        <s v="Akayleb Evans"/>
        <s v="Nate Hairston"/>
        <s v="C.J. Ham"/>
        <s v="Harrison Hand"/>
        <s v="Thomas Hennigan"/>
        <s v="Jordan Hicks"/>
        <s v="Kyle Hinton"/>
        <s v="Danielle Hunter"/>
        <s v="Ed Ingram"/>
        <s v="Trishton Jackson"/>
        <s v="Justin Jefferson"/>
        <s v="Bisi Johnson"/>
        <s v="Patrick Jones II"/>
        <s v="Greg Joseph"/>
        <s v="Eric Kendricks"/>
        <s v="Bryant Koback"/>
        <s v="William Kwenkeu"/>
        <s v="Vederian Lowe"/>
        <s v="Blake Lynch"/>
        <s v="James Lynch"/>
        <s v="Sean Mannion"/>
        <s v="Alexander Mattison"/>
        <s v="Zach McCloud"/>
        <s v="T.Y. McGill"/>
        <s v="Josh Metellus"/>
        <s v="Andre Mintze"/>
        <s v="Myron Mitchell"/>
        <s v="Kellen Mond"/>
        <s v="Johnny Mundt"/>
        <s v="Nick Muse"/>
        <s v="Jalen Nailor"/>
        <s v="Parry Nickerson"/>
        <s v="Kene Nwangwu"/>
        <s v="Brian O'Neill"/>
        <s v="K.J. Osborn"/>
        <s v="Esezi Otomewo"/>
        <s v="Timon Parris"/>
        <s v="Patrick Peterson"/>
        <s v="Harrison Phillips"/>
        <s v="Blake Proehl"/>
        <s v="Chris Reed"/>
        <s v="Janarius Robinson"/>
        <s v="Austin Schlottmann"/>
        <s v="Ihmir Smith-Marsette"/>
        <s v="Harrison Smith"/>
        <s v="Irv Smith Jr."/>
        <s v="T.J. Smith"/>
        <s v="Tye Smith"/>
        <s v="Za'Darius Smith"/>
        <s v="Josh Sokol"/>
        <s v="Tyarise Stevenson"/>
        <s v="Chandon Sullivan"/>
        <s v="Chazz Surratt"/>
        <s v="Jullian Taylor"/>
        <s v="Adam Thielen"/>
        <s v="Dalvin Tomlinson"/>
        <s v="Jaylen Twyman"/>
        <s v="Olisaemeka Udoh"/>
        <s v="Luiji Vilain"/>
        <s v="Armon Watts"/>
        <s v="Albert Wilson"/>
        <s v="D.J. Wonnum"/>
        <s v="Ryan Wright"/>
        <s v="Jamil Demby" u="1"/>
        <s v="Josh Turner" u="1"/>
        <s v="Nate Stanley" u="1"/>
        <s v="Roger Carter" u="1"/>
        <s v="Dallin Leavitt" u="1"/>
        <s v="Jordan Meredith" u="1"/>
        <s v="Malkelm Morrison" u="1"/>
        <s v="Levi Jones" u="1"/>
        <s v="Joel Iyiegbuniwe" u="1"/>
        <s v="Dont'e Deayon" u="1"/>
        <s v="Russ Yeast" u="1"/>
      </sharedItems>
    </cacheField>
    <cacheField name="#" numFmtId="0">
      <sharedItems containsString="0" containsBlank="1" containsNumber="1" containsInteger="1" minValue="0" maxValue="99" count="101">
        <n v="11"/>
        <n v="51"/>
        <n v="91"/>
        <n v="77"/>
        <n v="65"/>
        <n v="58"/>
        <n v="97"/>
        <n v="64"/>
        <n v="60"/>
        <n v="74"/>
        <n v="48"/>
        <n v="36"/>
        <n v="32"/>
        <n v="93"/>
        <n v="31"/>
        <n v="82"/>
        <n v="56"/>
        <n v="45"/>
        <n v="55"/>
        <n v="49"/>
        <n v="10"/>
        <n v="47"/>
        <n v="90"/>
        <n v="9"/>
        <n v="86"/>
        <n v="57"/>
        <n v="23"/>
        <n v="41"/>
        <n v="40"/>
        <n v="24"/>
        <n v="84"/>
        <n v="29"/>
        <n v="96"/>
        <n v="92"/>
        <n v="95"/>
        <n v="15"/>
        <n v="27"/>
        <n v="13"/>
        <n v="6"/>
        <n v="44"/>
        <n v="99"/>
        <n v="85"/>
        <n v="43"/>
        <n v="5"/>
        <n v="38"/>
        <n v="81"/>
        <n v="18"/>
        <n v="83"/>
        <n v="88"/>
        <n v="3"/>
        <n v="69"/>
        <n v="68"/>
        <n v="25"/>
        <n v="76"/>
        <n v="33"/>
        <n v="4"/>
        <n v="14"/>
        <n v="30"/>
        <n v="94"/>
        <n v="46"/>
        <n v="62"/>
        <n v="98"/>
        <n v="59"/>
        <n v="19"/>
        <n v="78"/>
        <n v="28"/>
        <n v="67"/>
        <n v="7"/>
        <n v="66"/>
        <n v="20"/>
        <n v="53"/>
        <n v="17"/>
        <n v="2"/>
        <n v="35"/>
        <n v="1"/>
        <n v="54"/>
        <n v="61"/>
        <n v="71"/>
        <n v="75"/>
        <n v="22"/>
        <n v="89"/>
        <n v="26"/>
        <n v="63"/>
        <n v="37"/>
        <n v="39"/>
        <n v="16"/>
        <n v="80"/>
        <n v="87"/>
        <n v="79"/>
        <n v="52"/>
        <m/>
        <n v="34"/>
        <n v="12"/>
        <n v="42"/>
        <n v="21"/>
        <n v="70"/>
        <n v="8"/>
        <n v="73"/>
        <n v="72"/>
        <n v="50"/>
        <n v="0" u="1"/>
      </sharedItems>
    </cacheField>
    <cacheField name="Pos" numFmtId="0">
      <sharedItems count="43">
        <s v="WR"/>
        <s v="LB"/>
        <s v="DL"/>
        <s v="OL"/>
        <s v="CB"/>
        <s v="RB"/>
        <s v="TE"/>
        <s v="QB"/>
        <s v="K"/>
        <s v="S"/>
        <s v="FB"/>
        <s v="DT"/>
        <s v="DB"/>
        <s v="T"/>
        <s v="LS"/>
        <s v="C"/>
        <s v="P"/>
        <s v="OLB"/>
        <s v="DE"/>
        <s v="ILB"/>
        <s v="G"/>
        <s v="FS"/>
        <s v="MLB"/>
        <s v="SS"/>
        <s v="T/G" u="1"/>
        <s v="OT" u="1"/>
        <s v="G/DT" u="1"/>
        <s v="DE/OLB" u="1"/>
        <s v="FB/TE" u="1"/>
        <s v="G/C" u="1"/>
        <s v="DT/DE" u="1"/>
        <s v="Guard" u="1"/>
        <s v="WR/RB" u="1"/>
        <s v="TE/FB" u="1"/>
        <s v="NT" u="1"/>
        <s v="HB" u="1"/>
        <s v="C/G" u="1"/>
        <s v="EDGE" u="1"/>
        <s v="FB/DL" u="1"/>
        <s v="G/T" u="1"/>
        <s v="CB/S" u="1"/>
        <s v="WR/RS" u="1"/>
        <s v="SAF" u="1"/>
      </sharedItems>
    </cacheField>
    <cacheField name="HT" numFmtId="0">
      <sharedItems count="19">
        <s v="6-0"/>
        <s v="6'2"/>
        <s v="6-7"/>
        <s v="6-2"/>
        <s v="6-5"/>
        <s v="6-4"/>
        <s v="6-3"/>
        <s v="6-1"/>
        <s v="5-11"/>
        <s v="6-6"/>
        <s v="6-9"/>
        <s v="5-8"/>
        <s v="5-10"/>
        <s v="5-9"/>
        <s v="6-8"/>
        <s v="5-7"/>
        <s v=""/>
        <s v="5-6"/>
        <s v="6-11"/>
      </sharedItems>
    </cacheField>
    <cacheField name="WT" numFmtId="0">
      <sharedItems containsString="0" containsBlank="1" containsNumber="1" containsInteger="1" minValue="135" maxValue="3350" count="234">
        <n v="200"/>
        <n v="228"/>
        <n v="290"/>
        <n v="307"/>
        <n v="325"/>
        <n v="250"/>
        <n v="266"/>
        <n v="299"/>
        <n v="300"/>
        <n v="233"/>
        <n v="197"/>
        <n v="219"/>
        <n v="310"/>
        <n v="202"/>
        <n v="235"/>
        <n v="245"/>
        <n v="223"/>
        <n v="252"/>
        <n v="248"/>
        <n v="225"/>
        <n v="285"/>
        <n v="190"/>
        <n v="230"/>
        <n v="332"/>
        <n v="205"/>
        <n v="196"/>
        <n v="239"/>
        <n v="291"/>
        <n v="275"/>
        <n v="273"/>
        <n v="212"/>
        <n v="201"/>
        <n v="207"/>
        <n v="319"/>
        <n v="199"/>
        <n v="224"/>
        <n v="215"/>
        <n v="185"/>
        <n v="236"/>
        <n v="214"/>
        <n v="301"/>
        <n v="311"/>
        <n v="210"/>
        <n v="220"/>
        <n v="280"/>
        <n v="305"/>
        <n v="309"/>
        <n v="315"/>
        <n v="227"/>
        <n v="253"/>
        <n v="188"/>
        <n v="195"/>
        <n v="320"/>
        <n v="270"/>
        <n v="213"/>
        <n v="241"/>
        <n v="187"/>
        <n v="316"/>
        <n v="175"/>
        <n v="191"/>
        <n v="182"/>
        <n v="303"/>
        <n v="240"/>
        <n v="256"/>
        <n v="232"/>
        <n v="194"/>
        <n v="234"/>
        <n v="294"/>
        <n v="308"/>
        <n v="208"/>
        <n v="192"/>
        <n v="261"/>
        <n v="183"/>
        <n v="323"/>
        <n v="229"/>
        <n v="242"/>
        <n v="222"/>
        <n v="237"/>
        <n v="306"/>
        <n v="268"/>
        <n v="246"/>
        <n v="350"/>
        <n v="330"/>
        <n v="296"/>
        <n v="329"/>
        <n v="221"/>
        <n v="193"/>
        <n v="281"/>
        <n v="189"/>
        <n v="170"/>
        <n v="260"/>
        <n v="292"/>
        <n v="265"/>
        <n v="295"/>
        <n v="284"/>
        <n v="324"/>
        <n v="335"/>
        <n v="288"/>
        <n v="184"/>
        <n v="304"/>
        <n v="247"/>
        <n v="249"/>
        <n v="314"/>
        <n v="180"/>
        <n v="298"/>
        <n v="255"/>
        <n v="262"/>
        <n v="238"/>
        <n v="321"/>
        <n v="206"/>
        <n v="217"/>
        <n v="357"/>
        <n v="313"/>
        <n v="380"/>
        <n v="226"/>
        <n v="312"/>
        <n v="211"/>
        <n v="345"/>
        <n v="327"/>
        <n v="326"/>
        <n v="263"/>
        <n v="251"/>
        <n v="176"/>
        <n v="204"/>
        <n v="209"/>
        <n v="203"/>
        <n v="135"/>
        <n v="272"/>
        <n v="346"/>
        <n v="181"/>
        <n v="340"/>
        <n v="177"/>
        <n v="174"/>
        <n v="231"/>
        <n v="293"/>
        <n v="218"/>
        <n v="258"/>
        <n v="271"/>
        <n v="287"/>
        <n v="338"/>
        <n v="155"/>
        <n v="259"/>
        <n v="347"/>
        <n v="283"/>
        <n v="302"/>
        <n v="244"/>
        <n v="254"/>
        <n v="173"/>
        <n v="289"/>
        <n v="198"/>
        <n v="243"/>
        <n v="216"/>
        <n v="322"/>
        <n v="317"/>
        <n v="333"/>
        <n v="277"/>
        <n v="186"/>
        <n v="166"/>
        <n v="257"/>
        <n v="267"/>
        <n v="172"/>
        <n v="328"/>
        <n v="178"/>
        <n v="276"/>
        <n v="3000"/>
        <n v="2050"/>
        <n v="2550"/>
        <n v="2930"/>
        <n v="2590"/>
        <n v="3220"/>
        <n v="2150"/>
        <n v="2540"/>
        <n v="1950"/>
        <n v="1910"/>
        <n v="3100"/>
        <n v="2370"/>
        <n v="3090"/>
        <n v="1980"/>
        <n v="2340"/>
        <n v="1820"/>
        <n v="1850"/>
        <n v="2250"/>
        <n v="2000"/>
        <n v="2230"/>
        <n v="2200"/>
        <n v="3110"/>
        <n v="2450"/>
        <n v="2100"/>
        <n v="2400"/>
        <n v="1890"/>
        <n v="1900"/>
        <n v="2500"/>
        <n v="3350"/>
        <n v="3120"/>
        <n v="3020"/>
        <n v="3270"/>
        <n v="1960"/>
        <n v="3200"/>
        <m/>
        <n v="2650"/>
        <n v="3240"/>
        <n v="2600"/>
        <n v="2280"/>
        <n v="2730"/>
        <n v="2130"/>
        <n v="1880"/>
        <n v="2620"/>
        <n v="2380"/>
        <n v="3080"/>
        <n v="2170"/>
        <n v="2850"/>
        <n v="2640"/>
        <n v="360"/>
        <n v="297"/>
        <n v="264"/>
        <n v="318"/>
        <n v="274"/>
        <n v="278"/>
        <n v="334"/>
        <n v="342"/>
        <n v="279"/>
        <n v="179"/>
        <n v="269"/>
        <n v="339"/>
        <n v="363"/>
        <n v="370"/>
        <n v="336"/>
        <n v="167"/>
        <n v="365"/>
        <n v="341"/>
        <n v="162"/>
        <n v="165"/>
        <n v="282"/>
        <n v="159" u="1"/>
      </sharedItems>
    </cacheField>
    <cacheField name="Age" numFmtId="0">
      <sharedItems containsString="0" containsBlank="1" containsNumber="1" containsInteger="1" minValue="20" maxValue="44" count="22">
        <n v="24"/>
        <n v="28"/>
        <n v="23"/>
        <n v="29"/>
        <n v="22"/>
        <n v="27"/>
        <n v="21"/>
        <n v="30"/>
        <n v="25"/>
        <n v="31"/>
        <n v="39"/>
        <n v="26"/>
        <n v="34"/>
        <m/>
        <n v="32"/>
        <n v="33"/>
        <n v="35"/>
        <n v="37"/>
        <n v="20"/>
        <n v="38"/>
        <n v="44"/>
        <n v="36"/>
      </sharedItems>
    </cacheField>
    <cacheField name="Exp" numFmtId="0">
      <sharedItems count="21">
        <s v="3"/>
        <s v="4"/>
        <s v="8"/>
        <s v="R"/>
        <s v="2"/>
        <s v="6"/>
        <s v="5"/>
        <s v="9"/>
        <s v="18"/>
        <s v="1"/>
        <s v="7"/>
        <s v="10"/>
        <s v="12"/>
        <s v="11"/>
        <s v="19"/>
        <s v="13"/>
        <s v="16"/>
        <s v="15"/>
        <s v="17"/>
        <s v="14"/>
        <s v="23"/>
      </sharedItems>
    </cacheField>
    <cacheField name="College" numFmtId="0">
      <sharedItems count="348">
        <s v="Arizona State"/>
        <s v="Florida Atlantic"/>
        <s v="Oregon"/>
        <s v="Fresno State"/>
        <s v="Notre Dame"/>
        <s v="San Diego State"/>
        <s v="Ohio State"/>
        <s v="UCLA"/>
        <s v="Texas-San Antonio"/>
        <s v="Vanderbilt"/>
        <s v="Penn State"/>
        <s v="LSU"/>
        <s v="Central Florida"/>
        <s v="Michigan State"/>
        <s v="San Diego"/>
        <s v="Eastern Washington"/>
        <s v="Arizona"/>
        <s v="Auburn"/>
        <s v="Wisconsin"/>
        <s v="Eastern Illinois"/>
        <s v="North Carolina"/>
        <s v="SMU"/>
        <s v="Arkansas"/>
        <s v="TecnolÃ³gico de Monterrey"/>
        <s v="Baylor"/>
        <s v="Toledo"/>
        <s v="Southern Arkansas"/>
        <s v="USC"/>
        <s v="Michigan"/>
        <s v="Texas Tech"/>
        <s v="Tennessee"/>
        <s v="North Carolina State"/>
        <s v="Texas"/>
        <s v="Harvard"/>
        <s v="South Carolina"/>
        <s v="Iowa"/>
        <s v="Rutgers"/>
        <s v="North Dakota State"/>
        <s v="Pittsburgh"/>
        <s v="Oklahoma State"/>
        <s v="Georgia Tech"/>
        <s v="Clemson"/>
        <s v="Indiana"/>
        <s v="West Virginia"/>
        <s v="Louisiana"/>
        <s v="Western Michigan"/>
        <s v="Southern Mississippi"/>
        <s v="Texas A&amp;M"/>
        <s v="Central Arkansas"/>
        <s v="Mercer"/>
        <s v="Iowa State"/>
        <s v="Stanford"/>
        <s v="Minnesota"/>
        <s v="Illinois"/>
        <s v="TCU"/>
        <s v="Middle Tennessee State"/>
        <s v="Northern Illinois"/>
        <s v="BYU"/>
        <s v="Oklahoma"/>
        <s v="Kansas State"/>
        <s v="North Texas"/>
        <s v="Utah"/>
        <s v="Georgia"/>
        <s v="Fordham"/>
        <s v="Tusculum College"/>
        <s v="Montana State"/>
        <s v="Washburn"/>
        <s v="Prairie View A&amp;M"/>
        <s v="Ferris State"/>
        <s v="California"/>
        <s v="Louisville"/>
        <s v="Alabama"/>
        <s v="Southeast Missouri State"/>
        <s v="Florida State"/>
        <s v="Appalachian State"/>
        <s v="California (PA)"/>
        <s v="Florida"/>
        <s v="Temple"/>
        <s v="Ball State"/>
        <s v="CCSU"/>
        <s v="Georgia Southern"/>
        <s v="Colorado"/>
        <s v="Washington"/>
        <s v="Boston College"/>
        <s v="Wake Forest"/>
        <s v="Western Kentucky"/>
        <s v="James Madison"/>
        <s v="Northwestern"/>
        <s v="Cincinnati"/>
        <s v="UC Davis"/>
        <s v="UAB"/>
        <s v="San Jose State"/>
        <s v="Houston"/>
        <s v="Portland State"/>
        <s v="UMass Amherst"/>
        <s v="Boise State"/>
        <s v="Virginia"/>
        <s v="Missouri"/>
        <s v="Duke"/>
        <s v="Tulsa"/>
        <s v="Syracuse"/>
        <s v="Virginia Tech"/>
        <s v="Sioux Falls"/>
        <s v="Washington State"/>
        <s v="South Carolina State"/>
        <s v="Oregon State"/>
        <s v="Texas-El Paso"/>
        <s v="Massachusetts"/>
        <s v="Miami"/>
        <s v="Colorado State"/>
        <s v="Liberty"/>
        <s v="Purdue"/>
        <s v="Valdosta State"/>
        <s v="Morgan State"/>
        <s v="None"/>
        <s v="Austria"/>
        <s v="Hawaii"/>
        <s v="Utah State"/>
        <s v="Central Michigan"/>
        <s v="Delaware"/>
        <s v="Fort Valley State College"/>
        <s v="Navy"/>
        <s v="UNLV"/>
        <s v="Connecticut"/>
        <s v="Coastal Carolina"/>
        <s v="Tennessee-Chattanooga"/>
        <s v="Saginaw Valley State"/>
        <s v="Buffalo"/>
        <s v="Tennessee-Martin"/>
        <s v="Holy Cross"/>
        <s v="Stephen F. Austin State"/>
        <s v="Mississippi State"/>
        <s v="Samford"/>
        <s v="Maine"/>
        <s v="Newberry"/>
        <s v="The Citadel"/>
        <s v="Villanova"/>
        <s v="Nebraska"/>
        <s v="Kansas"/>
        <s v="Western Carolina"/>
        <s v="Mississippi"/>
        <s v="Humboldt State"/>
        <s v="Colgate"/>
        <s v="Peru State College (Ne)"/>
        <s v="Maryland"/>
        <s v="Kentucky"/>
        <s v="Tulane"/>
        <s v="East Carolina"/>
        <s v="Miami (Ohio)"/>
        <s v="Eastern Kentucky"/>
        <s v="Louisiana Tech"/>
        <s v="South Florida"/>
        <s v="Wyoming"/>
        <s v="Wisconsin River Falls"/>
        <s v="Montana"/>
        <s v="Stony Brook"/>
        <s v="South Dakota State"/>
        <s v="Wagner"/>
        <s v="Regina"/>
        <s v="Yale"/>
        <s v="Northwestern State (LA)"/>
        <s v="Colorado State-Pueblo"/>
        <s v="Rice"/>
        <s v="Sam Houston State"/>
        <s v="Southeastern Oklahoma State"/>
        <s v="Bowling Green"/>
        <s v="Eastern Michigan"/>
        <s v="Arkansas State"/>
        <s v="Memphis"/>
        <s v="Limestone"/>
        <s v="Assumption"/>
        <s v="Old Dominion"/>
        <s v="Hobart"/>
        <s v="Northern Iowa"/>
        <s v="Pennsylvania"/>
        <s v="Weber State"/>
        <s v="Wisconsin-Whitewater"/>
        <s v="Jacksonville State"/>
        <s v="NW Missouri State"/>
        <s v="Sacramento State"/>
        <s v="Army"/>
        <s v="Akron"/>
        <s v="Charlotte"/>
        <s v="Western State Colorado"/>
        <s v="South Alabama"/>
        <s v="Bloomsburg"/>
        <s v="Indiana (Pa.)"/>
        <s v="Findlay"/>
        <s v="Stetson University"/>
        <s v="Louisiana-Monroe"/>
        <s v="William &amp; Mary"/>
        <s v="West Georgia"/>
        <s v="Southern"/>
        <s v="Rhode Island"/>
        <s v="Bucknell"/>
        <s v="Simon Fraser"/>
        <s v="Houston Baptist University"/>
        <s v="Southern Utah State"/>
        <s v="Dubuque"/>
        <s v="Western Illinois"/>
        <s v="East Central"/>
        <s v="Greenville"/>
        <s v="Illinois State"/>
        <s v="Tennessee State"/>
        <s v="Northern Arizona"/>
        <s v="Ohio"/>
        <s v="Furman"/>
        <s v="South Dakota"/>
        <s v="Kent State"/>
        <s v="Missouri Western"/>
        <s v="Marshall"/>
        <s v=""/>
        <s v="Missouri S&amp;T"/>
        <s v="Fayetteville State University"/>
        <s v="West Florida"/>
        <s v="Nevada"/>
        <s v="New Mexico"/>
        <s v="University of St. Thomas"/>
        <s v="Grambling State"/>
        <s v="Virginia Commonwealth"/>
        <s v="Stuttgart"/>
        <s v="Malone University"/>
        <s v="Pittsburg State (KS)"/>
        <s v="Missouri State"/>
        <s v="York (Canada)"/>
        <s v="Alberta (Canada)"/>
        <s v="Youngstown State"/>
        <s v="Texas State"/>
        <s v="Florida International"/>
        <s v="Tarleton State"/>
        <s v="Albany State (Ga.)"/>
        <s v="Charleston"/>
        <s v="Southern University"/>
        <s v="Southeastern Louisiana"/>
        <s v="Air Force"/>
        <s v="Shepherd"/>
        <s v="Southern Illinois"/>
        <s v="Loyola University"/>
        <s v="Idaho"/>
        <s v="Monterrey Tech"/>
        <s v="Florida A&amp;M"/>
        <s v="Central Florida CC"/>
        <s v="Texas A&amp;M-Commerce"/>
        <s v="North Dakota"/>
        <s v="Northern Colorado"/>
        <s v="Indiana State"/>
        <s v="Minot State University"/>
        <s v="Lindenwood"/>
        <s v="Drake"/>
        <s v="Jackson State"/>
        <s v="Bryant"/>
        <s v="Wayne St."/>
        <s v="Norfolk State"/>
        <s v="Kutztown"/>
        <s v="Minnesota State"/>
        <s v="Arkansas-Pine Bluff"/>
        <s v="Wesley"/>
        <s v="Dartmouth"/>
        <s v="Albany"/>
        <s v="Troy"/>
        <s v="Laval"/>
        <s v="Alabama State"/>
        <s v="Missouri Western State"/>
        <s v="Wisconsin-Platteville"/>
        <s v="St. John's (Minn.)"/>
        <s v="Ouachita Baptist University"/>
        <s v="Canisius College"/>
        <s v="North Carolina Central"/>
        <s v="Nottingham"/>
        <s v="Brown"/>
        <s v="Idaho State"/>
        <s v="West Alabama"/>
        <s v="Princeton"/>
        <s v="Ashland"/>
        <s v="Marian"/>
        <s v="Nicholls State"/>
        <s v="New Mexico State"/>
        <s v="Assumption College"/>
        <s v="Georgia State"/>
        <s v="Manitoba (Canada)"/>
        <s v="Dayton"/>
        <s v="Austin Peay"/>
        <s v="Fort Hays State"/>
        <s v="Murray State"/>
        <s v="North Carolina A&amp;T"/>
        <s v="Concordia (Minn.)"/>
        <s v="Presbyterian"/>
        <s v="University of Windsor"/>
        <s v="Lenoir-Rhyne"/>
        <s v="Grand Valley"/>
        <s v="Friends U."/>
        <s v="Kentucky Wesleyan"/>
        <s v="Mars Hill"/>
        <s v="Franklin College of Indiana"/>
        <s v="Marist"/>
        <s v="Framingham State College"/>
        <s v="University of British Columbia"/>
        <s v="Duquesne"/>
        <s v="Bemidji State"/>
        <s v="Virginia State"/>
        <s v="Sacred Heart University"/>
        <s v="Berry College"/>
        <s v="Culver-Stockton College"/>
        <s v="Concordia College St. Paul"/>
        <s v="Azusa Pacific"/>
        <s v="McNeese State"/>
        <s v="Cal Poly"/>
        <s v="Italy"/>
        <s v="Central Missouri"/>
        <s v="Augustana (S.D.)"/>
        <s v="Towson State"/>
        <s v="Elon"/>
        <s v="FIU" u="1"/>
        <s v="Colorado State University Pueblo" u="1"/>
        <s v="Bowling Green State" u="1"/>
        <s v="Louisiana-Lafayette" u="1"/>
        <s v="Texas Christian" u="1"/>
        <s v="Jackson State University" u="1"/>
        <s v="Lenoir Rhyne" u="1"/>
        <s v="Wis.-Whitewater" u="1"/>
        <s v="Cal-Berkeley" u="1"/>
        <s v="Penn" u="1"/>
        <s v="Southern California" u="1"/>
        <s v="Ole Miss" u="1"/>
        <s v="Alabama-Birmingham" u="1"/>
        <s v="Brigham Young" u="1"/>
        <s v="NW Missouri State University" u="1"/>
        <s v="Texas State-San Marcos" u="1"/>
        <s v="Miami (Fla.)" u="1"/>
        <s v="Louisiana State" u="1"/>
        <s v="San Diego St." u="1"/>
        <s v="Southern Methodist" u="1"/>
        <s v="Stephen F. Austin St." u="1"/>
        <s v="NC State" u="1"/>
        <s v="Southern Cal" u="1"/>
        <s v="Colorado State (Pueblo)" u="1"/>
        <s v="University of West Florida" u="1"/>
        <s v="N.C. State" u="1"/>
        <s v="Indiana PA University of" u="1"/>
        <s v="University of Toledo" u="1"/>
        <s v="University of South Florida" u="1"/>
        <s v="UTEP" u="1"/>
        <s v="UCF" u="1"/>
        <s v="University of Arkansas at Pine Bluff" u="1"/>
        <s v="Chattanooga" u="1"/>
        <s v="Middle Tennessee" u="1"/>
        <s v="Northwest Missouri State" u="1"/>
        <s v="Pitt" u="1"/>
      </sharedItems>
    </cacheField>
    <cacheField name="Team" numFmtId="0">
      <sharedItems count="32">
        <s v="SFO"/>
        <s v="ATL"/>
        <s v="ARI"/>
        <s v="BAL"/>
        <s v="CIN"/>
        <s v="TAM"/>
        <s v="BUF"/>
        <s v="LAC"/>
        <s v="CHI"/>
        <s v="KAN"/>
        <s v="CLE"/>
        <s v="IND"/>
        <s v="WAS"/>
        <s v="DAL"/>
        <s v="DEN"/>
        <s v="DET"/>
        <s v="NYG"/>
        <s v="HOU"/>
        <s v="JAX"/>
        <s v="MIA"/>
        <s v="NOR"/>
        <s v="NYJ"/>
        <s v="GNB"/>
        <s v="CAR"/>
        <s v="NWE"/>
        <s v="PHI"/>
        <s v="LVE"/>
        <s v="SEA"/>
        <s v="PIT"/>
        <s v="TENN"/>
        <s v="LAR"/>
        <s v="MIN"/>
      </sharedItems>
    </cacheField>
  </cacheFields>
  <extLst>
    <ext xmlns:x14="http://schemas.microsoft.com/office/spreadsheetml/2009/9/main" uri="{725AE2AE-9491-48be-B2B4-4EB974FC3084}">
      <x14:pivotCacheDefinition pivotCacheId="94945224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refreshedDate="44764.437915740738" createdVersion="6" refreshedVersion="6" minRefreshableVersion="3" recordCount="1333" xr:uid="{55632E5E-6778-41C7-B88A-E99DF5376FE6}">
  <cacheSource type="worksheet">
    <worksheetSource name="Transactions"/>
  </cacheSource>
  <cacheFields count="3">
    <cacheField name="Date" numFmtId="0">
      <sharedItems count="150">
        <s v="06/03"/>
        <s v="05/23"/>
        <s v="05/17"/>
        <s v="05/13"/>
        <s v="05/02"/>
        <s v="04/25"/>
        <s v="04/19"/>
        <s v="04/18"/>
        <s v="04/11"/>
        <s v="03/29"/>
        <s v="03/28"/>
        <s v="03/25"/>
        <s v="03/24"/>
        <s v="03/23"/>
        <s v="03/22"/>
        <s v="03/21"/>
        <s v="03/17"/>
        <s v="03/16"/>
        <s v="03/11"/>
        <s v="03/10"/>
        <s v="03/09"/>
        <s v="03/08"/>
        <s v="02/02"/>
        <s v="01/29"/>
        <s v="01/26"/>
        <s v="01/25"/>
        <s v="01/21"/>
        <s v="01/18"/>
        <s v="01/15"/>
        <s v="01/12"/>
        <s v="01/11"/>
        <s v="01/10"/>
        <s v="01/08"/>
        <s v="01/07"/>
        <s v="01/05"/>
        <s v="01/04"/>
        <s v="01/03"/>
        <s v="01/01"/>
        <s v="07/21"/>
        <s v="07/19"/>
        <s v="07/06"/>
        <s v="07/01"/>
        <s v="06/16"/>
        <s v="05/26"/>
        <s v="05/24"/>
        <s v="05/16"/>
        <s v="05/14"/>
        <s v="05/12"/>
        <s v="04/30"/>
        <s v="04/29"/>
        <s v="04/28"/>
        <s v="04/12"/>
        <s v="04/08"/>
        <s v="04/06"/>
        <s v="04/05"/>
        <s v="04/04"/>
        <s v="03/31"/>
        <s v="03/18"/>
        <s v="03/15"/>
        <s v="03/07"/>
        <s v="02/15"/>
        <s v="01/28"/>
        <s v="01/24"/>
        <s v="01/20"/>
        <s v="01/14"/>
        <s v="01/06"/>
        <s v="05/31"/>
        <s v="05/25"/>
        <s v="05/18"/>
        <s v="05/10"/>
        <s v="04/26"/>
        <s v="04/14"/>
        <s v="04/07"/>
        <s v="03/14"/>
        <s v="03/13"/>
        <s v="03/02"/>
        <s v="02/17"/>
        <s v="02/09"/>
        <s v="01/19"/>
        <s v="01/17"/>
        <s v="01/16"/>
        <s v="01/13"/>
        <s v="07/16"/>
        <s v="07/12"/>
        <s v="06/17"/>
        <s v="06/14"/>
        <s v="06/13"/>
        <s v="06/09"/>
        <s v="06/07"/>
        <s v="06/06"/>
        <s v="06/02"/>
        <s v="05/20"/>
        <s v="05/06"/>
        <s v="04/13"/>
        <s v="02/25"/>
        <s v="05/19"/>
        <s v="05/03"/>
        <s v="04/09"/>
        <s v="03/20"/>
        <s v="03/19"/>
        <s v="03/04"/>
        <s v="03/01"/>
        <s v="02/22"/>
        <s v="02/21"/>
        <s v="02/18"/>
        <s v="02/14"/>
        <s v="02/12"/>
        <s v="02/07"/>
        <s v="01/31"/>
        <s v="06/22"/>
        <s v="06/01"/>
        <s v="05/01"/>
        <s v="04/27"/>
        <s v="04/22"/>
        <s v="02/16"/>
        <s v="02/03"/>
        <s v="01/22"/>
        <s v="01/09"/>
        <s v="04/21"/>
        <s v="02/23"/>
        <s v="02/10"/>
        <s v="02/01"/>
        <s v="06/10"/>
        <s v="05/05"/>
        <s v="07/13"/>
        <s v="06/25"/>
        <s v="06/21"/>
        <s v="05/11"/>
        <s v="05/09"/>
        <s v="05/04"/>
        <s v="06/15"/>
        <s v="04/15"/>
        <s v="02/08"/>
        <s v="07/14"/>
        <s v="06/08"/>
        <s v="07/20"/>
        <s v="07/18"/>
        <s v="07/11"/>
        <s v="01/27"/>
        <s v="05/22"/>
        <s v="03/30"/>
        <s v="05/15"/>
        <s v="04/01"/>
        <s v="03/26"/>
        <s v="01/02"/>
        <s v="02/11"/>
        <s v="07/07"/>
        <s v="02/28"/>
        <s v="06/23"/>
        <s v="04/16"/>
      </sharedItems>
    </cacheField>
    <cacheField name="Transaction" numFmtId="0">
      <sharedItems count="1331" longText="1">
        <s v=" The 49ers have announced that C Alex Mack has retired from the NFL."/>
        <s v=" The 49ers have signed TE Tyler Kroft to a one-year deal. In order to make room on the roster, the team waived DL Chris Slayton."/>
        <s v=" The 49ers have signed TE Troy Fumagalli to a one-year deal and waived TE Garrett Walston."/>
        <s v=" The 49ers have signed 14 undrafted rookie free agents DL Kevin Atkins, LB Jeremiah Gemmel, S Tayler Hawkins, CB Qwantrezz Knight, WR Taysir Mack, WR Tay Martin, RB Jordan Mason, LB Marcelino McCrary-Ball, LB Segun Olubi, S Leon O'Neal, OL Jason Poe, OL Sam Schlueter, TE Garrett Walston, OL Dohnovan West. They also waived WR Connor Wedington."/>
        <s v=" The 49ers have re-signed CB Jason Verrett to a one-year deal. The 49ers also have agreed to terms with 14 undrafted rookie free agents: DL Kevin Atkins, LB Jeremiah Gemmel, S Tayler Hawkins, CB Qwuantrezz Knight, WR Taysir Mack, WR Tay Martin, RB Jordan Mason, LB Marcelino McCrary-Ball, LB Segun Olubi, S Leon O'Neal Jr., OL Jason Poe, OL Sam Schlueter, TE Garrett Walston and OL Dohnovan West."/>
        <s v=" The 49ers announced that LB Azeez Al-Shaair has signed a one-year tendered contract and exercised the fifth-year contract option on DL Nick Bosa for the 2023 season."/>
        <s v=" The 49ers announced that OL Daniel Brunskill and WR Jauan Jennings have each signed one-year tendered contracts."/>
        <s v=" The 49ers have signed DL Kemoko Turay to a one-year deal."/>
        <s v=" The 49ers have signed WR Marcus Johnson and WR Malik Turner to one-year deals. The team also released and re-signed DL Maurice Hurst to the same one-year deal he signed on March 10, 2022."/>
        <s v=" The 49ers have re-signed RB Jeff Wilson Jr. to a one-year deal."/>
        <s v=" The 49ers have signed TE Ross Dwelley to a one-year deal."/>
        <s v=" The 49ers have signed CB Darqueze Dennard to a one-year deal."/>
        <s v=" The 49ers have signed DL Kerry Hyder Jr. to a one-year deal and re-signed CB Dontae Johnson to a one-year deal."/>
        <s v=" The 49ers have re-signed DL Jordan Willis to a one-year deal."/>
        <s v=" The 49ers have signed WR Ray-Ray McCloud to a two-year deal and signed S George Odum to a three-year deal."/>
        <s v=" The 49ers have signed DL Hassan Ridgeway to a one-year deal."/>
        <s v=" The 49ers have signed LB Oren Burks to a two-year deal and CB Charvarius Ward to a three-year deal."/>
        <s v=" The 49ers have tendered one-year contracts to restricted free agents LB Azeez Al-Shaair and OL Daniel Brunskill."/>
        <s v=" The 49ers have signed LB Demetrius Flannigan-Fowles to a one-year extension through the 2022 season."/>
        <s v=" The 49ers have signed DL Kevin Givens, RB JaMycal Hasty, DL Maurice Hurst and OL Colton McKivitz to one-year extensions and signed QB Nate Sudfeld to a Reserve/Future contract."/>
        <s v=" The 49ers have signed OL Jake Brendel to a one-year extension through the 2022 season."/>
        <s v=" The 49ers have signed OL Keaton Sutherland to a Reserve/Future contract."/>
        <s v=" The 49ers have signed the following 11 free agents to Reserve/Future contracts: DL Alex Barrett, OL Alfredo Gutierrez, FB Josh Hokit, CB Ka'dar Hollman, TE Tanner Hudson, WR KeeSean Johnson, WR Austin Mack, TE Jordan Matthews, LB Curtis Robinson, DL Chris Slayton, WR Connor Wedington. All of the players, with the exception of Hollman and Johnson, finished the 2021 season on the team's practice squad."/>
        <s v=" The 49ers have activated RB Trenton Cannon from the Injured Reserve List, activated LB Mark Nzeocha and Nate Sudfeld and waived WR River Cracraft."/>
        <s v=" The 49ers have activated WR Mohamed Sanu Sr. from the Injured Reserve List, signed S Jarrod Wilson to the team's practice squad and released S Doug Middleton from the team's practice squad."/>
        <s v=" The 49ers have waived S Jarrod Wilson."/>
        <s v=" The 49ers announced that DL Nick Bosa has cleared concussion protocol and has no injury designation against the Green Bay Packers. CB Darqueze Dennard and LB Mark Nzeocha have been activated from the team's practice squad (standard elevations)."/>
        <s v=" The 49ers have activated RB Raheem Mostert off the Reserve/COVID-19 List, activated FB Josh Hokit from the practice squad/COVID-19 List and released CB Luq Barcoo and P Ryan Winslow from the team's practice squad."/>
        <s v=" The 49ers announced that P Mitch Wishnowsky has cleared concussion protocol and has no injury designation against the Dallas Cowboys. The team also announced that CB Darqueze Dennard and LB Mark Nzeocha have been activated from the team's practice squad (standard elevations)."/>
        <s v=" The 49ers have opened the practice window for RB Trenton Cannon, restored S Doug Middleton to the practice squad from the practice squad Injured Reserve List, signed P Ryan Winslow to the team's practice squad and released QB Tyler Bray from the practice squad."/>
        <s v=" The 49ers have activated RB Trey Sermon from the Injured Reserve List."/>
        <s v=" The 49ers have activated DB Deommodore Lenoir  off the Reserve/COVID-19 List, signed TE Tanner Hudson to the team's practice squad and placed CB Luq Barcoo, QB Tyler Bray, and FB Josh Hokit on the practice squad/COVID-19 List."/>
        <s v=" CB Dontae Johnson, DB Jimmie Ward, and CB K'Waun Williams have been activated off the Reserve/COVID-19 List. CB Emmanuel Moseley has been activated from the Injured Reserve List. CB Darqueze Dennard, LB Mark Nzeocha have been activated from the team's practice squad (standard elevations). LB Curtis Robinson has been activated from the team's practice squad (COVID-19 replacement)."/>
        <s v=" The 49ers have activated CB Ambry Thomas off the Reserve/COVID-19 List and waived TE Tanner Hudson."/>
        <s v=" The 49ers have opened the practice windows for CB Emmanuel Moseley, WR Mohamed Sanu Sr. and S Tavon Wilson. Additionally, the team placed CB Ambry Thomas and DB Deommodore Lenoir  on the Reserve/COVID-19 List."/>
        <s v=" The 49ers have signed CB Darqueze Dennard to the team's practice squad."/>
        <s v=" The 49ers have placed DB Jimmie Ward on the Reserve/COVID-19 List, signed RB Brian Hill to the team's practice squad and released P Colby Wadman from the team's practice squad."/>
        <s v=" The 49ers have placed CB Dontae Johnson, RB Raheem Mostert and CB K'Waun Williams on the Reserve/COVID-19 List."/>
        <s v=" The 49ers have activated P Mitch Wishnowskyfrom the Reserve/COVID-19 List. TE Tanner Hudson has been promoted to the active roster from the team's practice squad. LB Mark Nzeocha and LB Curtis Robinson have been activated from the team's practice squad (standard elevations). RB Brian Hill has been waived."/>
        <s v=" Falcons place Deion Jones on active/PUP list"/>
        <s v=" Falcons sign Desmond Ridder to four-year contract"/>
        <s v=" Falcons DT Eddie Goldman retires from NFL football"/>
        <s v=" Falcons sign DT Eddie Goldman to one-year deal"/>
        <s v=" Falcons release S Brad Hawkins"/>
        <s v=" Falcons sign P Bradley Pinion"/>
        <s v=" Falcons released RB Jeremy McNichols, WR Austin Trammell"/>
        <s v=" Falcons signed OT Jonotthan Harris, DL Jalen Dalton"/>
        <s v=" Falcons sign RB Jeremy McNichols to one-year contract"/>
        <s v=" Falcons release DL John Cominsky"/>
        <s v=" Falcons signed LB Troy Andersen to four-year contract"/>
        <s v=" Falcons signed DeAngelo Malone to four-year contract"/>
        <s v=" Falcons released WR Chad Hansen, DB Luther Kirk and TE Daniel Helm"/>
        <s v=" Falcons signed WR Geronimo Allison, DB Tre Webb and TE Tucker Fisk"/>
        <s v=" Falcons release CB Kendall Sheffield and TE Ryan Becker"/>
        <s v=" Falcons acquire WR Bryan Edwards and 2023 seventh-round NFL Draft pick for 2023 fifth-round pick"/>
        <s v=" Falcons signed Justin Shaffer to four-year rookie contract"/>
        <s v=" Falcons signed Tyler Allgeier to four-year rookie contract"/>
        <s v=" Falcons signed Drake London to four-year rookie contract with fifth-year option"/>
        <s v=" Falcons signed John FitzPatrick to four-year rookie contract"/>
        <s v=" Falcons pick up fifth-year option for OL Chris Lindstrom"/>
        <s v=" Falcons release RB Mike Davis"/>
        <s v=" Falcons place LS Beau Brinkley on injured reserve"/>
        <s v=" Falcons sign college free agents WR Jared Bernhardt, WR Stanley Berryhill, OLB Kuony Deng, CB Matt Hankins, S Brad Hawkins, DL Timothy Horne, WR Tyshaun James, OLB Nathan Landman, DL Bryce Rodgers, DL Derrick Tangelo, P Seth Vernon, OL Tyler Vrabel, TE Leroy Washington."/>
        <s v=" Falcons release OLB James Vaughters"/>
        <s v=" Falcons release OT Willie Beavers"/>
        <s v=" Falcons selected TE John Fitzpatrick with No. 213 overall NFL Draft pick"/>
        <s v=" Falcons selected OL Justin Shaffer with No. 190 overall NFL Draft pick"/>
        <s v=" Falcons selected RB Tyler Allgeier with No. 151 overall NFL Draft pick"/>
        <s v=" Falcons selected LB Troy Andersen with No. 58 overall NFL Draft pick"/>
        <s v=" Falcons selected EDGE Deangelo Malone with No. 82 overall NFL Draft pick"/>
        <s v=" Falcons selected QB Desmond Ridder with No. 74 overall NFL Draft pick"/>
        <s v=" Falcons selected EDGE Arnold Ebiketie with No. 38 overall NFL Draft pick"/>
        <s v=" Falcons selected WR Drake London with No. 8 overall NFL Draft pick"/>
        <s v=" Falcons WR Olamide Zaccheaus signed one-year contract tender"/>
        <s v=" Falcons signed DT Vincent Taylor to one-year deal"/>
        <s v=" Falcons signed TE Anthony Firkser to one-year deal"/>
        <s v=" Falcons signed CB Mike Ford to one-year deal"/>
        <s v=" Falcons signed LB Rashaan Evans to one-year deal"/>
        <s v=" Falcons signed OL Germain Ifedi to one-year deal"/>
        <s v=" Falcons signed WR Damiere Byrd to one-year deal"/>
        <s v=" Falcons signed LS Beau Brinkley to one-year deal"/>
        <s v=" Falcons signed DB Dean Marlowe to one-year deal"/>
        <s v=" Falcons signed WR Auden Tate to one-year deal"/>
        <s v=" Falcons re-signed RB Qadree Ollison to one-year deal"/>
        <s v=" Falcons re-sign S Erik Harris to one-year contract"/>
        <s v=" Falcons sign QB Marcus Mariota to two-year contract"/>
        <s v=" Falcons sign WR KhaDarel Hodge to one-year contract"/>
        <s v=" Falcons signed OLB Lorenzo Carter to one-year deal"/>
        <s v=" Falcons re-signed RB Cordarrelle Patterson to two-year contract"/>
        <s v=" Falcons traded QB Matt Ryan to Indianapolis Colts for 2022 NFL Draft pick"/>
        <s v=" Falcons signed CB Casey Hayward to two-year deal"/>
        <s v=" Falcons re-signed CB Isaiah Oliver to one-year deal"/>
        <s v=" Falcons signed RB Damien Williams to one-year deal"/>
        <s v=" Falcons signed OL Elijah Wilkinson and DB Teez Tabor"/>
        <s v=" Falcons re-signed DT Anthony Rush to one-year deal"/>
        <s v=" Falcons re-signed OL Colby Gossett"/>
        <s v=" Falcons sign OL Jake Matthews to three-year contract extension"/>
        <s v=" Falcons release DL Tyeler Davison"/>
        <s v=" Falcons gave WR Olamide Zaccheaus right-of-first-refusal contract tender"/>
        <s v=" Falcons signed K Younghoe Koo to five-year contract extension"/>
        <s v=" Falcons release Duke Ejiofor from non-football injury list"/>
        <s v=" WR Calvin Ridley moved to reserve/suspended by commissioner list"/>
        <s v=" Falcons signed TE Ryan Becker to active roster"/>
        <s v=" Falcons released OL Matt Gono off physically unable to perform list"/>
        <s v=" Falcons signed DL Rashaad Coward to reserve-future contract"/>
        <s v=" Falcons signed TE Daniel Helm to reserve-future contract"/>
        <s v=" Falcons signed LB Duke Ejiofor to reserve-future contract"/>
        <s v=" Falcons signed DB Corey Ballentine to reserve-future contract"/>
        <s v=" Falcons activated OT Jason Spriggs, DL Jonathan Bullard off reserve/COVID-19 list"/>
        <s v=" Falcons signed DB Cornell Armstrong, OL Willie Beavers, OLB Quinton Bell, LB Jordan Brailford, LB Dorian Etheridge, WR Chad Hansen, RB Caleb Huntley, DB Luther Kirk, P Dom Maggio, OL Ryan Neuzil, DB Lafayette Pitts, TE John Raine, LB Rashad Smith, DE Nick Thurman, WR Austin Trammell, DB Dee Alford, WR Brayden Lenius to reserve/future contracts"/>
        <s v=" Falcons released WR Marvin Hall from practice squad"/>
        <s v=" Falcons activate LB Dorian Etheridge to practice squad from practice squad-reserve/COVID-19 list"/>
        <s v=" Falcons sign QB Matt Barkley to practice squad"/>
        <s v=" Falcons have waived QB Matt Barkley"/>
        <s v=" Falcons activated DL Marlon Davidson, DB Jaylinn Hawkins, TE Hayden Hurst, OLB James Vaughters, WR Tajae Sharpe from reserve/COVID-19 list"/>
        <s v=" Falcons activated OL Willie Beavers, LB Dorian Etheridge from practice squad-reserve/COVID-19 list"/>
        <s v=" Falcons sign TE Parker Hesse to active roster from practice squad"/>
        <s v=" Falcons activated DB Richie Grant, QB Feleipe Franks and LB Brandon Copeland off reserve/COVID-19 list"/>
        <s v=" Cardinals and QB KYLER MURRAY agree to contract extension through the 2028 season"/>
        <s v=" Cardinals sign CB JOSH JACKSON and LB BEN NIEMANN to one-year contracts, release S JAVON HAGAN"/>
        <s v=" Cardinals sign RB DARREL WILLIAMS to a one-year contract and release RB JAYLEN SAMUELS"/>
        <s v=" Cardinals sign third-round LB CAMERON THOMAS to four-year contract"/>
        <s v=" Cardinals sign third-round LB MYJAI SANDERS to four-year contract"/>
        <s v=" Cardinals sign second-round TE TREY MCBRIDE, seventh-round CB CHRISTIAN MATTHEW and seventh-round OL MARQUIS HAYES to four-year contracts"/>
        <s v=" Cardinals awarded LB JESSIE LEMONIER off waivers from Detroit Lions, release DL LARON STOKES"/>
        <s v=" Cardinals sign tryout players WR CHRISTIAN BLAKE, S TAE DAILEY, QB JARRETT GUARANTANO, OL GREG LONG, RB T.J. PLEDGER and WR JARED SMART. Release LB CHANGA HODGE, S KEKAULA KANIHO, WR STEPHON ROBINSON, OL WILL MILES, LB RON'DELL CARTER, and OL MARCUS HENRY."/>
        <s v=" Cardinals sign DL KINGSLEY KEKE to a one-year contract, and place TE ALEX ELLIS on the Non-Football Injury list"/>
        <s v=" Cardinals sign three draft picks to four-year contracts: RB KEONTAY INGRAM, OL LECITIUS SMITH and LB JESSE LUKETA"/>
        <s v=" Cardinals promote WR coach SHAWN JEFFERSON to associate head coach/wide receivers. Promote QB coach CAM TURNER to co-pass game coordinator/quarterbacks and SPENCER WHIPPLE to co-pass game coordinator. Announce hiring of DL coach MATT BURKE. Promote MIKE BERCOVICI to offensive assistant and KENNY BELL to Chief of Staff/offensive assistant"/>
        <s v=" Cardinals re-sign S CHARLES WASHINGTON to a one-year contract"/>
        <s v=" NFL announces that WR DEANDRE HOPKINS is suspended for the first six games of the 2022 regular season for violating the league's policy on performance-enhancing drugs."/>
        <s v=" Cardinals agree to terms with 12 undrafted rookies: CB DARRELL BAKER JR., WR CHANGA HODGE, DL MANNY JONES, S KEKAULA KANIHO, WR JONTRE KIRKLIN, DL WILL MILES, WR JAVONTA PAYTON, TE CHRIS PIERCE JR., RB RONNIE RIVERS; WR STEPHON ROBINSON JR., DL LARON STOKES and LB CHANDLER WOOTEN"/>
        <s v=" Cardinals acquire WR MARQUISE HOLLYWOOD BROWN and a third-round pick in 2022 from the Baltimore Ravens for a 2022 first-round pick"/>
        <s v=" Cardinals pick up fifth-year option on QB KYLER MURRAY, putting him under contract through 2023"/>
        <s v=" Cardinals re-sign CB ANTONIO HAMILTON to one-year deal; claim OLB RON'DELL CARTER off waivers from Houston Texans"/>
        <s v=" Cardinals sign HAGGAI CHISOM NDUBUISI to an undisclosed contract"/>
        <s v=" Cardinals agree to one-year deal with wide receiver A.J. GREEN"/>
        <s v=" RB JONATHAN WARD signs his one-year exclusive rights tender offer"/>
        <s v=" WR ANTOINE WESLEY signs his one-year exclusive rights tender offer"/>
        <s v=" Cardinals sign TE STEPHEN ANDERSON to one-year contract"/>
        <s v=" Cardinals sign G WILL HERNANDEZ to a one-year contract"/>
        <s v=" Cardinals sign LB NICK VIGIL to a one-year contract"/>
        <s v=" Cardinals agree to one-year contract with LB EZEKIEL TURNER"/>
        <s v=" Cardinals sign LS AARON BREWER to one-year deal, agree to one-year contract with P ANDY LEE"/>
        <s v=" Cardinals re-sign TE MAXX WILLIAMS to one-year deal, release DT JORDAN PHILLIPS. Sign CB JEFF GLADNEY to two-year contract"/>
        <s v=" Cardinals agree to new two-year contract with QB COLT MCCOY, re-sign DL MICHAEL DOGBE to one-year deal and agree with LB DENNIS GARDECK on three-year deal"/>
        <s v=" Cardinals agree to three-year contract extension with RB JAMES CONNER"/>
        <s v=" Cardinals agree to three-year contract with TE ZACH ERTZ"/>
        <s v=" Cardinals release LB JORDAN HICKS, extend one-year tender offers to exclusive-rights free agents WR ANTOINE WESLEY and RB JONATHAN WARD"/>
        <s v=" Cardinals extend the contracts of GENERAL MANAGER STEVE KEIM and HEAD COACH KLIFF KINGSBURY through the 2027 season"/>
        <s v=" Cardinals release CB MALCOLM BUTLER from the Reserve/Retired list"/>
        <s v=" Cardinals sign DL JONATHAN LEDBETTER to futures contract"/>
        <s v=" Cardinals sign P NOLAN COONEY to futures contract"/>
        <s v=" Cardinals sign 15 players to futures contracts: WR ANDRE BACCELLIA, CB BREON BORDERS, CB NATE BROOKS, DL MATT DICKERSON, TE ALEX ELLIS, S JAVON HAGAN, OL DANNY ISIDORA, OL KODA MARTIN, RB JAYLEN SAMUELS, TE BERNHARD SEIKOVITS, OL ERIC SMITH, LB JOE WALKER, TE DAVID WELLS, CB JACE WHITTAKER and TE DEON YELDER."/>
        <s v=" CB KEVIN PETERSON and DL ZACH KERR revert to practice squad"/>
        <s v=" Cardinals activate DL J.J. WATT and LB EZEKIEL TURNER from Injured Reserve. Elevate CB KEVIN PETERSON and DL ZACH KERR from practice squad."/>
        <s v=" Cardinals release CB BREON BORDERS"/>
        <s v=" Cardinals re-sign LB JOE WALKER to practice squad"/>
        <s v=" Cardinals release LB JOE WALKER. Release LB TAHIR WHITEHEAD and DE MATT DICKERSON from practice squad"/>
        <s v=" Cardinals re-sign DL ZACH KERR to practice squad. Activate TE MAXX WILLIAMS from Reserve/COVID-19 list"/>
        <s v=" Cardinals activate LB TANNER VALLEJO and DL ZACH KERR from Reserve/COVID-19 list. Cut DL ZACH KERR. Cut LB NATE HALL from practice squad. CB KEVIN PETERSON, LB TAHIR WHITEHEAD, TE DAVID WELLS revert to practice squad"/>
        <s v=" Cardinals make TE DAVID WELLS and LB TAHIR WHITEHEAD as standard practice squad elevations"/>
        <s v=" Cardinals designate DE J.J. WATT to return from Injured Reserve, opening 21-day practice window. Elevate CB KEVIN PETERSON from practice squad as Covid replacement. Activate S JAVON HAGAN from Practice Squad/Reserve COVID-19 list"/>
        <s v=" Cardinals place TE MAXX WILLIAMS on IR/Reserve Covid"/>
        <s v=" Cardinals designate S JAMES WIGGINS to return from IR, opening 21-day practice window"/>
        <s v=" Cardinals sign CB BAUSHAD BREELAND to practice squad. Activate OL D.J. HUMPHRIES, LB MARKUS GOLDEN, LB DEVON KENNARD and CB BREON BORDERS from Covid list. Release CB ISAIAH JOHNSON from practice squad. Place LB TANNER VALLEJO and DL ZACH KERR on Reserve/COVID-19 list"/>
        <s v=" DE JOSH MAURO, CB KEVIN PETERSON, TE DAVID WELLS and CB JACE WHITTAKER revert to practice squad"/>
        <s v=" Cardinals activate LB TANNER VALLEJO from Injured Reserve. Make DE JOSH MAURO and CB KEVIN PETERSON Covid replacements from practice squad. Make TE DAVID WELLS and CB JAVE WHITTAKER standard practice squad elevations"/>
        <s v=" Signed 2022 draft choice CB Jalyn Armour-Davis. Signed 2022 draft choice T Daniel Faalele"/>
        <s v=" Re-signed OLB Justin Houston."/>
        <s v=" Signed OLB Steven Means."/>
        <s v=" Terminated the contract of vested veteran DE Derek Wolfe (injury settlement)."/>
        <s v=" Signed 2022 draft choice P Jordan Stout."/>
        <s v=" Signed 2022 draft choice TE Charlie Kolar."/>
        <s v=" Signed 2022 draft choice S Kyle Hamilton. Signed 2022 draft choice CB Damarion Williams."/>
        <s v=" Signed 2022 draft choice TE Isaiah Likely."/>
        <s v=" Signed 2022 draft choice C Tyler Linderbaum."/>
        <s v=" Waived CB Kevin Toliver II."/>
        <s v=" Signed CB Kyle Fuller. Waived T Aron Johnson."/>
        <s v=" Waived S Chris Moore."/>
        <s v=" Signed DL Brent Urban. Signed undrafted rookie free agent ILB Diego Fagot."/>
        <s v=" Signed 2022 draft choice DT Travis Jones."/>
        <s v=" Signed RB Mike Davis."/>
        <s v=" Signed 2022 draft choice RB Tyler Badie. Signed undrafted rookie free agents WR Slade Bolden, WR Shemar Bridges, QB Anthony Brown, WR Trevon Clark, T Aron Johnson, ILB Zakoby McClain, OLB Jeremiah Moon, S Chris Moore, DT Rayshad Nichols, RB Ricky Person, WR Makai Polk, ILB Josh Ross, CB David Vereen, WR Raleigh Webb, OLB Charles Wiley, CB Denzel Williams and WR Devon Williams."/>
        <s v=" Traded WR Marquise Brown to the Arizona Cardinals in exchange for the 23rd overall selection in the 2022 NFL Draft."/>
        <s v=" Re-signed the following exclusive rights free agents: C/G Trystan Colon, QB Tyler Huntley, LS Nick Moore and LB Kristian Welch. Released WR Miles Boykin."/>
        <s v=" Re-signed DT Calais Campbell."/>
        <s v=" Re-signed ILB Josh Bynes."/>
        <s v=" Re-signed exclusive rights free agent S Geno Stone."/>
        <s v=" Re-signed FB/DL Patrick Ricard to a three-year contract extension."/>
        <s v=" Signed free agent DT Michael Pierce."/>
        <s v=" Signed T unrestricted free agent Morgan Moses. Signed unrestricted free agent S Marcus Williams."/>
        <s v=" Terminated the contract of vested veteran CB Tavon Young."/>
        <s v=" Re-signed S Tony Jefferson."/>
        <s v=" Signed FB/TE Ben Mason to Reserve/Future contract."/>
        <s v=" Re-signed RB Nate McCrary to Reserve/Future contract."/>
        <s v=" Re-signed DB Kevon Seymour."/>
        <s v=" Re-signed NT Isaiah Mack to Reserve/Future contract."/>
        <s v=" Signed the following players to Reserve/Future contracts: CB Robert Jackson, T Jaryd Jones-Smith, G/DT Khalil McKenzie, WR Jaylon Moore, C Jimmy Murray, TE Tony Poljan, CB Kevin Toliver II and WR Binjimen Victor."/>
        <s v=" Signed S Tony Jefferson from the practice squad to the active roster. Activated NT Isaiah Mack from the practice squad (standard elevation). Activated TE Tony Poljan from the practice squad (standard elevation). Activated T Jaryd Jones-Smith from the practice squad (COVID-19 replacement)."/>
        <s v=" Placed FB/DL Patrick Ricard on Injured Reserve. Placed TE Nick Boyle on Reserve/COVID-19. Placed FB/DL Patrick Ricard on Reserve/COVID-19. Activated RB Justice Hill from Reserve/COVID-19. Activated S Ar'Darius Washington from Reserve/COVID-19."/>
        <s v=" Signed RB Jacques Patrick to the practice squad. Activated CB Kevin Toliver II off Practice Squad/COVID-19. Placed TE Josh Oliver on Exempt/COVID-19, then reverted to the active roster on 1/6."/>
        <s v=" Placed OLB Daelin Hayes on Injured Reserve. Signed T David Sharpe from the practice squad to the active roster. Placed DB Mazzi Wilkins on Practice Squad/COVID-19. Activated CB Robert Jackson from the practice squad (COVID-19 replacement). Activated S Tony Jefferson from the practice squad (standard elevation). Activated T Jaryd Jones-Smith from the practice squad (standard elevation)."/>
        <s v=" Signed G/OT Cordell Volson (2022 4th Round Draft Pick)"/>
        <s v=" Signed DT Zach Carter (2022 3rd Round Draft Pick)"/>
        <s v=" Signed DB Cam Taylor-Britt (2022 2nd Round Draft Pick)."/>
        <s v=" Signed DE Jeff Gunter (2022 7th Round Draft Pick)."/>
        <s v=" Signed S Tycen Anderson (2022 5th Round Draft Pick)."/>
        <s v=" Signed DB Dax Hill (2022 1st Round Draft Pick)."/>
        <s v=" Signed the following 16 college free agents: LS Cal Adomitis, G/C Ben Brown, OT Devin Cochran, CB Allan George, WR Jaivon Heiligh, LB Clarence Hicks, CB Delonte Hood, HB Shermari Jones, WR Kwamie Lassiter II, G Desmond Noel, WR Kendric Pryor, S/CB Bookie Radley-Hiles, TE Justin Rigg, WR Jack Sorenson, DT/DE Tariqious Tisdale and LB Carson Wells."/>
        <s v=" The Bengals today signed CB Abu Daramy-Swaray, who participated in the team's rookie minicamp today as a tryout player."/>
        <s v=" The following seven unrestricted free agents were not asked to re-sign (did not receive UFA tender offer from team): S Ricardo Allen, LB Jordan Evans, CB Vernon Hargreaves III, DT Zach Kerr, DT Larry Ogunjobi, OT Riley Reiff and G Quinton Spain."/>
        <s v=" Re-signed P Kevin Huber (UFA-Cin.)."/>
        <s v=" Acquired a 2022 fifth-round draft choice (166th overall) in a trade with Chicago for a '22 fifth-round draft choice (174th) and a '22 seventh-round draft choice (226th); Selected three players in the annual NFL Draft: G/OT Cordell Volson of North Dakota State in Round 4 (136th overall), S Tycen Anderson of Toledo in Round 5 (166th) and DE Jeffrey Gunter of Coastal Carolina in Round 7 (252nd)."/>
        <s v=" Exercised option to extend the contract of OT Jonah Williams by one year through 2023; Acquired a 2022 second-round draft choice (60th overall) in a trade with Buffalo for a sixth-round draft choice (209th); Selected two players in the annual NFL Draft: CB Cam Taylor-Britt of Nebraska in Round 2 (60th overall) and DT Zach Carter of Florida in Round 3 (95th overall)."/>
        <s v=" Selected one player in the annual NFL Draft: DB Dax Hill of Michigan in Round 1 (31st overall)."/>
        <s v=" Re-signed CB Tre Flowers (UFA-Cin.)."/>
        <s v=" Re-signed TE Mitchell Wilcox (unsigned exclusive rights player)."/>
        <s v=" Re-signed TE Mitchell Wilcox (unsigned exclusive rights player)."/>
        <s v=" Signed TE Nick Eubanks (FA)."/>
        <s v=" Re-signed WR Stanley Morgan (FA); WR Auden Tate (UFA-Cin.) signed with Atlanta."/>
        <s v=" Waived OT Fred Johnson."/>
        <s v=" Re-signed OT Fred Johnson (RFA-Cin.)."/>
        <s v=" Re-signed WR Trenton Irwin (FA-Cin.); Terminated the contract of CB Trae Waynes."/>
        <s v=" Signed OT La'el Collins (FA)."/>
        <s v=" Re-signed CB Eli Apple (UFA-Cin.); CB Darius Phillips (UFA-Cin.) signed with the Las Vegas."/>
        <s v=" Signed G Alex Cappa (UFA-T.B.) and TE Hayden Hurst (UFA-Atl.); Re-signed QB Brandon Allen (UFA-Cin.) and WR Mike D. Thomas (UFA-Cin.); Terminated the contract of C Trey Hopkins."/>
        <s v=" Signed C/G Ted Karras (UFA-N.E.); Re-signed S Michael J. Thomas (UFA-Cin.) and DT Josh Tupou (UFA-Cin.); TE C.J. Uzomah (UFA-Cin.) signed with the N.Y. Jets."/>
        <s v=" Re-signed LS Clark Harris; The contract expired for S Jessie Bates III (designated franchise player); The contracts expired for the following 17 players, rendering them unrestricted free agents: QB Brandon Allen, S Ricardo Allen, CB Eli Apple, LB Jordan Evans, CB Tre Flowers, CB Vernon Hargreaves, P Kevin Huber, DT Zach Kerr, DT Larry Ogunjobi, CB Darius Phillips, OT Riley Reiff, G Quinton Spain, WR Auden Tate, S Michael J. Thomas, WR Mike D. Thomas, DT Josh Tupou and TE C.J. Uzomah; The contract expired for OT Fred Johnson (received tender offer), rendering him a restricted free agent; The contract expired for potential restricted free agent WR Stanley Morgan (did not receive tender offer), rendering him a free agent; The contract expired for TE Mitchell Wilcox (received minimum salary offer), rendering him an unsigned exclusive rights player; The contracts expired for the following two potential exclusive rights players (did not receive minimum salary offers), rendering them free agents: WR Trenton Irwin and DE Wyatt Ray."/>
        <s v=" Re-signed DT B.J. Hill; Extended minimum salary offer to TE Mitchell Wilcox; Extended tender offer to OT Fred Johnson."/>
        <s v=" March 11, 2022 â€”  Re-signed LB Joe Bachie."/>
        <s v=" Re-signed LB Clay Johnston."/>
        <s v=" Re-signed CB Jalen Davis."/>
        <s v=" Re-signed WR Trent Taylor (FA)."/>
        <s v=" The Practice Squad contracts expired for the following nine players: LB Austin Calitro, DT Mike Daniels, TE Chris Myarick, TE Mason Schreck (Practice Squad/Injured list), DT Damion Square, G Xavier Su'a-Filo, G Keaton Sutherland, WR Trent Taylor and DT Renell Wren."/>
        <s v=" The contract for OT Riley Reiff automatically voided."/>
        <s v=" Signed the following nine Practice Squad players: CB John Brannon, QB Jake Browning, C Lamont Gaillard, S Trayvon Henderson, HB Elijah Holyfield, TE Thaddeus"/>
        <s v=" DT Mike Daniels and WR Trent Taylor reverted from the active roster to the Practice Squad."/>
        <s v=" Elevated WR Trent Taylor and DT Mike Daniels to the active roster from the practice squad."/>
        <s v=" Signed P Drue Chrisman to a Reserve/Future contract."/>
        <s v=" DT Damion Square and WR Trent Taylor reverted from the active rosters to the Practice Squad; Released K Elliott Fry from the Practice Squad/Injured list."/>
        <s v=" Elevated WR Trent Taylor and DT Damion Square to the active roster. Taylor and Square are standard elevations."/>
        <s v=" Returned LB Joe Bachie to the reserve/injured list."/>
        <s v=" Signed DT Damion Square to the practice squad and Released DT Doug Costin from the practice squad."/>
        <s v=" Elevated WR Trent Taylor from the practice squad to the active roster."/>
        <s v=" Signed G Xavier Su'a-Filo (FA) to the Practice Squad; Placed LB Joe Bachie (Reserve/Injured) on the Reserve/COVID-19 list."/>
        <s v=" Waived G Xavier Su'a-Filo; Signed DT Doug Costin to the practice squad; Released P Drue Chrisman and LS Colin Holba from the practice squad."/>
        <s v=" Signed DT Zach Kerr off the Arizona Cardinals' practice squad."/>
        <s v=" Placed DT Larry Ogunjobi on the Reserve/Injured list and returned G Xavier Su'a-Filo to the active roster from the Reserve/Injured list. Also returned WR Trent Taylor and DT Mike Daniels to the practice squad."/>
        <s v=" Elevated DT Mike Daniels and WR Trent Taylor from the Practice Squad to the active roster (both standard elevations)."/>
        <s v=" Signed LB Austin Calitro to the Practice Squad; Placed K Elliott Fry on the Practice Squad/Injured list."/>
        <s v=" Announced that WR Auden Tate was designated for return from the Reserve/Injured list and eligible to practice."/>
        <s v=" The following eight players reverted from the active roster to the Practice Squad: QB Jake Browning, DT Mike Daniels, K Elliott Fry, S Trayvon Henderson, DE Noah Spence, G Keaton Sutherland, WR Trent Taylor and DT Renell Wren; Returned the following seven players to the active roster from the Reserve/COVID-19 list: S Vonn Bell, DE Trey Hendrickson, DT B.J. Hill, C Trey Hopkins, HB Joe Mixon, DT Larry Ogunjobi and G Quinton Spain; Waived LB Austin Calitro."/>
        <s v=" Elevated QB Jake Browning and K Elliott Fry from the Practice Squad to the active roster (both standard elevations); Elevated the following six players from the Practice Squad to the active roster (all COVID-19 replacements): DT Mike Daniels, S Trayvon Henderson, DE Noah Spence, G Keaton Sutherland, WR Trent Taylor and DT Renell Wren."/>
        <s v=" Placed DT Larry Ogunjobi on the Reserve/COVID-19 list; Placed TE Thaddeus Moss (Practice Squad) on the Practice Squad/Injured list; Signed TE Chris Myarick to the Practice Squad."/>
        <s v=" Placed DT B.J. Hill and HB Joe Mixon on the Reserve/COVID-19 list; Returned WR Trenton Irwin and CB Trae Waynes to the active roster from the Reserve/COVID-19 list; Returned TE Scott Washington to the Practice Squad from the Reserve/COVID-19 list."/>
        <s v=" Placed the following five players on the Reserve/COVID-19 list: S Vonn Bell, LB Akeem Davis-Gaither (Reserve/Injured), DE Trey Hendrickson, C Trey Hopkins and G Quinton Spain; Signed K Elliott Fry (FA) to the Practice Squad; Placed TE Mason Schreck (Practice Squad) on the Practice Squad/Injured list."/>
        <s v=" Returned CB Darius Phillips and WR Auden Tate to the Reserve/Injured list from the Reserve/COVID-19 list; Placed LB Jordan Evans (Reserve/Injured) on the Reserve/COVID-19 list; CB John Brannon, QB Jake Browning and WR Trent Taylor reverted to the Practice Squad from the active roster. The suspension for HB Pooka Williams Jr. (Practice Squad/Suspended by Commissioner list) was lifted."/>
        <s v=" LB Tegray Scales signed off the Practice Squad by Pittsburgh."/>
        <s v=" Released P Bradley Pinion."/>
        <s v=" Signed 2022 fourth-round draft pick P Jake Camarda to a four-year contract."/>
        <s v=" Signed 2022 second-round draft pick G Luke Goedeke to a four-year contract."/>
        <s v=" Signed DL Akiem Hicks."/>
        <s v=" Waived WR Travis Jonsen."/>
        <s v=" Signed undrafted free agents WR Kameron Brown, DL Mike Greene and TE JJ Howland."/>
        <s v=" Signed undrafted free agents TE Ben Beise, G Curtis Blackwell, T Dylan Cook, ILB Olakunle Fatukasi, CB Don Gardner, WR Kaylon Geiger, CB Kyler McMichael, OLB JoJo Ozougwu, ILB J.J. Russell, WR Jerreth Sterns, WR Deven Thompkins, S Nolan Turner and OLB Jordan Young."/>
        <s v=" Signed 2022 third-round pick RB Rachaad White, fifth-round pick CB Zyon McCollum, sixth-round pick TE Ko Kieft and seventh-round pick OLB Andre Anthony to four-year contracts."/>
        <s v=" Selected Washington TE Cade Otton in the fourth round (106th overall) of the 2022 NFL Draft."/>
        <s v=" Selected Houston DL Logan Hall in the second round (33rd overall) of the 2022 NFL Draft."/>
        <s v=" Traded 2022 1st-round pick (#27) to Jacksonville for 2022 2nd-round pick (#33), 2022 4th-round pick (#106) and 2022 6th-round pick (#180)."/>
        <s v=" Exercised the fifth-year option on the rookie contract of ILB Devin White."/>
        <s v=" Signed DL Deadrin Senat."/>
        <s v=" Promoted Maral Javadifar to Director of Rehabilitation and Performance Coach."/>
        <s v=" Re-signed DL Patrick O'Connor."/>
        <s v=" Re-signed RB Giovani Bernard."/>
        <s v=" Signed unrestricted free agent S Keanu Neal."/>
        <s v=" Signed OL Fred Johnson."/>
        <s v=" Named Bruce Arians Senior Football Consultant."/>
        <s v=" Re-signed QB Ryan Griffin."/>
        <s v=" Re-signed LS Zach Triner and T Josh Wells."/>
        <s v=" Signed S Logan Ryan."/>
        <s v=" Re-signed RB Leonard Fournette."/>
        <s v=" Signed franchise-tagged WR Chris Godwin to a three-year contract."/>
        <s v=" Signed unrestricted free agent WR Russell Gage."/>
        <s v=" Re-signed CB Carlton Davis."/>
        <s v=" Re-signed C Ryan Jensen."/>
        <s v=" Re-signed G Aaron Stinnie."/>
        <s v=" Placed G Ali Marpet on the reserve/retired list."/>
        <s v=" Placed the 2022 non-exclusive franchise tag on WR Chris Godwin."/>
        <s v=" Named Bob Sanders outside linebackers coach, Joey Fitzgerald defensive quality control coach and Jeff Kastl offensive quality control coach."/>
        <s v=" Re-signed T Brandon Walton."/>
        <s v=" Activated WR Chris Godwin, G Sadarius Hutcherson, DL Patrick O'Connor and CB Richard Sherman from injured reserve."/>
        <s v=" Signed S Chris Cooper to a reserve/futures contract."/>
        <s v=" Signed P Sterling Hofrichter, T Jonathan Hubbard, WR Travis Jonsen, WR Vyncint Smith and WR Austin Watkins to reserve/futures contracts."/>
        <s v=" WR John Brown and QB Ryan Griffin revert to practice squad after Divisional Round elevation."/>
        <s v=" Activated RB Leonard Fournette from injured reserve."/>
        <s v=" Re-signed CB Rashard Robinson to the practice squad."/>
        <s v=" Signed WR Justin Watson to the practice squad."/>
        <s v=" RB Kenjon Barner and TE Codey McElroy revert to practice squad after Wild Cad Week elevation."/>
        <s v=" Activated RB Giovani Bernard and ILB Lavonte David from injured reserve."/>
        <s v=" Signed WR John Brown to the practice squad."/>
        <s v=" RB Giovani Bernard, ILB Lavonte David and RB Leonard Fournette designated as returned to practice."/>
        <s v=" Activated OLB Shaquil Barrett and K Jose Borregales from the reserve/COVID-19 list."/>
        <s v=" RB Kenjon Barner and TE Darren Fells revert to practice squad after Week 18 elevation."/>
        <s v=" Signed DL Vita Vea to a four-year contract extension."/>
        <s v=" Signed WR Cyril Grayson to the active roster from the practice squad."/>
        <s v=" Placed OLB Shaquil Barrett on the reserve/COVID-19 list."/>
        <s v=" Released WR Antonio Brown."/>
        <s v=" Activated P Bradley Pinion from the reserve/COVID-19 list."/>
        <s v=" Activated WR Jaelon Darden from the reserve/COVID-19 list."/>
        <s v=" RB Kenjon Barner, WR Cyril Grayson, P Sterling Hofrichter and OLB Elijah Ponder revert to practice squad after Week 17 elevation."/>
        <s v=" Activated CB Jamel Dean and CB Sean Murphy-Bunting from the reserve/COVID-19 list."/>
        <s v=" Signed DT C.J. Brewer, DT Prince Emili, CB Ja'Marcus Ingram and T Will Ulmer."/>
        <s v=" Signed T Alec Anderson, RB Raheem Blackshear, CB Travon Fuller, DE Kingsley Jonathan, G Derek Kersetter, T Tanner Owen, WR Neil Pau'u, WR Malik Williams and TE Jalen Wydermyer."/>
        <s v=" Selected WR Khalil Shakir in the fifth round, P Matt Araiza, CB Christian Benford and OL Luke Tenuta in the sixth round and LB Baylon Spector in the seventh round of the NFL Draft."/>
        <s v=" Selected RB James Cook in the second round and LB Terrel Bernard in the third round of the NFL Draft."/>
        <s v=" Selected CB Kaair Elam in the first round of the NFL Draft."/>
        <s v=" Signed OL David Quessenberry to a one-year contract."/>
        <s v=" Signed OL Bobby Hart to a one-year contract."/>
        <s v=" Signed WR Stefon Diggs to a four-year extension."/>
        <s v=" Signed OL Ryan Bates to a four-year contract and RB Taiwan Jones to a one-year contract."/>
        <s v=" Signed OL Ike Boettger to a one-year contract."/>
        <s v=" Signed WR Jamison Crowder and RB Duke Johnson to one-year contracts."/>
        <s v=" Signed QB Matt Barkley and OL Greg Mancz to one-year contracts."/>
        <s v=" Acquired QB Case Keenum via trade with Cleveland in exchange for Buffalo's 2022 seventh round pick."/>
        <s v=" Released DT Star Lotulelei. Signed LB Marquel Lee and DE Shaq Lawson to one-year contracts."/>
        <s v=" Released WR Cole Beasley. Signed DT Tim Settle to a two-year contract and DT Jordan Phillips to a one-year contract."/>
        <s v=" Signed DT DaQuan Jones to a two-year contract, signed TE O.J. Howard to a one-year contract and signed LB Von Miller to a six-year contract."/>
        <s v=" Released OL Daryl Williams. Signed C Mitch Morse to a two-year contract extension. Signed OL Rodger Saffold to a one-year contract."/>
        <s v=" Signed WR Isaiah McKenzie to a two-year contract."/>
        <s v=" Signed WR Jake Kumerow to a one-year contract."/>
        <s v=" Released OL Jon Feliciano."/>
        <s v=" Released LB A.J. Klein."/>
        <s v=" Signed CB Siran Neal to a three-year contract."/>
        <s v=" Signed LB Tyrel Dodson to a one-year contract."/>
        <s v=" Named Matthew Smiley as special teams coordinator."/>
        <s v=" Signed DT Eli Ankou to a reserve/future contract."/>
        <s v=" Named Ken Dorsey as offensive coordinator."/>
        <s v=" Signed CB Olaijah Griffin to a reserve/future contract."/>
        <s v=" Signed to reserve/future contract: DT Brandin Bryant, OL Jacob Capra, WR Tanner Gentry, LB Joe Giles-Harris, CB Tim Harris, WR Isaiah Hodgins , DE Mike Love, CB Nick McCloud, TE Quintin Morris, S Josh Thomas."/>
        <s v=" Signed RB Antonio Williams to the practice squad and released WR Austin Proehl from practice squad."/>
        <s v=" Signed S JT Woods."/>
        <s v=" Signed RB Isaiah Spiller."/>
        <s v=" Signed G Zion Johnson."/>
        <s v=" Signed DL Morgan Fox."/>
        <s v=" Claimed T Zack Bailey off waivers."/>
        <s v=" Signed WR Trevon Bradford, RB Leddie Brown, FB Zander Horvath, TE Erik Krommenhoek, S Raheem Layne, DB Deane Leonard, LB Tyreek Maddox-Williams, RB Kevin Marks Jr., K James McCourt, DL Otito Ogbonnia, QB Brandon Peters, G Jamaree Salyer, CB Brandon Sebastian, OLB Ty Shelby, TE Stone Smartt, DB Ja'Sir Taylor, S Skyler Thomas, T Andrew Trainer and C Isaac Weaver."/>
        <s v=" Signed CB Bryce Callahan and OLB Kyle Van Noy."/>
        <s v=" Traded two 2022 seventh-round selections to Chicago for 2023 sixth-round selection."/>
        <s v=" Signed C/G Will Clapp."/>
        <s v=" Re-signed T Storm Norton."/>
        <s v=" Signed LB Troy Reeder. Re-signed WR Jalen Guyton and TE Donald Parham Jr."/>
        <s v=" Signed WR DeAndre Carter."/>
        <s v=" Signed TE Gerald Everett."/>
        <s v=" Signed LS Josh Harris and P JK Scott."/>
        <s v=" Signed CB J.C. Jackson and DL Austin Johnson. Re-signed DL Christian Covington and QB Chase Daniel."/>
        <s v=" Signed DL Sebastian Joseph-Day."/>
        <s v=" Traded 2022 second-round selection and 2023 sixth-round selection to Chicago for OLB Khalil Mack."/>
        <s v=" Released T Bryan Bulaga."/>
        <s v=" Extended exclusive rights tenders to WR Jalen Guyton, T Storm Norton and TE Donald Parham Jr."/>
        <s v=" Signed WR Mike Williams to contract extension."/>
        <s v=" Signed OLB Jamal Davis II to Reserve/Future contract."/>
        <s v=" Signed WR Joe Reed to Reserve/Future contract."/>
        <s v=" Signed WR Michael Bandy, DL Andrew Brown, LB Cole Christiansen, DB Ben DeLuca, OLB Emeke Egbule, WR Maurice Ffrench, G Ryan Hunter, TE Hunter Kampmoyer, DL Forrest Merrill, WR Jason Moore Jr., and T Foster Sarell to Reserve/Future contracts."/>
        <s v=" Activated OLB Kyler Facrell from Reserve/Injured; Designated for Return. Waived CB Essang Bassey."/>
        <s v=" Activated TE Jared Cook from Reserve/COVID-19. Activated LB Damon Lloyd from Reserve/COVID-19 and remains on Reserve/Injured."/>
        <s v=" Activated LB Kenneth Murray Jr., from Reserve/COVID-19. Restored DL Andrew Brown from Practice Squad; COVID-19. Reverted LB Cole Christiansen and TE Hunter Kampmoyer to practice squad. Released LS Beau Brinkley from practice squad."/>
        <s v=" Activated S Nasir Adderley, S Alohi Gilman, CB Chris Harris Jr., CB Davontae Harris, K Dustin Hopkins, T Storm Norton, LS Matt Overton and T Trey Pipkins III from Reserve/COVID-19. Activated LB Cole Christiansen (COVID-19 elevation) and TE Hunter Kampmoyer (COVID-19 elevation) from practice squad."/>
        <s v=" Acquired WR N'Keal Harry from New England Patriots via trade for 2024 7th-round draft pick."/>
        <s v=" Waived LS Antonio Ortiz."/>
        <s v=" Signed DB Kyler Gordon to four-year contract."/>
        <s v=" Signed DB Jayson Stanley."/>
        <s v=" Placed OL Dakota Dozier on Reserve/Injured."/>
        <s v=" Released LB Jeremiah Attaochu."/>
        <s v=" Signed DL Mike Pennel."/>
        <s v=" Signed WR Velus Jones Jr. to four-year contract."/>
        <s v=" Signed OL Shon Coleman to one-year contract. Waived P Ryan Winslow."/>
        <s v=" Signed OL Zachary Thomas to four-year contract."/>
        <s v=" Waived WR Cyrus Holder and WR Henry Litwin."/>
        <s v=" Signed WR Dante Pettis and WR Tajae Sharpe to one-year contracts."/>
        <s v=" Signed QB Nathan Peterman to one-year contract."/>
        <s v=" Waived TE Jesper Horsted with failed physical designation."/>
        <s v=" Claimed TE Rysen John off waivers."/>
        <s v=" Waived QB Ryan Willis."/>
        <s v=" Waived LB Jaylan Alexander, DB Amari Carter, WR Landon Lenoir, LB Ledarius Mack, WR Savon Scarver and RB Master Teague."/>
        <s v=" Signed LB Christian Albright, DB Jon Alexander, LS Antonio Ortiz, DL Carson Taylor, DB A.J. Thomas and RB De'Montre Tuggle."/>
        <s v=" Signed LB Jaylan Alexander, TE Chase Allen, LB C.J. Avery, DB Amari Carter, OL Jean Delance, DL Micah Dew-Treadway, DB Allie Green IV, WR Cyrus Holder, DB Jaylon Jones, WR Landon Lenoir, WR Henry Litwin, LB Jack Sanborn, WR Kevin Shaa, WR Savon Scarver, RB Master Teague and TE Jake Tonges."/>
        <s v=" Waived OL Tyrone Wheatley Jr."/>
        <s v=" Signed OL Ja'Tyre Carter, RB Trestan Ebner, P Trenton Gill, DB Elijah Hicks, OL Braxton Jones, OL Doug Kramer and DL Dominique Robinson to four-year contracts."/>
        <s v=" Claimed WR Chris Finke off waivers."/>
        <s v=" Released QB Nick Foles."/>
        <s v=" Signed OL JuliÃ©n Davenport to one-year contract."/>
        <s v=" Signed WR David Moore and DB Greg Stroman Jr. to one-year contracts."/>
        <s v=" Signed TE James O'Shaughnessy to one-year contract."/>
        <s v=" Signed DB Tavon Young to one-year contract."/>
        <s v=" Signed LB Matt Adams to one-year contract."/>
        <s v=" Signed TE Ryan Griffin to one-year contract."/>
        <s v=" Signed TE Jesper Horsted to one-year contract."/>
        <s v=" Signed DB Dane Cruikshank to one-year contract."/>
        <s v=" Signed QB Trevor Siemian to two-year contract."/>
        <s v=" Signed OL Dakota Dozier to one-year contract."/>
        <s v=" Signed FB Khari Blasingame to one-year contract."/>
        <s v=" Signed DB DeAndre Houston-Carson to one-year contract."/>
        <s v=" Signed WR Byron Pringle to one-year contract."/>
        <s v=" Signed DL Al-Quadin Muhammad to two-year contract."/>
        <s v=" Signed LB Nicholas Morrow to one-year contract."/>
        <s v=" Signed WR Equanimeous St. Brown to one-year contract."/>
        <s v=" Signed DL Justin Jones to two-year contract."/>
        <s v=" Signed OL Lucas Patrick to two-year contract."/>
        <s v=" Released LS Beau Brinkley."/>
        <s v=" Acquired 2022 2nd-round draft pick and 2023 6th-round draft pick from Los Angeles Chargers via trade for LB Khalil Mack."/>
        <s v=" Re-signed OL Lachavious Simmons to one-year contract."/>
        <s v=" Signed LS Patrick Scales to one-year contract extension through 2022."/>
        <s v=" Released RB Tarik Cohen."/>
        <s v=" Released LB Danny Trevathan."/>
        <s v=" Released DL Eddie Goldman."/>
        <s v=" Claimed RB Darrynton Evans off waivers."/>
        <s v=" Signed LB Joe Thomas."/>
        <s v=" Signed LB Noah Dawkins."/>
        <s v=" Signed LS Beau Brinkley and P Ryan Winslow."/>
        <s v=" Signed OL Willie Wright to Reserve/Future contract."/>
        <s v=" Signed DB Lamar Jackson to Reserve/Future contract."/>
        <s v=" Signed DL Auzoyah Alufohai, WR Isaiah Coulter, OL Dieter Eiselen, DB Michael Joseph, DB BoPete Keyes), DL LaCale London, LB Ledarius Mack, LB Charles Snowden, WR Nsimba Webster, OL Tyrone Wheatley Jr. and QB Ryan Willis to Reserve/Future contracts."/>
        <s v=" Signed WR Dazz Newsome to active roster."/>
        <s v=" Placed QB Justin Fields on Reserve/COVID-19 list."/>
        <s v=" Signed LB John Daka to practice squad."/>
        <s v=" Placed WR Jakeem Grant Sr. on Reserve/Injured."/>
        <s v=" Signed DB Stanford Samuels to practice squad."/>
        <s v=" Placed LB Charles Snowden on Reserve/COVID-19 list."/>
        <s v=" Placed TE Jesper Horsted on Reserve/Injured."/>
        <s v=" Waived DB Dee Virgin from practice squad."/>
        <s v=" Removed TE Jesper Horsted and LB Joel Iyiegbuniwe from Reserve/COVID-19 list."/>
        <s v=" Luq Barcoo (DB) waived. Mathew Sexton (WR) waived/injured. Chris Lammons (DB), Aaron parker (WR) signed."/>
        <s v=" Skyy Moore (WR), Jerick McKinnon (RB) signed. Darryl Williams (C) waived"/>
        <s v=" Vitaliy Gurman (T) signed"/>
        <s v=" Chris Glaser (G), Gary Jennings (WR), Austin Reiter (C) signed. Anthony Gordon (QB), Brenden Knox (RB), Gene Pryor (T), Darius Stills (DT) waived."/>
        <s v=" Signed the following draft choices: Bryan Cook (DB), Nazeeh Johnson (DB), George Karlaftis (DE), Darian Kinnard (T), Trent McDuffie (DB), Isiah Pacheco (RB), Jaylen Watson (DB). Signed the following College Free Agents: Mike Caliendo (G), Jack Cochrane (LB), Dustin Crum (QB), Jerrion Ealy (RB), Tayon Fleet-Davis (RB), Nasir Greer (DB), Kehinde Oginni (TE), Gene Pryor (T), Mike Rose (LB), Justyn Ross (WR). Waived the following player: Austin Reiter (C)."/>
        <s v=" Gehrig Dieter (WR) Nakia Griffin-Stewart (TE), Gary Jennings (WR), Lorenzo Neal (DT), Josh Pederson (TE), Jonathan Woodard (DE) waived"/>
        <s v=" Chris Finke (WR) waived"/>
        <s v=" Lonnie Johnson (CB) acquired via trade with Houston Texans"/>
        <s v=" Anthony Gordon (QB) signed"/>
        <s v=" Deon Bush (S), Ronald Jones (RB) signed"/>
        <s v=" Jermaine Carter (LB) signed"/>
        <s v=" Luq Barcoo (DB), Blake Bell (TE), Geron Christian (T), Corey Coleman (WR), Chad Henne (QB), Elijah Lee (LB), Austin Reiter (C), Derrick Nnadi (DT) signed"/>
        <s v=" Marquez Valdes-Scantling (WR), Luq Barcoo (DB), Blake Bell (TE), Geron Christian (T), Corey Coleman (WR), Chad Henne (QB), Elijah Lee (LB), Austin Reiter (C), Derrick Nnadi (DT) signed"/>
        <s v=" Michael Burton (FB) signed"/>
        <s v=" JuJu Smith-Schuster (WR) signed"/>
        <s v=" Andrew Wylie (OL) signed"/>
        <s v=" Justin Reid (S) agreed to terms"/>
        <s v=" Orlando Brown (T) tagged with Non-Exclusive Franchise Tag"/>
        <s v=" Anthony Hitchens (LB) released"/>
        <s v=" Shilique Calhoun (LB) signed to Reserve/Future"/>
        <s v=" Brandin Dandridge (DB), Nakia Griffin-Stewart (TE), Jonathan Woodard (DE), Justin Watson (WR) signed to Reserve/Future"/>
        <s v=" Dicaprio Bootle (DB), Cortez Broughton (DT), Matt Bushman (TE), Gehrig Dieter (WR), Austin Edwards (DE), Daurice Fountain (WR), Josh Gordon (WR), Darius Harris (LB), Roderick Johnson (T), Devon Key (DB), Cornell Powell (WR), Mark Vital (TE), Darryl Williams (C) signed to Reserve/Futures"/>
        <s v=" Fountain, Daurice (WR) activated from Practice Squad via Standard Elevation. Arnette, Damon (DB) waived."/>
        <s v=" Josh Gordon (WR) moved to Practice Squad. Khalen Saunders (DL) moved to Active Roster."/>
        <s v=" Joe Jackson (DE), Andrew Billings (DT), Roderick Johnson (DT) signed to Practice Squad. Elijah McGuire (RB) released from Practice Squad. Mark Vital (TE) restored to Practice Squad. Damon Arnette (DB), Chris Finke (WR) signed to Reserve/Future."/>
        <s v=" Shilique Calhoun (LB), Nakia Griffin-Stewart (TE) and Elijah Sullivan (LB) released from Practice Squad"/>
        <s v=" Josh Jackson (DB) released from Practice Squad"/>
        <s v=" Daurice Fountain (WR), Darwin Thompson (RB) activated from Practice Squad via Standard Elevation."/>
        <s v=" Darwin Thompson (RB) signed to Practice Squad"/>
        <s v=" Omar Bayless (WR), Jordan Franks (TE), Gary Jennings (WR), Brenden Knox (RB), Lorenzo Neal (DT), Mathew Sexton (WR), Darius Stills (DT) signed to Reserve/Futures. Joshua Kaindoh (DE) activated from Injured Reserve."/>
        <s v=" Signed LB Dakota Allen"/>
        <s v=" Signed K Cade York"/>
        <s v=" Signed RB D'Ernest Johnson"/>
        <s v=" Re-signed TE David Njoku"/>
        <s v=" Re-signed DE Jadeveon Clowney"/>
        <s v=" Signed TE Nakia Griffin-Stewart and waived TE Nick Guggemos"/>
        <s v=" Waived QB Felix Harper"/>
        <s v=" Signed CB Parnell Motley"/>
        <s v=" Claimed S Luther Kirk and CB Reggie Robinson II"/>
        <s v=" Waived CB Junior Faulk"/>
        <s v=" Waived RB Tre Harbison"/>
        <s v=" Signed undrafted free-agents S D'Anthony Bell, CB Junior Faulk, WR Mike Harley Jr., WR Travell Harris, C Brock Hoffman, CB Shaun Jolly, LB Silas Kelly, DT Glen Logan, TE Zaire Mitchell-Paden, DT Roderick Perry II, T Ben Petrula, WR Isaiah Weston"/>
        <s v=" Signed CB Martin Emerson Jr., DE Alex Wright, WR David Bell, RB Jerome Ford, WR Mike Woods II, DE Isaiah Thomas, G Dawson Deaton"/>
        <s v=" Waived Ks Chase McLaughlin and Chris Blewitt"/>
        <s v=" Signed undrafted free-agent TE Marcus Santos-Silva"/>
        <s v=" Drafted K Cade York"/>
        <s v=" Drafted WR Michael Woods II"/>
        <s v=" Traded CB Troy Hill to Los Angeles Rams for 2023 fifth-round pick"/>
        <s v=" Drafted C Dawson Deaton"/>
        <s v=" Drafted RB Jerome Ford"/>
        <s v=" Traded 2022 4th round (118) pick to Vikings for 2022 5th round (156) and 2023 4th round pick"/>
        <s v=" Drafted DT Perrion Winfrey"/>
        <s v=" Drafted DE Isaiah Thomas"/>
        <s v=" Drafted DE Alex Wright"/>
        <s v=" Drafted CB Martin Emerson"/>
        <s v=" Drafted WR David Bell"/>
        <s v=" Traded 2022 2nd (44th) to Texans for 2022 3rd (68th) and two 2022 4ths (108th and 124th)"/>
        <s v=" Re-signed DT Sheldon Day"/>
        <s v=" Signed DE Stephen Weatherly"/>
        <s v=" Signed C Ethan Pocic"/>
        <s v=" Signed K Chase McLaughlin"/>
        <s v=" Signed P Corey Bojorquez"/>
        <s v=" Signed QB Jacoby Brissett"/>
        <s v=" Re-signed LB Anthony Walker Jr."/>
        <s v=" Agreed to terms with DT Taven Bryan"/>
        <s v=" Agreed to terms with WR Jakeem Grant"/>
        <s v=" Traded LB Mack Wilson to New England Patriots for DE Chase Winovich"/>
        <s v=" Released TE Austin Hooper"/>
        <s v=" Re-signed T Chris Hubbard"/>
        <s v=" Traded 2022 5th (155) and 2022 6th round (193) picks to Dallas Cowboys for WR Amari Cooper and 2022 6th round pick (202)"/>
        <s v=" Terminated contract of C JC Tretter"/>
        <s v=" Terminated contract of WR Jarvis Landry"/>
        <s v=" Tendered G Michael Dunn"/>
        <s v=" Designated TE David Njoku as franchise player"/>
        <s v=" Tendered G Blake Hance"/>
        <s v=" Tendered WR Ja'Marcus Bradley"/>
        <s v=" Signed P Joseph Charlton to reserve/futures"/>
        <s v=" Signed RB John Kelly Jr. to reserve/futures"/>
        <s v=" Signed CB Herb Miller to reserve/futures"/>
        <s v=" Signed LB Willie Harvey Jr. to reserve/futures"/>
        <s v=" Signed T Elijah Nkansah to reserve/futures"/>
        <s v=" Signed K Chris Blewitt to reserve/futures"/>
        <s v=" Signed TE Nick Guggemos to reserve/futures"/>
        <s v=" Signed TE Miller Forristall to reserve/futures"/>
        <s v=" Signed G Hjalte Froholdt to reserve/futures"/>
        <s v=" Signed G David Moore to reserve/futures"/>
        <s v=" Signed FB Johnny Stanton IV to reserve/futures"/>
        <s v=" Signed CB Nate Meadors to reserve/futures"/>
        <s v=" Signed T Alex Taylor to reserve/futures"/>
        <s v=" Signed DE Curtis Weaver to reserve/futures"/>
        <s v=" Elevated CB Herb Miller to the active roster from the practice squad (COVID-19)"/>
        <s v=" Elevated S Adrian Colbert to active roster from practice squad (COVID-19)"/>
        <s v=" Elevated DE Curtis Weaver to active roster from practice squad (COVID-19)"/>
        <s v=" Elevated G Hjalte Froholdt to active roster from practice squad (COVID-19)"/>
        <s v=" Waived LB Willie Harvey Jr."/>
        <s v=" Elevated CB Brian Allen to the active roster from the practice squad (COVID-19)"/>
        <s v=" Placed LB Malcolm Smith on reserve/COVID-19"/>
        <s v=" Activated RB D'Ernest Johnson from reserve/COVID-19"/>
        <s v=" Placed CB Denzel Ward on reserve/COVID-19"/>
        <s v=" Placed DE Joe Jackson on practice squad/COVID-19"/>
        <s v=" Signed T Alex Taylor to practice squad"/>
        <s v=" Signed RB Benny LeMay to practice squad"/>
        <s v=" Placed DT Malik Jackson on reserve/COVID-19"/>
        <s v=" Placed K Chris Blewitt on practice squad/COVID-19"/>
        <s v=" Released T Elijah Nkansah from practice squad"/>
        <s v=" Signed RB Dexter Williams (via Miami practice squad)"/>
        <s v=" Placed LB Sione Takitaki (shoulder) on reserve/injured"/>
        <s v=" Signed RB Artavis Pierce to practice squad"/>
        <s v=" Signed QB Nick Mullens to active roster from practice squad"/>
        <s v=" Activated LB Tony Fields II from reserve/COVID-19"/>
        <s v=" Placed QB Baker Mayfield (shoulder) on reserve/injured"/>
        <s v=" Placed RB Dexter Williams on reserve/COVID-19"/>
        <s v=" Placed RB D'Ernest Johnson on reserve/COVID-19"/>
        <s v=" Placed S Jovante Moffatt on practice squad/COVID-19"/>
        <s v=" Activated LB Elijah Lee from reserve/COVID-19"/>
        <s v=" Restored S Tedric Thompson to practice squad from practice squad/COVID-19"/>
        <s v=" Signed TE Nick Guggemos to practice squad"/>
        <s v=" Waived QB Kyle Lauletta"/>
        <s v=" Restored QB Nick Mullens to practice squad from practice squad/COVID-19"/>
        <s v=" Waived T Alex Taylor from reserve/COVID-19"/>
        <s v=" Placed TE Miller Forristall (hamstring) on practice squad/injured"/>
        <s v=" Elevated G Hjalte Froholdt to active roster from practice squad"/>
        <s v=" Elevated S Adrian Colbert to active roster from practice squad"/>
        <s v=" Ifeadi Odenigbo (DE) signed; Khari Willis (S) placed on the Reserve/Retired list."/>
        <s v=" Bryan Cox (DE), Jason Spriggs (T) signed; Cullen Wick (DE) waived"/>
        <s v=" Caeveon Patton (DT) signed; Jordan Glasgow (LB), McKinley Williams III (DT) waived"/>
        <s v=" Ty'Son Williams (RB) signed as free agent; Alex Mollette (C) waived"/>
        <s v=" Nick Foles (QB) signed as free agent; James Morgan (QB) waived"/>
        <s v=" Phillip Lindsay (RB) signed as free agent; Max Borghi (RB) waived"/>
        <s v=" Nick Cross (S) signed contract"/>
        <s v=" Jack Coan (QB), Ethan Fernea (WR), D'vonte Price (RB), Dallis Flowers (CB), CJ Verdell (RB), Marcel Dabo (DB), Max Borghi (RB), Trevor Denbow (S), James Skalski (LB), Forrest Rhyne (LB), Sterling Weatherford (LB), JoJo Domann (LB), Josh Seltzner (G), Wesley French (C), Alex Mollette (C), Cullen Wick (DE), McKinley Williams III (DT), Scott Patchan (DE), Ryan Van Demark (T), Michael Young Jr. (WR), Samson Nacua (WR), Kekoa Crawford (WR) signed as undrafted free agents"/>
        <s v=" Eric Johnson (DT), Andrew Ogletree (TE), Curtis Brooks (DT), Rodney Thomas II (DB) signed contracts"/>
        <s v=" Dennis Kelly (T) signed as free agent; Shon Coleman (T), Malik Jefferson (LB) released; Farrod Green (TE), Eli Wolf (TE) waived"/>
        <s v=" Alec Pierce (WR) selected with 53rd pick in 2022 NFL Draft; Jelani Woods (TE) selected with 73rd pick in 2022 NFL Draft; Bernhard Raimann (OT) selected with 77th pick in 2022 NFL Draft; Nick Cross (S) selected with 96th pick in 2022 NFL Draft"/>
        <s v=" Eric Johnson (DT) selected in fifth round of NFL Draft; Andrew Ogletree (TE) selected in sixth round of NFL Draft; Curtis Brooks (DT) selected in sixth round of NFL Draft; Rodney Thomas (CB) selected in seventh round of NFL Draft"/>
        <s v=" Ashton Dulin (WR) signed tender"/>
        <s v=" Stephon Gilmore (CB) signed as free agent"/>
        <s v=" Brandon Kemp (T) signed as free agent"/>
        <s v=" Rodney McLeod (S) signed as free agent"/>
        <s v=" Brandon King (LB) signed as free agent"/>
        <s v=" Armani Watts (S) signed as free agent"/>
        <s v=" Matt Ryan (QB) acquired from Atlanta Falcons in exchange for 2022 third-round pick (No. 82 overall)"/>
        <s v=" Brandon Facyson (CB) signed as free agent"/>
        <s v=" Yannick Ngakoue (DE) acquired in trade with Las Vegas Raiders in exchange for Rock Ya-Sin (CB)"/>
        <s v=" Zaire Franklin (LB), Tyquan Lewis (DE) signed contract extensions"/>
        <s v=" Colts acquire 2022 second-round pick (No. 42), 2022 third-round pick (No. 73) and conditional 2023 third-round pick from Washington Commanders in exchange for Carson Wentz (QB), 2022 second-round pick (No. 47) and 2022 seventh-round pick (No. 240)"/>
        <s v=" Zaire Franklin (LB), Tyquan Lewis (DE), Matt Pryor (T) signed contract extensions"/>
        <s v=" Mo Alie-Cox (TE) signed contract extension"/>
        <s v=" Tony Brown (CB) signed"/>
        <s v=" Jack Doyle (TE) placed on Reserve/Retired list"/>
        <s v=" Marvell Tell III (CB) re-signed"/>
        <s v=" R.J. McIntosh (DT), Jake Verity (K) signed to reserve/future contracts"/>
        <s v=" Nikola Kalinic (TE) signed to reserve/future contract"/>
        <s v=" Jordan Murray (T) signed to reserve/future contract"/>
        <s v=" Alexander Myres (CB) signed to reserve/future contract"/>
        <s v=" Andrew Sendejo (S) activated from Reserve/COVID-19 list"/>
        <s v=" Anthony Chesley (CB), Kameron Cline (DE), Shon Coleman (T), Keke Coutee (WR), Farrod Green (TE), DeMichael Harris (WR), Michael Jacobson (TE), Malik Jefferson (LB), James Morgan (QB), Carter O'Donnell (G/T), Will Redmond (S), Chris Wilcox (CB), Chris Williams (DT), Eli Wolf (TE) signed to reserve/future contracts"/>
        <s v=" Parris Campbell (WR) activated from injured reserve; Anthony Chesley (CB), Chris Williams (DT) elevated to active roster from practice squad; Will Redmond (S) elevated to active roster from practice squad as COVID-19 replacement"/>
        <s v=" Andrew Sendejo (S) placed on Reserve/COVID-19 list"/>
        <s v=" Luke Rhodes (LS) activated from Reserve/COVID-19 list"/>
        <s v=" Shon Coleman (T) signed to practice squad"/>
        <s v=" Malik Jefferson (LB) waived"/>
        <s v=" Malik Jefferson (LB) activated from Reserve/COVID-19 list, James Morgan (QB) and Eli Wolf (TE) restored to practice squad from Practice Squad/COVID-19 list, Kyle Nelson (LS) released from practice squad."/>
        <s v=" T.J. Carrie (CB), Braden Smith (T), Carson Wentz (QB) activated from Reserve/COVID-19 list; Kyle Nelson (LS), Will Redmond (S) elevated from practice squad to active roster; Brett Hundley (QB), Chris Williams (DT) elevated from practice squad to active roster as COVID-19 replacements; Joey Hunt (C), Greg Senat (T) waived; Chris Wilcox (CB) restored to practice squad from Practice Squad/COVID-19 list"/>
        <s v=" Signed CBs DeJuan Neal and Channing Stribling. Released CBs Nijuel Hill and Devin Taylor."/>
        <s v=" Signed DT Justin Hamilton. Signed T Willie Beavers"/>
        <s v=" Waived K Brian Johnson. Waived DB Will Adams"/>
        <s v=" Signed T Aaron Monteiro."/>
        <s v=" Released OT Drew Himmelman"/>
        <s v=" Signed T Drew Himmelman. Released G Zack Bailey,"/>
        <s v=" Signed QB Sam Howell, TE Cole Turner, OG Chris Paul and CB Christian Holmes."/>
        <s v=" Signed WR/KR Alex Erickson."/>
        <s v=" Commanders sign G Trai Turner."/>
        <s v=" Signed CBs DeVante Cross, Josh Drayden and Devin Taylor, WRs Jequez Ezzard and Kyric McGowan, S Ferrod Gardner, TEs Curtis Hodges and Armani Rogers, QB Cole Kelley, DE Jacub Panasiuk, G Devin Taylor, OLB Trai Turner and LBs Tre Walker and Drew White."/>
        <s v=" Exercised the fift-year option on DE Montez Sweat."/>
        <s v=" Announced OL Keith Ismael signed his contract tender."/>
        <s v=" Re-signed K Joey Slye."/>
        <s v=" Released CB D.J. Hayden."/>
        <s v=" Re-signed Cs Tyler Larsen, Jon Toth, CB Troy Apke, LB Milo Eifler and DT Daniel Wise. Signed WR Cam Sims, G Andrew Norwell and CB Bobby McCain."/>
        <s v=" Released G Ereck Flowers Sr., DT Matt Ioannidis and S Deshazor Everett."/>
        <s v=" Traded for QB Carson Wentz"/>
        <s v=" Re-signed K Brian Johnson."/>
        <s v=" Signed LB David Mayo to a contract extension."/>
        <s v=" Signed CB D.J. Hayden to a reserve/future contract."/>
        <s v=" Activated LB Jordan Kunaszyk off the Reserve/COVID-19 list and signed him to a contract extension."/>
        <s v=" Activated DT David Bada off the Reserve/COVID-19 list and signed to a Reserve/Future contract"/>
        <s v=" Signed RB Jonathan Williams to a contract extension. Signed CB Corn Elder to a contract extension. Signed FB Alex Armah to a Reserve/Futures contract. Signed RB Reggie Bonnafon to a Reserve/Futures contract."/>
        <s v=" Signed G Zack Bailey to a Reserve/Future contract. Signed C/G Beau Benzschawel to a Reserve/Future contract.G Deion Calhoun to a Reserve/Futures contract. Signed DT Tyler Clark to a Reserve/Future contract. Signed WR Antonio Gandy-Golden to a Reserve/Future contract. Signed WR Kelvin Harmon to a Reserve/Future contract. Signed G Nolan Laufenberg to a Reserve/Future contract. Signed WR Marken Michel to a Reserve/Future contract. Activated CB William Jackson III from the Reserve/COVID-19 list."/>
        <s v=" Placed TE Ricky Seals-Jones on the Reserve/Injured list. Placed LB Jordan Kunaszyk on the Reserve/COVID-19 list. Signed DE William Bradley-King off the practice squad. Signed S Jeremy Reaves off the practice squad. Elevated FB Alex Armah off the practice squad. Elevated TE Temarrick Hemingway off the practice squad."/>
        <s v=" Activated RB Antonio Gibson off the Reserve/COVID-19 list. Activated G Ereck Flowers Sr. off the Reserve/COVID-19 list. Placed CB William Jackson III on the Reserve/COVID-19 list."/>
        <s v=" Activated P Tress Way from the Reserve/COVID-19 list. Activated QB Kyle Shurmur from the Reserve/COVID-19 list. Signed WR Antonio Gandy-Golden to the practice squad. Released QB Kyle Shurmur and P Ryan Winslow."/>
        <s v=" Activated T Sam Cosmi off the Reserve/COVID-19 list. Activated CB Darryl Roberts off the Reserve/COVID-19 list. Signed LB De'Jon Harris from the practice squad. Activated C/G Beau Benzschawel from the Reserve/COVID-19 list. Activated T David Steinmetz from the Reserve/COVID-19 list."/>
        <s v=" Activated DE William Bradley-King as a COVID-19 replacement. Activated LB De'Jon Harris as a COVID-19 replacement. Activated CB D.J. Hayden as a COVID-19 replacement. Activated S Jeremy Reaves as a COVID-19 replacement. Activated RB Wendell Smallwood as a COVID-19 replacement. Elevated G Deion Calhoun from the practice squad. Elevated P Ryan Winslow from the practice squad. Release WR Antonio Gandy-Golden."/>
        <s v=" Signed DE Jonathan Kongbo to a future contract."/>
        <s v=" Signed DE Marquiss Spencer to a future contract."/>
        <s v=" Signed TE Shaun Beyer, RB Damarea Crockett, WR Travis Fulgham, T Drew Himmelman, G Zack Johnson and ILB Barrington Wade to future contracts."/>
        <s v=" Signed T Quinn Bailey and WR Tyrie Cleveland to the active roster from the practice squad."/>
        <s v=" Activated DL McTelvin Agim, ILB Baron Browning, CB Bryce Callahan, OLB Bradley Chubb, OLB Jonathon Cooper, CB Mike Ford, WR Jerry Jeudy, T Bobby Massie, WR Tim Patrick, DL Mike Purcell, S Caden Sterns and OLB Stephen Weatherly from the Reserve/COVID-19 list with roster exemptions."/>
        <s v=" Released OLB Pita Taumoepenu from the practice squad."/>
        <s v=" Signed DE Jonathan Harris and WR Seth Williams to the active roster from the practice squad."/>
        <s v=" Activated OLB Andre Mintze from injured reserve and Reserve/COVID-19 list."/>
        <s v=" The Detroit Lions sign DE Josh Paschal."/>
        <s v=" The Detroit Lions sign TE Devin Funchess."/>
        <s v=" The Detroit Lions place CB Jermaine Waller on Reserve/Retired."/>
        <s v=" The Detroit Lions have been assigned DE John Cominsky via waivers from the Atlanta Falcons."/>
        <s v=" The Detroit Lions release K Aldrick Rosas."/>
        <s v=" The Detroit Lions sign OLB Natrez Patrick and waive OLB Jessie Lemonier."/>
        <s v=" The Detroit Lions sign RB Greg Bell, CB Cedric Boswell, TE Derrick Deese Jr., T Obinna Eze, TE Nolan Givan, G Kevin Jarvis, WR Josh Johnson, G Zein Obeid, WR Kalil Pimpleton, WR Corey Sutton, DL Demetrius Taylor and CB Jermaine Waller."/>
        <s v=" The Detroit Lions sign DE Aidan Hutchinson, WR Jameson Williams, S Kerby Joseph, TE James Mitchell, LB Malcolm Rodriguez, OLB James Houston and CB Chase Lucas."/>
        <s v=" The Detroit Lions waive S Jalen Elliott and WR Javon McKinley."/>
        <s v=" The Detroit Lions waive QB Steven Montez."/>
        <s v=" The Detroit Lions waive TE Jared Pinkney with an injury settlement."/>
        <s v=" The Detroit Lions waive LB Tavante Beckett, OLB Rashod Berry, CB Parnell Motley and TE Matt Sokol."/>
        <s v=" The Detroit Lions waive LB Curtis Bolton and TE Hunter Bryant."/>
        <s v=" The Detroit Lions sign S DeShon Elliott."/>
        <s v=" The Detroit Lions sign TE Garrett Griffin."/>
        <s v=" The Detroit Lions sign LB Jarrad Davis."/>
        <s v=" The Detroit Lions sign LB Chris Board."/>
        <s v=" The Detroit Lions sign CB Mike Hughes."/>
        <s v=" The Detroit Lions waive TE Jordan Thomas."/>
        <s v=" The Detroit Lions re-sign QB Tim Boyle and QB David Blough."/>
        <s v=" The Detroit Lions re-sign WR Kalif Raymond and OLB Charles Harris."/>
        <s v=" The Detroit Lions sign WR DJ Chark Jr."/>
        <s v=" The Detroit Lions release OLB Trey Flowers."/>
        <s v=" The Detroit Lions re-sign C Evan Brown."/>
        <s v=" The Detroit Lions re-sign S Tracy Walker."/>
        <s v=" The Detroit Lions re-sign LB Alex Anzalone, S Jalen Elliott, LB Shaun Dion Hamilton and S C.J. Moore."/>
        <s v=" The Detroit Lions re-sign OLB Rashod Berry and C Ryan McCollum."/>
        <s v=" The Detroit Lions tender exclusive rights free agents LS Scott Daly, P Jack Fox, CB Mark Gilbert, S JuJu Hughes, RB Godwin Igwebuike, WR Tom Kennedy, G Tommy Kraemer, OLB Jessie Lemonier, T Matt Nelson, K Riley Patterson, LB Anthony Pittman, CB Bobby Price and TE Brock Wright."/>
        <s v=" The Detroit Lions re-sign WR Josh Reynolds to a contract extension."/>
        <s v=" The Detroit Lions re-sign LB Josh Woods to a contract extension."/>
        <s v=" The Detroit Lions re-sign FB Jason Cabinda to a contract extension."/>
        <s v=" The Detroit Lions sign K Aldrick Rosas to a Reserve/Future contract."/>
        <s v=" The Detroit Lions sign TE Jordan Thomas to a Reserve/Future contract."/>
        <s v=" The Detroit Lions sign TE Matt Sokol to a Reserve/Future contract."/>
        <s v=" The Detroit Lions have been assigned S Juju Hughes via waivers from the Los Angeles Rams."/>
        <s v=" The Detroit Lions release WR Geronimo Allison, G Parker Ehinger, TE Nuck Eubanks, T Darrin Paulo, CB Nickell Robey-Coleman and TE Ross Travis from the practice squad."/>
        <s v=" The Detroit Lions sign DE Eric Banks, LB Tavante Beckett, DE Bruce Hector, WR Javon McKinley, QB Steven Montez, CB Parnell Motley, T Dan Skipper, CB Saivion Smith and TE Shane Zylstra to a Reserve/Future contract."/>
        <s v=" The Detroit Lions sign CB Saivion Smith to the practice squad, and release WR Juwan Green and RB Rodney Smith from the practice squad"/>
        <s v=" The Detroit Lions waive CB Saivion Smith."/>
        <s v=" The Detroit Lions re-sign T Darrin Paulo to the practice squad."/>
        <s v=" TE Daniel Bellinger - Declared Physically Unable to Perform"/>
        <s v=" DB Dane Belton - Selection List Signing"/>
        <s v=" WR Wan'Dale Robinson - Selection List Signing"/>
        <s v=" TE Daniel Bellinger - Selection List Signing"/>
        <s v=" LB T.J. Brunson - Waived, No Recall"/>
        <s v=" WR Keelan Doss - Free Agent Signing"/>
        <s v=" DB Jordan Mosley - Waived"/>
        <s v=" G Joshua Ezeudu - Selection List Signing"/>
        <s v=" DT Antonio Valentino - Waived"/>
        <s v=" CB Cor'Dale Flott - Selection List Signing"/>
        <s v=" DB Michael Jacquet - Free Agent Signing"/>
        <s v=" DB Jordan Mosley - Waived/Injured"/>
        <s v=" LB Trent Harris - Terminated, Vested Veteran, all contracts"/>
        <s v=" DE Raymond Johnson, QB Brian Lewerke - Waived"/>
        <s v=" DB Henry Black, DB Maurice Canady, DB Khalil Dorsey, DE Jalyn Holmes - Free Agent Signings"/>
        <s v=" OLB Kayvon Thibodeaux, T Evan Neal, LB Darrian Beavers, DT D.J. Davidson, LB Micah McFadden, G Marcus McKethan - Selection List Signings"/>
        <s v=" DE Ryder Anderson, DB Jordan Mosley - Undrafted Free Agent Signings"/>
        <s v=" RB Jashaun Corbin, LB Tomon Fox - Undrafted Free Agent Signings"/>
        <s v=" TE Austin Allen, DB Yusuf Corker, DT Jabari Ellis, DB Darren Evans, DB Zyon Gilbert, FB Jeremiah Hall, DT Christopher Hinton, TE Andre Miller, G Josh Rivas, DB Trenton Thompson, DT Antonio Valentino - Undrafted Free Agent Signings"/>
        <s v=" LB Omari Cobb, TE Jake Hausmann, TE Rysen John, OL Wes Martin - Waived"/>
        <s v=" CB James Bradberry - Terminated, Vested Veteran, all contracts"/>
        <s v=" TE Jordan Akins - Unrestricted Free Agent Signing"/>
        <s v=" OT Roy Mbaeteka - Free Agent Signing"/>
        <s v=" RB Sandro Platzgummer - Free Agent Signing"/>
        <s v=" OL Max Garcia - Unrestricted Free Agent Signing"/>
        <s v=" WR Richie James - Unrestricted Free Agent Signing"/>
        <s v=" DT Justin Ellis - Unrestricted Free Agent Signing"/>
        <s v=" RB Matt Breida, OL Jamil Douglas, LS Casey Kreiter, LB Jihad Ward - Unrestricted Free Agent Signing"/>
        <s v=" TE Ricky Seals-Jones - Unrestricted Free Agent Signing"/>
        <s v=" DB Logan Ryan - Terminated, Vested Veteran, all contracts"/>
        <s v=" QB Tyrod Taylor - Unrestricted Free Agent Signing"/>
        <s v=" OL Mark Glowinski - Unrestricted Free Agent Signing"/>
        <s v=" OT Korey Cunningham - Unrestricted Free Agent Signing"/>
        <s v=" DB Jarren Williams - Exclusive Rights Signing"/>
        <s v=" OL Jon Feliciano - Free Agent Signing"/>
        <s v=" WR C.J. Board - Signed, Prior to becoming a Free Agent"/>
        <s v=" WR Robert Foster - Free Agent Signing"/>
        <s v=" TE Kaden Smith - Waived"/>
        <s v=" OL Matt Gono - Free Agent Signing"/>
        <s v=" WR David Sills - Signed"/>
        <s v=" P Riley Dixon - Terminated, Vested Veteran, all contracts"/>
        <s v=" RB Devontae Booker, TE Kyle Rudolph - Terminated, Vested Veteran, all contracts"/>
        <s v=" TE Chris Myarick - Free Agent Signing"/>
        <s v=" WR Austin Proehl - Free Agent Signing"/>
        <s v=" P Jamie Gillan, QB Davis Webb - Reserve/Future Signings"/>
        <s v=" RB Antonio Williams - Reserve/Future Signing"/>
        <s v=" WR Alex Bachman - Reserve/Future Signing"/>
        <s v=" LB Omari Cobb, OT Devery Hamilton, LB Trent Harris, TE Jake Hausmann, DE Niko Lalos, QB Brian Lewerke, DT David Moa, WR Travis Toivonen - Reserve/Future Signings"/>
        <s v=" WR David Sills - Free Agent Signing from NYG Practice Squad"/>
        <s v=" WR Alex Bachman, QB Brian Lewerke - Activated, from Practice Squad (Standard Elevation)"/>
        <s v=" QB Clayton Thorson - Practice Squad Signing"/>
        <s v=" WR Dante Pettis - Activated, from Reserve/COVID (Remains on Reserve/Injured)"/>
        <s v=" DB Dwayne Johnson Jr. - Practice Squad; COVID-19"/>
        <s v=" LB Elerson Smith - Reserve/Injured"/>
        <s v=" DT Woodrow Hamilton - Practice Squad; COVID-19"/>
        <s v=" OT Korey Cunningham, DL Dexter Lawrence, DL Danny Shelton, WR Darius Slayton - Activated, from Reserve/COVID"/>
        <s v=" LB Omari Cobb, DB Ka'Darr Hollman - Restored to Practice Squad from PS, COVID"/>
        <s v=" OT Isaiah Wilson - Terminated (by Club) from Practice Squad"/>
        <s v=" TE Chris Myarick - Waived, No Recall"/>
        <s v=" WR Pharoh Cooper, OT Derrick Kelly, DT David Moa, WR David Sills - Activated, from Practice Squad (COVID-19 Replacement)"/>
        <s v=" WR Alex Bachman, DT Woodrow Hamilton - Activated, from Practice Squad (Standard Elevation)"/>
        <s v=" DB Jullian Love - Activated, from Reserve/COVID"/>
        <s v=" The Houston Texans have waived the following player from the reserve/injury list: Scottie Phillips"/>
        <s v=" The Houston Texans have released the following player: Darrell Daniels"/>
        <s v=" The Houston Texans have signed the following free agent: Chad Beebe"/>
        <s v=" The Houston Texans have signed the following player: Tre'Vour Wallace-Simms"/>
        <s v=" The Houston Texans waived the following player: Carson Green"/>
        <s v=" The Houston Texans signed the following draft pick: Christian Harris"/>
        <s v=" The Houston Texans have signed the following free agent: Fabian Moreau"/>
        <s v=" The Houston Texans have signed the following free agent: Darrell Daniels"/>
        <s v=" The Houston Texans have waived the following player: Jimmy Moreland"/>
        <s v=" The Houston Texans have acquired the following players via waivers: Kendall Sheffield and Connor Wedington"/>
        <s v=" The Houston Texans have signed the following draft picks: Kenyon Green and John Metchie III"/>
        <s v=" The Houston Texans signed the following draft picks: Thomas Booker, Austin Deculus, Dameon Pierce, Jalen Pitre, Teagan Quitoriano and Derek Stingley Jr."/>
        <s v=" The Houston Texans have signed the following free agent: Jerry Hughes"/>
        <s v=" The Houston Texans have signed the following free agent: Mario Addison"/>
        <s v=" The Houston Texans have signed the following free agent: Kevin Hogan"/>
        <s v=" The Houston Texans have waived the following players: Sam Cooper and Kingsley Keke"/>
        <s v=" The Houston Texans have signed the following unrestricted free agent: Rasheem Green"/>
        <s v=" The Houston Texans have waived the following player: Ron'Dell Carter"/>
        <s v=" The Houston Texans have signed the following player to a contract extension: Brandin Cooks"/>
        <s v=" The Houston Texans have signed the following unrestricted free agent: Marlon Mack"/>
        <s v=" The Houston Texans have signed the following unrestricted free agent: Terrence Brooks"/>
        <s v=" The Houston Texans have signed the following free agent: DaeSean Hamilton"/>
        <s v=" The Houston Texans have signed the following unrestricted free agents: Royce Freeman and Andy Janovich"/>
        <s v=" The Houston Texans have signed the following unrestricted free agents: Pharaoh Brown, Kamu Grugier-Hill, Chris Moore and M.J. Stewart"/>
        <s v=" The Houston Texans have signed the following free agents: Kyle Allen and Dare Ogunbowale"/>
        <s v=" The Houston Texans have waived the following players: Jake Eldrenkamp, Connor Strachan"/>
        <s v=" The Houston Texans have re-signed the following players: Justin Britt and Desmond King II"/>
        <s v=" The Houston Texans have claimed the following player via waivers from the Dallas Cowboys: Reggie Robinson"/>
        <s v=" The Houston Texans have re-signed the following players: Davion Davis, Carson Green and Jimmy Morrissey"/>
        <s v=" The Houston Texans have re-signed the following players: Maliek Collins, Jeff Driskel, Christian Kirksey"/>
        <s v=" The Houston Texans have signed the following players to contract extensions: Tae Davis and Jon Weeks"/>
        <s v=" The Houston Texans have placed the following player on the Reserve/Injured list from the Reserve/COVID-19 list: Jeff Driskel"/>
        <s v=" The Houston Texans have signed the following players to reserve/future contracts: Darius Anderson, Jalen Camp, Michael Dwumfour, Jake Eldrenkamp, Carson Green, Demone Harris, Damon Hazelton, Paul Quessenberry, Jordan Steckler, Connor Strachan and Josh Watson"/>
        <s v=" The Houston Texans have elevated the following player to the active roster from the practice squad (COVID-19 Replacement): Michael Dwumfour"/>
        <s v=" The Houston Texans have activated the following player from the Reserve/COVID-19 List: Kevin Pierre-Louis"/>
        <s v=" The Houston Texans have activated the following players from the Reserve/COVID-19 List: Danny Amendola, Antony Auclair, Ron'Dell Carter, Tytus Howard, David Johnson, Lonnie Johnson Jr., Chris Moore"/>
        <s v=" The Houston Texans have placed the following player on the Reserve/COVID-19 List: Justin Reid"/>
        <s v=" The Houston Texans have elevated the following players to the active roster from the practice squad (COVID-19 Replacements): Jalen Camp, Cre'von LeBlanc, Jaylen Samuels, Jordan Samuels, Jordan Steckler, Jordan Veasy"/>
        <s v=" Wyatt Ray (OLB) signed."/>
        <s v=" Jordan Smith (DE/OLB) placed on injured reserve."/>
        <s v=" Chad Muma (LB) signed."/>
        <s v=" Terry Godwin (WR), Josh Hammond (WR), Sean Mahone (S), Marcus Tatum (OL) waived."/>
        <s v=" Naz Bohannon (TE), Marvin Hall (WR), Willie Johnson (WR), Ryan McDaniel (WR) signed."/>
        <s v=" Jared Hocker (OL) signed."/>
        <s v=" Denzel Okafor (OL) released."/>
        <s v=" Travon Walker (OLB), Devin Lloyd (LB), Snoop Conner (RB), Gregory Junior (CB) and Montaric Brown (CB) signed."/>
        <s v=" Matthew Wright (K) waived."/>
        <s v=" EJ Perry (QB) signed."/>
        <s v=" Jared Hocker (OL) released."/>
        <s v=" Adam Gotsis (DL) re-signed."/>
        <s v=" Cam Robinson (OL) extended."/>
        <s v=" Dylan Moses (LB) waived."/>
        <s v=" Arden Key (DE) signed."/>
        <s v=" Brandon Linder (OL) placed on Reserve/Retired list."/>
        <s v=" Xavier Crawford (CB) signed."/>
        <s v=" Elijah Sullivan (LB) signed to a Reserve/Future contract."/>
        <s v=" Raequan Williams (DT) signed to a Reserve/Future contract."/>
        <s v=" Signed wide receiver Erik Ezukanma."/>
        <s v=" Signed linebacker Porter Gustin and waived cornerback Javaris Davis and released defensive end Daeshon Hall."/>
        <s v=" Signed linebacker Channing Tindall."/>
        <s v=" Signed linebacker Melvin Ingram III as an unrestricted free agent and waived quarterback Chris Streveler."/>
        <s v=" Waived/failed physical offensive lineman Ty Clary and signed offensive lineman Cole Banwart."/>
        <s v=" Signed outside linebacker Cameron Goode, quarterback Skylar Thompson, offensive lineman Blaise Andries, defensive lineman Owen Carney, offensive lineman Ty Clary, tight end Tanner Conner, offensive lineman Kellen Diesch, cornerback Elijah Hamilton, punter Tommy Heatherly, linebacker Deandre Johnson, cornerback Kader Kohou, safety Verone McKinley, wide receiver Braylon Sanders, defensive lineman Ben Stille, running back ZaQuandre White and defensive lineman Jordan Williams."/>
        <s v=" Signed running back Sony Michel."/>
        <s v=" Team exercises fifth-year option on defensive tackle Christian Wilkins."/>
        <s v=" Re-signed defensive tackle Benito Jones."/>
        <s v=" Signed punter Thomas Morstead."/>
        <s v=" Re-signed defensive tackle John Jenkins."/>
        <s v=" Cornerback Xavien Howard signed contract extension."/>
        <s v=" Traded wide receiver DeVante Parker to Patriots."/>
        <s v=" Cornerback Nik Needham signed restricted free agent tender."/>
        <s v=" Released guard/tackle Jesse Davis, released/failed physical Allen Hurns, signed tackle Terron Armstead and acquired wide receiver Tyreek Hill."/>
        <s v=" Released guard/tackle Jesse Davis and released/failed physical Allen Hurns."/>
        <s v=" Re-signed tight end Durham Smythe and linebacker Brennan Scarlett."/>
        <s v=" Re-signed safety Sheldrick Redwine."/>
        <s v=" Re-signed linebacker Elandon Roberts and signed wide receiver Trent Sherfield."/>
        <s v=" Signed fullback Alec Ingold, offensive lineman Connor Williams, running back Chase Edmonds, quarterback Teddy Bridgewater, wide receiver Cedrick Wilson Jr., cornerback Keion Crossen and running back Raheem Mostert."/>
        <s v=" Re-signed linebacker Sam Eguavoen."/>
        <s v=" Re-signed wide receiver Preston Williams, defensive end Emmanuel Ogbah, and linebacker Duke Riley."/>
        <s v=" Placed second-round tender on cornerback Nik Needham."/>
        <s v=" Placed franchise tag on tight end Mike Gesicki. Tendered exclusive rights to running back Salvon Ahmed and defensive back Elijah Campbell."/>
        <s v=" Placed franchise tag on tight end Mike Gesicki."/>
        <s v=" Signed Quarterback Chris Streveler."/>
        <s v=" Signed defensive end Daeshon Hall and fullback John Lovett."/>
        <s v=" Signed wide receiver River Cracraft."/>
        <s v=" Signed wide receiver DeVonte Dedmon to a reserve/futures contract."/>
        <s v=" Signed defensive back D'Angelo Ross to a reserve/futures contract."/>
        <s v=" Signed defensive back Quincy Wilson to a reserve/futures contract."/>
        <s v=" Signed running back Gerrid Doaks to a reserve/futures contract."/>
        <s v=" Signed wide receiver Cody Core, cornerback Javaris Davis, tackle Adam Pankey and tackle Kion Smith to reserve/futures contracts."/>
        <s v=" Activated cornerback Noah Igbinoghene and safety Sheldrick Redwine off the reserve/COVID-19 list."/>
        <s v=" Activated defensive tackle John Jenkins and wide receiver Preston Williams off the reserve/COVID-19 list. Activated center Spencer Pulley and guard Durval Queiroz Neto off the practice squad/COVID-19 list."/>
        <s v=" Activated defensive lineman Adam Butler and safety Brandon Jones off the reserve/COVID-19 list. Activated linebacker Brennan Scarlett off injured reserve. Elevated wide receiver Kirk Merritt and center Cameron Tom as COVID-19 replacements and defensive back Chris Milton as a standard elevation for Sunday's game. Placed cornerback Noah Igbinoghene and safety Sheldrick Redwine on the reserve/COVID-19 list."/>
        <s v=" Signed G/T Khalique Washington to a three-year contract and reached an injury settlement with LB Sharif Finch."/>
        <s v=" Signed TE Kahale Warring and waived DB Jack Koerner."/>
        <s v=" Signed C/G Josh Andrews and DT Josh Black and placed LB Sharif Finch on Injured Reserve."/>
        <s v=" Signed RB Devine Ozigbo, LB Eric Wilson and waived C Cohl Cabral, LB Joel Dublankoand WR Jalen McCleskey."/>
        <s v=" Signed WR Jarvis Landry to a one-year contract."/>
        <s v=" Signed WR Chris Olave, T Trevor Penning, LB D'Marco Jackson and DT Jordan Jackson waived/failed physical TE Dylan Soehner, waived OL Eric Wilson and Waived/Injured TE Ethan Wolf."/>
        <s v=" Waived DT Braxton Hoyett and terminated contract of RB Josh Adams."/>
        <s v=" Signed S Tyrann Mathieu to a three-year contract, waived DT Jalen Dalton and terminated contract of DB KeiVarae Russell."/>
        <s v=" Agreed to terms with undrafted free agents WR Dai'Jean Dixon, OL Sage Doxtater, LB Joel Dublanko, DB DaMarcus Fields, DB Vincent Gray, OLâ€ˆLewis Kidd, DB Jack Koerner, TE Lucas Krull, S Smoke Monday, LB Isaiah Pryor, K John Parker Romo, OL Derek Schweiger, LB Nephi Sewell, WR/RSâ€ˆRashid Shaheed, RB Abram Smith, P Daniel Whelan and OLâ€ˆEric Wilson."/>
        <s v=" WR/RSâ€ˆDeonte Harty signed one-year restricted free agent tender."/>
        <s v=" Re-signed RB Dwayne Washington to a one-year contract."/>
        <s v=" Signed TE J.P. Holtz and terminated contract of QB Blake Bortles."/>
        <s v=" Agreed to terms with DT Jaleel Johnson, S Justin Evans, DE Taco Charlton and DB P.J. Williams. Acquired the 16th overall pick, the 19th overall pick and a sixth round draft choice (19th overall) from the Philadlephia Eagles in exchange for the 18th pick in the 2022 Draft, a third round compensatory pick (101st overall) and a seventh round choice (237th overall), as well as the Saints' first round pick in the 2023 NFL Draft and their second round pick in 2024"/>
        <s v=" Agreed to terms with OL Forrest Lamp."/>
        <s v=" DTâ€ˆShy Tuttle signed one-year restricted free agent tender."/>
        <s v=" Agreed to terms with WRâ€ˆTre'Quan Smith on a two-year contract and S Malcolm Jenkins announced his retirement."/>
        <s v=" Agreed to terms with QB Andy Dalton on a one-year contract."/>
        <s v=" Agreed to terms with S Daniel Sorensen to a one-year contract."/>
        <s v=" Agreed to terms with QB Jameis Winston on a two-year contract."/>
        <s v=" Agreed to terms with DT Kentavius Street."/>
        <s v=" Agreed to terms with S Marcus Maye on a three-year contract."/>
        <s v=" Hired Bob Bicknell as senior offensive assistant, Matt Clapp as strength coach and Sterling Moore as defensive assistant."/>
        <s v=" Hired Matt Rhea as director of sports science."/>
        <s v=" Waived K Brett Maher."/>
        <s v=" Promoted Kris Richard to co-defensive coordinator/secondary coach, Ryan Nielsen to co-defensive coordinator/defensive line coach, Darren Rizzi to assistant head coach/special teams coordinator and Ronald Curry to the passing game coordinator/quarterbacks coach. Hired Doug Marrone as offensive line coach and Kodi Burns as wide receivers coach."/>
        <s v=" Named Dennis Allen head coach."/>
        <s v=" Head Coach Sean Payton stepped away."/>
        <s v=" Signed WR Kirk Merritt and RB Josh Adams to reserve/future contracts."/>
        <s v=" Signed WR Jalen McCleskey to reserve/future contract."/>
        <s v=" Signed QB Blake Bortles, OL Cohl Cabral, DL Malcolm Roach, DB Bryce Thompson, WR Kevin White and TE Ethan Wolf to reserve/future contracts."/>
        <s v=" Signed WR Easop Winston Jr., DB KeiVarae Russell, DB Jordan Miller, DT Braxton Hoyett, LB Sharif Finch, T Jerald Hawkins, WR Kawaan Baker and DB Dylan Mabin to reserve/future contracts."/>
        <s v=" Placed OL Caleb Benenoch on Reserve/COVID-19. Elevated DL Malcolm Roach (standard), G/C Will Clapp (COVID-19) and DB KeiVarae Russell (COVID-19) to active roster."/>
        <s v=" Placed practice squad QB Blake Bortles on Reserve/COVID-19, activated practice squad LB Chase Hansen from Reserve/COVID-19 and activated TE Nick Vannett from Reserve/COVID-19."/>
        <s v=" Re-signed DT Braxton Hoyett to practice squad. Placed practice squad DB Jordan Miller on Reserve/COVID-19. Activated T Ryan Ramczyk and practice squad DB Dylan Mabin from Reserve/COVID-19."/>
        <s v=" Activated TE Ethan Wolf from Reserve/COVID-19, placed DL Albert Huggins on Reserve/COVID-19 and terminated practice squad contract of RB Josh Adams."/>
        <s v=" Elevated WR Kawaan Baker and DB Bryce Thompson to active roster (standard). Activated OL Forrest Lamp and C/G Will Clapp to active roster (COVID-19). Placed TE Nick Vannett on Reserve/COVID-19. Activated C/G Erik McCoy and S Marcus Williams from Reserve/COVID-19."/>
        <s v=" TE Sal Cannella signed"/>
        <s v=" WR Christian Watson signed"/>
        <s v=" QB Kurt Benkert released"/>
        <s v=" K Gabe Brkic claimed off of waivers from the Minnesota Vikings, K Dominik Eberle released"/>
        <s v=" WR Romeo Doubs, OL Zach Tom signed"/>
        <s v=" DL Chris Slayton claimed off waivers from the San Francisco 49ers"/>
        <s v=" K JJ Molson released"/>
        <s v=" LS Jack Coco signed, T Jahmir Johnson released"/>
        <s v=" CB Jaire Alexander signed to contract extension"/>
        <s v=" TE Eli Wolf claimed off of waivers from the Indianapolis Colts, WR Chris Blair released"/>
        <s v=" LB Kobe Jones, T Rasheed Walker signed"/>
        <s v=" LB Quay Walker, DL Devonte Wyatt, T/G Sean Rhyan, LB Kingsley Enagbare, S Tariq Carpenter, DL Jonathan Ford and WR Samori Toure signed"/>
        <s v=" RB BJ Baylor, LB Caliph Brice, LB Ellis Brooks, DL Akial Byers, WR Danny Davis, RB Tyler Goodson, T Jahmir Johnson, T Caleb Jones, LB Chauncey Manac, G George Moore, DL Hauati Pututau, C Cole Shneider, S Tre Sterling and CB Raleigh Texada agree to terms"/>
        <s v=" WR Sammy Watkins signed"/>
        <s v=" CB Keisean Nixon signed"/>
        <s v=" DL Jarran Reed signed"/>
        <s v=" TE Robert Tonyan re-signed"/>
        <s v=" CB Rasul Douglas re-signed"/>
        <s v=" WR Davante Adams traded to the Las Vegas Raiders for a first round pick (No. 22 overall) and a second round pick (No. 53 overall) in the 2022 NFL Draft"/>
        <s v=" P Pat O'Donnell signed"/>
        <s v=" LB De'Vondre Campbell re-signed"/>
        <s v=" QB Aaron Rodgers signed to contract extension"/>
        <s v=" LB Preston Smith signed to contract extension"/>
        <s v=" LB Za'Darius Smith, G/T Billy Turner released"/>
        <s v=" K Dominik Eberle signed"/>
        <s v=" TE AlizÃ© Mack signed"/>
        <s v=" DL Jack Heflin signed"/>
        <s v=" WR Rico Gafford and CB Kiondre Thomas signed"/>
        <s v=" QB Kurt Benkert, WR Chris Blair, CB Kabion Ento, QB Danny Etling, S Innis Gaines, LB La'Darius Hamilton, C Michal Menet, K JJ Molson, T/G Cole Van Lanen and LB Ray Wilborn signed"/>
        <s v=" LBs Za'Darius Smith, Whitney Mercilus both activated off injured reserve"/>
        <s v=" LBs Za'Darius Smith, Whitney Mercilus both activated off injured reserve; DL Jack Heflin, CB Isaac Yiadom both released"/>
        <s v=" WR Randall Cobb activated off injured reserve"/>
        <s v=" DL Kingsley Keke released"/>
        <s v=" G Lucas Patrick activated off the reserve/COVID-19 list"/>
        <s v=" G Lucas Patrick placed on reserve/COVID-19 list; G Ben Braden signed to the practice squad"/>
        <s v=" G/T Billy Turner activated off reserve/COVID-19 list; T Adrian Ealy released from the practice squad"/>
        <s v=" WR David Moore restored to the practice squad off the practice squad reserve/COVID-19 list; G Ben Braden, WR Chris Blair released"/>
        <s v=" C/G Josh Myers activated off injured reserve; DL Abdullah Anderson, LB La'Darius Hamilton both elevated from the practice squad to the active roster for gameday (Week 18)"/>
        <s v=" CB Jaire Alexander activated off reserve/COVID-19 list"/>
        <s v=" K JJ Molson, LB Ray Wilborn restored to the practice squad off the practice squad reserve/COVID-19 list"/>
        <s v=" DL Kingsley Keke, T Dennis Kelly, WR Amari Rodgers and S Darnell Savage activated from the reserve/COVID-19 list; G/T Billy Turner placed on the reserve/COVID-19 list; CB Jayson Stanley restored to the practice squad off the practice squad reserve/COVID-19 list; CB Jayson Stanley and G/T Jon Dietzen released from the practice squad (Week 18)"/>
        <s v=" LB Chauncey Rivers (reverts to injured reserve) activated from the reserve/COVID-19 list; T Dennis Kelly, S Darnell Savage both placed on the reserve/COVID-19 list; WR David Moore placed on the practice squad reserve/COVID-19 list; K Elliott Fry released from the practice squad"/>
        <s v=" CB Jaire Alexander placed on reserve/COVID-19 list"/>
        <s v=" P Corey Bojorquez, G Ben Braden, LB Oren Burks, TE Tyler Davis, TE Marcedes Lewis and LB Ty Summers (reverts to injured reserve) activated off the reserve/COVID-19 list; DL RJ McIntosh restored to the practice squad off the practice squad reserve/COVID-19 list; DL Abdullah Anderson elevated from the practice squad to the active roster for gameday as a COVID-19 replacement; WR David Moore elevated from the practice squad to the active roster for gameday; K Elliott Fry signed to the practice squad; LB Aaron Adeoye released from the practice squad"/>
        <s v=" Acquired QB Baker Mayfield via trade"/>
        <s v=" Waived QB Davis Cheek"/>
        <s v=" Waived WR Talolo Limu-Jones"/>
        <s v=" Signed WR Keith Kirkwood"/>
        <s v=" Signed DE Drew Jordan"/>
        <s v=" Waived DE Joe Jackson"/>
        <s v=" Signed T Wyatt Miller"/>
        <s v=" Waived CB Troy Pride Jr."/>
        <s v=" Signed TE Jared Scott"/>
        <s v=" Waived S Drew Hartlaub"/>
        <s v=" Waived DE Azur Kamara"/>
        <s v=" Agreed to terms with T Ikem Ekwonu"/>
        <s v=" Agreed to terms with OL Cade Mays"/>
        <s v=" Agreed to terms with CB Kalon Barnes"/>
        <s v=" Waived K Lirim Hajrullahu"/>
        <s v=" DE AmarÃ© Barno signs rookie contract"/>
        <s v=" Drafted DE AmarÃ© Barno in sixth round (189th overall)"/>
        <s v=" Received pick 94th pick in third round from New England for 137th pick in fourth round and 2023 third round pick"/>
        <s v=" Drafted QB Matt Corral in third round (94th overall) of 2022 NFL Draft"/>
        <s v=" Received fourth-round pick No. 120 and sixth round pick No. 189 from Washington in return for fifth round picks No. 144 and No. 149"/>
        <s v=" Drafted CB Kalon Barnes in seventh round (242nd overall) in the 2022 Draft"/>
        <s v=" Drafted LB Brandon Smith in the fourth round (120th overall) of the 2022 NFL Draft"/>
        <s v=" Drafted OL Cade Mays in sixth round (199th overall) of 2022 Draft"/>
        <s v=" Drafted T Ickey Ekwonu in the first round (6th overall) of 2022 NFL Draft"/>
        <s v=" Agreed to terms with S Juston Burris"/>
        <s v=" Agreed to terms with CB Rashaan Melvin"/>
        <s v=" Signed unrestricted free agent LB Cory Littleton"/>
        <s v=" Signed unrestricted free agent CB Donte Jackson"/>
        <s v=" Signed unrestricted free agent G/C Bradley Bozeman"/>
        <s v=" Signed WR DJ Moore to contract extension"/>
        <s v=" Agreed to terms with DT Matt Ioannidis"/>
        <s v=" Signed unrestricted free agent G Austin Corbett"/>
        <s v=" Agreed to terms with P Johnny Hekker"/>
        <s v=" Agreed to terms with LB Damien Wilson"/>
        <s v=" Signed unrestricted free agent RB D'Onta Foreman"/>
        <s v=" Signed unrestricted free agent WR Rashard Higgins"/>
        <s v=" Signed unrestricted free agent S Xavier Woods"/>
        <s v=" Released DE Morgan Fox"/>
        <s v=" Re-signed WR Brandon Zylstra"/>
        <s v=" Re-signed S Sean Chandler"/>
        <s v=" Re-signed DE Marquis Haynes Sr."/>
        <s v=" Released CB A.J. Bouye"/>
        <s v=" Re-signed K Zane Gonzalez"/>
        <s v=" Re-signed TE Ian Thomas"/>
        <s v=" Re-signed LB Frankie Luvu"/>
        <s v=" Signed DE Joe Jackson to reserve/future contract"/>
        <s v=" Re-signed LS J.J. Jansen"/>
        <s v=" Signed RB Darius Bradwell to reserve/future contract"/>
        <s v=" Signed DE Austin Larkin and OL Austen Pleasants to reserve/future contracts"/>
        <s v=" Signed FB Giovanni Ricci to one-year contract extension"/>
        <s v=" Signed QB P.J. Walker to one-year contract extension"/>
        <s v=" Signed RB Spencer Brown, CB Madre Harper, DE Frank Herron, OL Mike Horton, OL Aaron Monteiro, WR Aaron Parker, WR C.J. Saunders and TE Colin Thompson to reserve/future contracts"/>
        <s v=" Activated CB Madre Harper, DE Frank Herron and WR Keith Kirkwood as COVID elevations for Week 18"/>
        <s v=" Activated RB Reggie Bonnafon and WR C.J. Saunders as standard elevations for Week 18"/>
        <s v=" Released CB Jalen Julius from practice squad"/>
        <s v=" Signed K Dominik Eberle to practice squad"/>
        <s v=" Signed TE Stephen Sullivan to active roster"/>
        <s v=" CB Jaycee Horn reverted from reserve/COVID-19 list to injured reserve list"/>
        <s v=" Placed CB Stephon Gilmore and WR Shi Smith on reserve/COVID-19 list"/>
        <s v=" Signed CB Jalen Julius to practice squad"/>
        <s v=" Signed DT Jacob Tuioti-Mariner"/>
        <s v=" Placed WR Terrace Marshall Jr. (foot) on injured reserve"/>
        <s v=" Placed DE Yetur Gross-Matos on reserve/COVID-19 list"/>
        <s v=" Placed T Cameron Erving (calf) on injured reserve"/>
        <s v=" Activated OLB Haason Reddick, TE Tommy Tremble and QB P.J. Walker from reserve/COVID-19 llst and RB Reggie Bonnafon from practice squad/COVID-19 list"/>
        <s v=" Released K Blake Haubeil, G Patrick Omameh and QB Jordan Ta'amu from practice squad"/>
        <s v=" Activated C Sam Tecklenburg and DE Darryl Johnson from reserve/COVID-19 list and reverted C Matt Paradis from COVID list to injured reserve"/>
        <s v=" Promoted DE Austin Larkin as standard elevation for Week 17"/>
        <s v=" Activated DE Brian Burns, DE Marquis Haynes and LB Shaq Thompson off reserve/COVID-19 list"/>
        <s v=" Elevated TE Colin Thompson, CB Madre Harper, RB Spencer Brown and G Mike Horton as COVID-19 replacements for Week 17"/>
        <s v=" Signed defensive lineman Jeremiah Pharms Jr."/>
        <s v=" Released LS Ross Reiter"/>
        <s v=" Traded WR N'Keal Harry to the Chicago Bears."/>
        <s v=" Signed offensive lineman Darryl Williams."/>
        <s v=" Signed restricted free agent WR Jakobi Meyers, WR Lil'Jordan Humphrey and 2022 fourth-round draft pick RB Pierre Strong Jr."/>
        <s v=" Signed kicker Tristan Vizcaino and released kicker Quinn Nordin."/>
        <s v=" Signed 2022 fourth-round draft pick DB Jack Jones."/>
        <s v=" Signed 2022 sixth-round draft pick OL Chasen Hines and 2022 seventh-round draft pick Andrew Stueber. Signed rookie free agent LS Ross Reiter from Colorado State and released rookie free agents DB Devin Hafford and QB D'Eriq King."/>
        <s v=" Traded QB Jarrett Stidham to the Las Vegas Raiders."/>
        <s v=" Signed DB Marcus Jones and sixth-round picks RB Kevin Harris and DL Sam Roberts; Released OL Liam Shanahan."/>
        <s v=" Claimed TE Matt Sokol off waivers from the Detroit Lions."/>
        <s v=" Signed eight rookie free agents: DB Devin Hafford, P Jake Julien, QB D'Eriq King, DL DaMarcus Mitchell, DE LaBryan Ray, OL Kody Russey, DB Brenden Schooler and OL Liam Shanahan."/>
        <s v=" Released LB Terez Hall."/>
        <s v=" Released RB Devine Ozigbo."/>
        <s v=" Re-Signed defensive lineman Carl Davis Jr."/>
        <s v=" Signed DB Jabrill Peppers."/>
        <s v=" Signed CB Malcolm Butler."/>
        <s v=" Re-Signed OL Trent Brown."/>
        <s v=" Re-signed LB Ja'Whaun Bentley and K Nick Folk."/>
        <s v=" Signed veteran WR Ty Montgomery as an unrestricted free agent from New Orleans."/>
        <s v=" Traded G Shaq Mason to Tampa Bay in exchange for a 2022 fifth-round draft pick."/>
        <s v=" Re-Signed running back James White."/>
        <s v=" Acquired LB Mack Wilson in a trade with the Cleveland Browns in exchange for DL Chase Winovich."/>
        <s v=" Signed DB Terrance Mitchell"/>
        <s v=" Signed OL James Ferentz."/>
        <s v=" Released LB Kyle Van Noy."/>
        <s v=" Signed defensive lineman Bill Murray to a future contract."/>
        <s v=" Signed OL Drew Desjarlais to a future contract."/>
        <s v=" Signed DL Daniel Ekuale to future contract."/>
        <s v=" Signed OL Arlington Hambright to a future contract."/>
        <s v=" Signed WR Tre Nixon, K Quinn Nordin, WR Malcolm Perry, RB Devine Ozigbo, OL Will Sherman,WR Kristian Wilkerson to future contracts."/>
        <s v=" Elevated CB De'Vante Bausby, DL Daniel Ekuale, DB D'Angelo Ross and WR Kristian Wilkerson to the active roster from the practice squad."/>
        <s v=" Signed DB Cre'Von LeBlanc to the practice squad."/>
        <s v=" Signed DB DJ Daniel and TE Jaylen Smith to the practice squad."/>
        <s v=" DB Sean Davis, DL Daniel Ekuale and DB D'Angelo Ross have reverted back to the practice squad."/>
        <s v=" Elevated DB Sean Davis, DL Daniel Ekuale and DB D'Angelo Ross to the active roster from the practice squad."/>
        <s v=" Signed LB LaRoy Reynolds to the Practice Squad."/>
        <s v=" DL Daniel Ekuale, DB D'Angelo Ross and WR Kristian Wilkerson have reverted back to the practice squad."/>
        <s v=" Elevated DL Daniel Ekuale, D'Angelo Ross and WR Kristian Wilkerson to the active roster."/>
        <s v=" Released CB Craig James."/>
        <s v=" Signed C/G Cam Jurgens."/>
        <s v=" Agreed to terms with S Jaquiski Tartt on a one-year contract."/>
        <s v=" Claimed CB Jimmy Moreland off of waivers. Released LB Joe Ostman."/>
        <s v=" Agreed to terms with CB James Bradberry on a one-year contract."/>
        <s v=" Claimed WR Josh Hammond off of waivers."/>
        <s v=" Signed WR Keric Wheatfall."/>
        <s v=" Signed LB Nakobe Dean."/>
        <s v=" Signed the following 12 undrafted free agents: CB Josh Blackwell, S Reed Blankenship, RB Kennedy Brooks, WR Britain Covey, OL William Dunkle, DT Noah Elliss, LB Ali Fayad, CB Mario Goodrich, CB Josh Jobe, OL Josh Sills, QB Carson Strong, and OL Jarrid Williams."/>
        <s v=" Signed the following draft picks: DT Jordan Davis, LB Kyron Johnson, and TE Grant Calcaterra."/>
        <s v=" Waived C/G Nate Herbig."/>
        <s v=" Signed WR A.J. Brown to a four-year contract extension through 2026."/>
        <s v=" Traded a 2022 sixth-round pick (No. 188 overall) and a 2022 seventh-round pick (No. 237 overall) to Detroit for a 2022 sixth-round pick (No. 181 overall)."/>
        <s v=" Selected LB Kyron Johnson with the 181st overall pick in the 2022 NFL Draft."/>
        <s v=" Selected LB Nakobe Dean with the 83rd overall pick in the 2022 NFL Draft."/>
        <s v=" Traded a 2022 fifth-round pick (No. 154 overall) to Jacksonville for two 2022 sixth-round picks (No. 188 and 198 overall)."/>
        <s v=" Selected TE Grant Calcaterra with the 198th overall pick in the 2022 NFL Draft."/>
        <s v=" Selected C Cam Jurgens with the 51st overall pick in the 2022 NFL Draft."/>
        <s v=" Traded a 2022 first-round pick (No. 18 overall) and a 2022 third-round pick (No. 101 overall) to Tennessee for WR A.J. Brown."/>
        <s v=" Traded a 2022 first-round pick (No. 15 overall), a 2022 fourth-round pick (No. 124 overall), and two 2022 fifth-round picks (Nos. 162 and 166 overall) to Houston for a 2022 first-round pick (No. 13 overall)."/>
        <s v=" Selected DT Jordan Davis with the 13th overall pick in the 2022 NFL Draft."/>
        <s v=" C/G Nate Herbig signed his restricted free agent tender."/>
        <s v=" Signed WR Devon Allen to a three-year contract."/>
        <s v=" Agreed to trade 2022 picks No. 16, 19, and 194 to New Orleans in exchange for 2022 picks No. 18, 101, 237, a 2023 first-round pick, and a 2024 second-round pick."/>
        <s v=" Agreed to terms with LB Kyzir White on a one-year contract."/>
        <s v=" Signed DE Derek Barnett to a two-year contract."/>
        <s v=" Agreed to terms with WR Zach Pascal on a one-year contract."/>
        <s v=" Agreed to terms on one-year contracts with DT Fletcher Cox and RB Boston Scott."/>
        <s v=" Agreed to terms with S Anthony Harris on a one-year contract."/>
        <s v=" Released DT Fletcher Cox."/>
        <s v=" Agreed to terms with LB Haason Reddick on a three-year contract."/>
        <s v=" Agreed to terms on one-year contracts with WR Greg Ward and DB Andre Chachere."/>
        <s v=" Tendered restricted free agent C/G Nate Herbig."/>
        <s v=" Signed DT Renell Wren."/>
        <s v=" Signed WR John Hightower to a Reserve/Future contract."/>
        <s v=" Signed the following players to Reserve/Future contracts: G/T Kayode Awosika, WR Deon Cain, LB Christian Elliss, CB Craig James, DE Matt Leo, DE Cameron Malveaux, S Jared Mayden, CB Mac McCain, LB JaCoby Stevens, TE Noah Togiai, and DT Marvin Wilson."/>
        <s v=" Signed TE Richard Rodgers from the practice squad to the active roster."/>
        <s v=" Placed DT Marlon Tuipulotu on the Reserve/COVID-19 list."/>
        <s v=" Protected the following practice squad players: T Kayode Awosika, DB Jared Mayden, DB Mac McCain, and LB JaCoby Stevens."/>
        <s v=" Released K Matt McCrane and RB Kerryon Johnson from the practice squad."/>
        <s v=" Activated LB Genard Avery, DT Fletcher Cox, S Marcus Epps, TE Dallas Goedert, G Nate Herbig, RB Jordan Howard, CB Avonte Maddox, S Rodney McLeod, RB Boston Scott, LB Alex Singleton, and TE Jack Stoll from the Reserve/COVID-19 list."/>
        <s v=" Signed RB Jason Huntley from the practice squad to the active roster."/>
        <s v=" Placed WR J.J. Arcega-Whiteside, TE Tyree Jackson, and T/G Brett Toth on Reserve/Injured."/>
        <s v=" Activated C Jason Kelce from the Reserve/COVID-19 list."/>
        <s v=" Activated WR KeeSean Johnson from the practice squad Reserve/COVID-19 list to the practice squad."/>
        <s v=" Activated CB Craig James and WR John Hightower from the practice squad Reserve/COVID-19 list."/>
        <s v=" Protected the following practice squad players: T Kayode Awosika, WR John Hightower, DB Jared Mayden, and DB Mac McCain."/>
        <s v=" Elevated DE Cameron Malveaux and LB JaCoby Stevens from the practice squad to the active roster as COVID replacements for Saturday's game against Dallas."/>
        <s v=" Activated TE Noah Togiai from the practice squad Reserve/COVID-19 list to the practice squad."/>
        <s v=" Released K Matt McCrane from the practice squad."/>
        <s v=" Placed LB Genard Avery, DT Fletcher Cox, S Marcus Epps, TE Dallas Goedert, G Nate Herbig, RB Jordan Howard, C Jason Kelce, CB Avonte Maddox, S Rodney McLeod, RB Boston Scott, LB Alex Singleton, and TE Jack Stoll on the Reserve/COVID-19 list."/>
        <s v=" Placed WR KeeSean Johnson and CB Craig James on the practice squad Reserve/COVID-19 list."/>
        <s v=" Elevated DE Cameron Malveaux and LB JaCoby Stevens from the practice squad for Sunday's game against Washington and signed K Matt McCrane to the practice squad."/>
        <s v=" Activated DE Derek Barnett from the Reserve/COVID-19 list."/>
        <s v=" Signed S Matthias Farley; Placed DT Vernon Butler on the Non-Football Injury list; Placed WR Dillon Stoner on the Physically Unable to Perform list."/>
        <s v=" Signed CB Isiah Brown; Released S Dallin Leavitt; Waived G Jordan Meredith."/>
        <s v=" Placed DT Johnathan Hankins, CB Trayvon Mullen Jr. and DT Bilal Nichols on the Physically Unable to Perform list: Signed WR Isaiah Zuber."/>
        <s v=" Waived CB Stanford Samuels III."/>
        <s v=" Signed CB Chris Jones."/>
        <s v=" Signed WR Hunter Renfrow to a multi-year contract extension. Signed DT Neil Farrell Jr. (D4-22)."/>
        <s v=" Signed RB Zamir White (D4-22); Waived TE Travis Koontz."/>
        <s v=" Signed TE Jesper Horsted."/>
        <s v=" Signed DL Tyler Lancaster."/>
        <s v=" Placed RB Sincere McCormick on the Reserve/Injured list."/>
        <s v=" Placed CB Malkelm Morrison on the Reserve/Retired list."/>
        <s v=" Signed WR Jordan Veasy; Released FB Sutton Smith."/>
        <s v=" Signed TE Travis Koontz, CB Stanford Samuels III and T Tyrone Wheatley Jr.; Waived C Brett Heggie and WR TrÃ© Turner."/>
        <s v=" Acquired QB Jarrett Stidham and a 2023 seventh-round draft pick via a trade with the New England Patriots for a 2023 sixth-round draft pick; Traded WR Bryan Edwards and a conditional 2023 seventh-round pick to the Atlanta Falcons in exchange for a 2023 fifth-round draft pick."/>
        <s v=" Signed G Dylan Parham (D3-22), DT Matthew Butler (D5-22), RB Brittain Brown (D7-22) and T Thayer Munford Jr. (D7-22); Signed WR Keelan Cole; Signed LB Darien Butler, S Qwynnterrio Cole, CB Bryce Cosby, TE Cole Fotheringham, QB Chase Garbers, WR Justin Hall, LB Luke Masterson, RB Sincere McCormick, CB Malkelm Morrison, T Bamidele Olaseni, S Isaiah Pola-Mao, DE Myron Tagovailoa-Amosa, WR TrÃ© Turner, DE Zach VanValkenburg and CB Sam Webb; Released QB Garrett Gilbert."/>
        <s v=" Signed LB Kenny Young; Released LB Justin March-Lillard."/>
        <s v=" Waived RB Trey Ragas."/>
        <s v=" Signed QB Derek Carr to a multi-year contract extension."/>
        <s v=" Signed DE Tashawn Bower; Signed exclusive rights free agents TE Nick Bowers and S Roderic Teamer; Waived/Non-Football Injury OL Kamaal Seymour."/>
        <s v=" Signed QB Nick Mullens; Re-signed DT Johnathan Hankins."/>
        <s v=" Signed OL Jermaine Eluemunor; Waived S Jordan Brown, DT P.J. Johnson and T William Sweet; Released S Natrell Jamerson and WR Javon Wims."/>
        <s v=" Signed S Duron Harmon and LB Jayon Brown."/>
        <s v=" Signed DT Vernon Butler."/>
        <s v=" Signed WR Demarcus Robinson, DT Kyle Peko and TE Jacob Hollister."/>
        <s v=" Signed QB Garrett Gilbert, T Brandon Parker, LB Micah Kiser and LB Kyler Fackrell."/>
        <s v=" Signed S Dallin Leavitt."/>
        <s v=" Acquired WR Davante Adams via a trade with the Green Bay Packers for the Raiders' first and second-round selections in the 2022 NFL Draft; Signed RB Ameer Abdullah."/>
        <s v=" Signed LB Chandler Jones, CB Anthony Averett, CB Darius Phillips, RB Brandon Bolden, FB Jakob Johnson, WR Mack Hollins, DT Bilal Nichols and OL Alex Bars; Acquired CB Rock Ya-Sin via a trade with the Indianapolis Colts for DE Yannick Ngakoue."/>
        <s v=" Released LB Nick Kwiatkoski, DE Carl Nassib and LB Cory Littleton."/>
        <s v=" Signed DE Maxx Crosby to a multi-year contract extension."/>
        <s v=" Released DB Kavon Frazier."/>
        <s v=" Signed DT Andrew Billings; Waived OL Jeremiah Poutasi."/>
        <s v=" Signed OL Jordan Meredith."/>
        <s v=" Signed CB Cre'Von LeBlanc."/>
        <s v=" Signed WR Javon Wims and T William Sweet to Reserve/Future contracts."/>
        <s v=" Signed S Natrell Jamerson to a Reserve/Future contract."/>
        <s v=" G Lester Cotton Sr. and DT Damion Square reverted to the practice squad; Signed WR Dillon Stoner, LB Justin March-Lillard, DE Gerri Green, G Lester Cotton Sr., DL P.J. Johnson, S Jordan Brown, OL Hroniss Grasu, DB Kavon Frazier, RB Trey Ragas, OL Jeremiah Poutasi, C Brett Heggie and WR DJ Turner to Reserve/Future contracts."/>
        <s v=" Activated G Lester Cotton Sr. and DT Damion Square from the practice squad."/>
        <s v=" Released LB Will Compton; Designated LB Nicholas Morrow for return; Placed DT Darius Philon on the Reserve/Injured list; LB Marquel Lee and DT Kendal Vickers returned from the Reserve/COVID-19 list; Signed LB Justin March-Lillard, TE Daniel Helm and DL Isaiah Buggs to the practice squad; Released WR Javon Wims and LB Asmar Bilal from the practice squad."/>
        <s v=" G Lester Cotton Sr. and DT Damion Square reverted to the practice squad."/>
        <s v=" Signed WR Tyron Johnson; Activated TE Derek Carrier from the Reserve/Injured list; Released TE Daniel Helm; Activated G Lester Cotton Sr. and DT Damion Square from the practice squad."/>
        <s v=" Signed LB Will Compton."/>
        <s v=" Placed LB Marquel Lee on the Reserve/COVID-19 list."/>
        <s v=" Released LB Will Compton; Waived LB Justin March-Lillard; DE Carl Nassib, G Jordan Simmons and TE Darren Waller returned from the Reserve/COVID-19 list."/>
        <s v=" LB Will Compton and LB Patrick Onwuasor returned from the Reserve/COVID-19 list; G Lester Cotton Sr. and OL Jeremiah Poutasi restored to the practice squad from the Practice Squad/COVID-19 list; Released OL Nico Falah and OL Brett Heggie from the practice squad; S Jordan Brown, OL Hroniss Grasu, WR Tyron Johnson and DT Damion Square reverted to the practice squad."/>
        <s v=" CB Casey Hayward Jr., LB Denzel Perryman, LB Cory Littleton and DT Darius Philon returned from the Reserve/COVID-19 list; Activated S Jordan Brown, OL Hroniss Grasu, WR Tyron Johnson and DT Damion Square from the practice squad."/>
        <s v=" Released G Pier-Olivier Lestage. Signed DT Bryan Mone to contract extension."/>
        <s v=" Released DE Alex Tchangam."/>
        <s v=" Signed T Charles Cross."/>
        <s v=" Signed T Abraham Lucas."/>
        <s v=" Signed WR Marquise Goodwin."/>
        <s v=" Released QB Levi Lewis."/>
        <s v=" Signed CB Elijah Jones and T Liam Ryan."/>
        <s v=" Released CB Matt Cole, WR Jake Herslow, TE John Mitchell and WR Demetris Robertson. Signed WR Deontez Alexander and WR Kevin Kassis."/>
        <s v=" Signed S Joey Blount, S Bubba Bolden, TE Cade Brewer, G Shamarious Gilmore, DT Matt Gotel, WR Jake Herslow, LB Vi Jones, QB Levi Lewis, WR Bo Melton, TE John Mitchell, S Scott Nelson, DE Josh Onujiogu, WR Demetris Robertson, LB Tyreke Smith, S Josh Valentine-Turner, S Deontai Williams, CB Tariq Woolen and WR Dareke Young."/>
        <s v=" Released DT Niles Scott. Signed S Josh Jones."/>
        <s v=" Re-signed WR Penny Hart, G Phil Haynes, DT Bryan Mone, LB Tanner Muse, S Ryan Neal, CB John Reid, LB Jon Rhattigan, C Dakoda Shepley and QB Geno Smith."/>
        <s v=" Signed CB Justin Coleman and LB Joel Iyiegbuniwe."/>
        <s v=" Re-signed RB Rashaad Penny. Signed C Austin Blythe and DT Quinton Jefferson."/>
        <s v=" Signed CB Artie Burns. Released LB Carlos Dunlap II and DE Kerry Hyder Jr. Re-signed C Kyle Fuller."/>
        <s v=" Re-signed S Quandre Diggs, TE Will Dissly, CB Sidney Jones IV and DT Al Woods. Signed LB Uchenna Nwosu. Released LB Benson Mayowa."/>
        <s v=" Traded QB Russell Wilson and a 2022 fourth-round pick to Denver for a 2022 first-round pick, a 2022 second-round pick, a 2022 fifth-round pick, a 2023 first-round pick, a 2023 second-round pick, TE Noah Fant, DT Shelby Harris and QB Drew Lock."/>
        <s v=" Released LB Bobby Wagner."/>
        <s v=" Signed RB Darwin Thompson to future 2022 contract."/>
        <s v=" Signed DE Alex Tchangam to future 2022 contract."/>
        <s v=" Activated C Kyle Fuller from Reserve/COVID-19 list."/>
        <s v=" Activated S Gavin Heslop, S Ryan Neal, DE Alton Robinson and DT Al Woods from Reserve/COVID-19 list."/>
        <s v=" Signed DT Myles Adams, WR Matt Cole, LB Aaron Donkor, T Greg Eiland, WR Aaron Fuller, DT Jarrod Hewitt, CB Mike Jackson, WR Cade Johnson, G Pier-Olivier Lestage, DT Niles Scott, WR Cody Thompson and LB Lakiem Williams to 2022 future contracts. WR Aaron Fuller, CB Michael Jackson, S Josh Jones and WR Cody Thompson reverted to practice squad."/>
        <s v=" Elevated WR Aaron Fuller, CB Michael Jackson, S Josh Jones and WR Cody Thompson from practice squad. Placed T Brandon Shell on injured reserve. Signed TE Tyler Mabry from practice squad. Placed C Kyle Fuller on Reserve/COVID-19 list."/>
        <s v=" Placed S Ryan Neal on the Reserve/COVID-19 list. Activated CB Sidney Jones IV and G Damien Lewis from the Reserve/COVID-19 list."/>
        <s v=" Placed DT Myles Adams and DT Al Woods on Reserve/COVID-19 list."/>
        <s v=" Placed RB Alex Collins on injured reserve. Signed RB Josh Johnson from practice squad. Activated CB Bless Austin from Reserve/COVID-19 list. Placed S Gavin Heslop on Reserve/COVID-19 list."/>
        <s v=" Placed DE Alton Robinson on Reserve/COVID-19 list. CB Michael Jackson, S Josh Jones and LB Edmond Robinson reverted to practice squad."/>
        <s v=" Placed LB Jon Rhattigan on injured reserve. Activated T Jamarco Jones from injured reserve. Placed CB Sidney Jones IV on Reserve/COVID-19 list. Elevated CB Michael Jackson, S Josh Jones and LB Edmond Robinson from practice squad."/>
        <s v=" Signed DT Doug Costin to a one-year contract."/>
        <s v=" Signed QB Kenny Pickett to a four-year deal."/>
        <s v=" Signed DT Larry Ogunjobi to a one-year contract"/>
        <s v=" Signed S Minkah Fitzpatrick to a new five-year contract."/>
        <s v=" Signed WR Calvin Austin III to a four-year deal."/>
        <s v=" Signed LB Tuzar Skipper."/>
        <s v=" DE Stephon Tuitt retires."/>
        <s v=" Waived DT Trevon Mason"/>
        <s v=" Signed DE DeMarvin Leal to a 4-year deal"/>
        <s v=" Signed DT Trevon Mason, CB Carlins Platel, K Nick Sciba and WR Tyler Snead; Waived WR Rico Bussey and K Sam Sloman; Terminated vested veteran LB John Simon; Waived/injured DB Bryce Watts."/>
        <s v=" Signed TE/FB Connor Heyward, LB Mark Robinson and QB Chris Oladokun."/>
        <s v=" Signed OL Trent Scott to a one-year contract; Waived G Malcolm Pridgeon"/>
        <s v=" Signed WR George Pickens to a 4-year deal"/>
        <s v=" Waived LS Rex Sunahara and LB Tegray Scales; Waived/injured CB Isaiah Johnson."/>
        <s v=" Signed S Damontae Kazee to a one-year contract."/>
        <s v=" Agreed to terms with the following undrafted rookie free agents: OT Jake Dixon (Duquesne), RB Mataeo Durant (Duke), DL Donovan Jeter (Michigan). OLB Tyree Johnson (Texas A&amp;M), OLB T.D. Moultry (Auburn), OG Chris Owens (Alabama), CB Chris Steele (Southern California), OT Jordan Tucker (North Carolina), RB Jaylen Warren (Oklahoma State) and CB Bryce Watts (UMass)."/>
        <s v=" Drafted WR Calvin Austin III (Memphis) in the 4th round of the 2022 NFL Draft (138th overall); Drafted TE/FB Connor Heyward (Michigan State) in the 6th round of the 2022 NFL Draft (208th overall); Drafted LB Mark Robinson (Ole Miss) in the 7th round of the 2022 NFL Draft (225th overall); Drafted QB Chris Oladokun (South Dakota State) in the 7th round of the 2022 NFL Draft (241th overall)"/>
        <s v=" Drafted WR George Pickens (Georgia) in the 2nd round of the 2022 NFL Draft (52nd overall); Drafted DE DeMarvin Leal (Texas A&amp;M) in the 3rd round of the 2022 NFL Draft (84th overall)"/>
        <s v=" Drafted QB Kenny Pickett (Pittsburgh) in the 1st round of the 2022 NFL Draft (20th overall)"/>
        <s v=" Signed S Terrell Edmunds to a one-year contract."/>
        <s v=" Awarded WR Miles Boykin off of waivers."/>
        <s v=" Signed LB Marcus Allen to a one-year restricted free agent tender."/>
        <s v=" OL J.C. Hassenauer signed a one-year exclusive rights tender."/>
        <s v=" Signed LB Robert Spillane to a one-year restricted free agent tender."/>
        <s v=" Signed LB Genard Avery and S Karl Joseph to respective one-year contracts."/>
        <s v=" Signed CB Ahkello Witherspoon to a two-year contract."/>
        <s v=" Signed DT Montravius Adams to a two-year contract."/>
        <s v=" Signed WR Gunner Olszewski to a two-year contract."/>
        <s v=" Signed CB Levi Wallace to a two-year contract."/>
        <s v=" Terminated the contract of LB Joe Schobert."/>
        <s v=" Signed OL Mason Cole to a three-year contract."/>
        <s v=" Signed OL James Daniels to a three-year contract."/>
        <s v=" Signed QB Mitch Trubisky to a two-year contract."/>
        <s v=" Terminated the contract of OT Zach Banner."/>
        <s v=" Signed QB Dwayne Haskins to a one-year restricted free agent tender."/>
        <s v=" Signed S Miles Killebrew to a two-year contract."/>
        <s v=" Signed CB Arthur Maulet to a two-year contract."/>
        <s v=" Signed OT Chukwuma Okorafor to a three-year contract."/>
        <s v=" Signed DE John Simon to a Reserve/Future contract."/>
        <s v=" Signed P Cameron Nizialek to a Reserve/Future contract."/>
        <s v=" Signed WR Anthony Miller to a Reserve/Future contract."/>
        <s v=" Signed RB Trey Edmunds &amp; OT Chaz Green to Reserve/Future contracts."/>
        <s v=" Signed LS Christian Kuntz to a one-year contract; Signed DB Isaiah Johnson and WR Steven Sims to Reserve/Future contracts."/>
        <s v=" Signed DE Daniel Archibong, WR Rico Bussey, DT Khalil Davis, G Nathan Gilliam, G Malcolm Pridgeon, LB Delontae Scott, K Sam Sloman, DB Linden Stephens, TE Jace Sternberger, S Donovan Stiner, LS Rex Sunahara and WR Tyler Vaughns to to Reserve/Future contracts."/>
        <s v=" Activated WR JuJu Smith-Schuster from the Reserve/Injured List; released P Corliss Waitman."/>
        <s v=" Signed K Sam Sloman to the practice squad; Released WR Tyler Vaughns from the practice squad; Placed CB James Pierre on the Reserve/COVID-19 List."/>
        <s v=" Activated WR James Washington from the Reserve/COVID-19 List."/>
        <s v=" Placed LB Buddy Johnson on the Reserve/COVID-19 List (from the Reserve/Injured List)."/>
        <s v=" Signed WR Tyler Vaughns to the practice squad; Released K Sam Sloman from the practice squad."/>
        <s v=" Activated CB Joe Haden and C Kendrick Green from the Reserve/COVID-19 List; placed WR James Washington on the Reserve/COVID-19 List; elevated G Rashaad Coward to the Active/Inactive List from the practice squad; released DE Isaiah Buggs; signed K Sam Sloman to the practice squad and released WR Tyler Vaughns from the practice squad."/>
        <s v=" Signed G Nate Gilliam to the practice squad; Placed LB Buddy Johnson on the Reserve/Injured List; Released WR Rico Bussey and WR Damion Willis from the practice squad; Activated WR Diontae Johnson from the Reserve/COVID-19 List."/>
        <s v=" Placed WR Diontae Johnson and C Kendrick Green on the Reserve/COVID-19 List; Restored DT Daniel Archibong to the practice squad."/>
        <s v=" Placed CB Joe Haden on the Reserve/COVID-19 List."/>
        <s v=" Restored WR Anthony Miller, WR Steven Sims, and WR Tyler Vaughns to the Practice Squad; Released P Cameron Nizialek and K Sam Sloman from the Practice Squad; LB Jacob Tuioti-Mariner terminated his practice squad contract."/>
        <s v=" Elevated G Rashaad Coward &amp; RB Trey Edmunds to the Active/Inactive roster; signed K Sam Sloman to the practice squad, placed WR Damion Willis on the Practice Squad/COVID-19 List and released WR Darrius Shepherd from the Practice Squad."/>
        <s v=" Activated DE Isaiah Buggs from the Reserve/COVID-19 list; restored S Karl Joseph to the practice squad; signed LB Tegray Scales from the Cincinnati Bengals practice squad."/>
        <s v=" Terminated vested veteran S JAMAL CARTER from injured reserve"/>
        <s v=" Waived OL DERWIN GRAY; claimed OL CARSON GREEN off waivers from the Houston Texans"/>
        <s v=" Terminated vested veteran TE RYAN IZZO; signed free agent WR JUWAN GREEN"/>
        <s v=" Signed fourth-round choice TE CHIG OKONKWO"/>
        <s v=" Signed third-round choice OL NICHOLAS PETIT-FRERE"/>
        <s v=" Signed first-round choice WR TREYLON BURKS"/>
        <s v=" Placed S JAMAL CARTER on injured reserve; signed free agents CB KENNETH GEORGE JR. and DL DeMARCUS WALKER"/>
        <s v=" Signed the following undrafted free agents: OLB DAVID ANENIH, CB TRE AVERY, RB JULIUS CHESTNUT, DT HASKELL GARRETT, LB JACK GIBBENS, S MICHAEL GRIFFIN II, G HAYDEN HOWERTON, WR BRANDON LEWIS, T JALEN McKENZIE, C/G XAVIER NEWMAN-JOHNSON, TE THOMAS ODUKOYA, DT SAM OKUAYINONU, DE JAYDEN PEEVY, WR REGGIE ROBERSON JR., T ANDREW RUPCICH, K CALEB SHUDAK, P RYAN STONEHOUSE and CB TRE SWILLING"/>
        <s v=" Signed fourth-round choice RB HASSAN HASKINS, fifth-round choice KYLE PHILIPS, sixth-round choice THEO JACKSON and sixth-round choice CHANCE CAMPBELL"/>
        <s v=" Signed free agent CB GREG MABIN"/>
        <s v=" Waived TE AUSTIN FORT, LB NATE HALL, LB KOBE JONES and OLB TUZAR SKIPPER"/>
        <s v=" Drafted RB HASSAN HASKINS (fourth round, 131st overall), TE CHIG OKONKWO (fourth round, 143rd overall), WR KYLE PHILIPS (fifth round, 163rd overall), S THEO JACKSON (sixth round, 204th overall) and LB CHANCE CAMPBELL (sixth round, 219th overall); terminated vested veteran QB KEVIN HOGAN"/>
        <s v=" Drafted CB ROGER McCREARY (second round, 35th overall) and OL NICHOLAS PETIT-FRERE (third round, 69th overall); traded a 2022 third-round pick (90th overall) and a 2022 fifth-round pick (169th overall) to the Las Vegas Raiders for their 2022 third-round pick (86th overall); drafted QB MALIK WILLIS (third round, 86th overall)"/>
        <s v=" Traded WR A.J. BROWN to the Philadelphia Eagles for their 2022 first-round pick (18th overall) and their 2022 third-round pick (101st overall); drafted WR TREYLON BURKS (first round, 18th overall); traded a 2022 first-round pick (26th overall) and a 2022 third-round pick (101st overall) to the N.Y. Jets for their 2022 second-round pick (35th overall), their 2022 third-round pick (69th overall) and their fifth-round pick (163rd overall)"/>
        <s v=" Exercised the fifth-year option on DT JEFFERY SIMMONS"/>
        <s v=" Waived T BRANDON KEMP"/>
        <s v=" Signed unrestricted free agent OLB OLA ADENIYI"/>
        <s v=" Signed unrestricted free agent K RANDY BULLOCK"/>
        <s v=" Signed unrestricted free agent RB DONTRELL HILLIARD; hired CHASE BLACKBURN as assistant special teams coach; elevated KYLAN BUTLER to offensive assistant and CLINTON McMILLAN to defensive line assistant"/>
        <s v=" Traded a sixth-round pick in the 2023 NFL Draft to the Los Angeles Rams for WR ROBERT WOODS; signed unrestricted free agent LB DYLAN COLE"/>
        <s v=" Signed unrestricted free agent CB BUSTER SKRINE; signed free agent C COREY LEVIN"/>
        <s v=" Signed free agent TE AUSTIN HOOPER; signed unrestricted free agent S A.J. MOORE JR.; terminated vested veteran C COREY LEVIN"/>
        <s v=" Signed unrestricted free agents RB TRENTON CANNON, C BEN JONES, TE GEOFF SWAIM and RB JORDAN WILKINS"/>
        <s v=" Signed unrestricted free agent OL JAMARCO JONES"/>
        <s v=" Terminated vested veteran WR JULIO JONES with Post-June 1 designation"/>
        <s v=" Terminated vested veteran CB JACKRABBIT JENKINS"/>
        <s v=" Terminated vested veterans T KENDALL LAMM and RODGER SAFFOLD III; waived RB DARRYNTON EVANS"/>
        <s v=" Signed free agent OLB JUSTIN LAWLER"/>
        <s v=" Signed free agent WR JOSH MALONE"/>
        <s v=" Signed free agent DE Da'SHAWN HAND"/>
        <s v=" Hired TIM KELLY as passing game coordinator and BOBBY KING as inside linebackers coach"/>
        <s v=" Signed DB SHYHEIM CARTER, S RODNEY CLEMONS and LB NATE HALL to future contracts"/>
        <s v=" Signed S JAMAL CARTER, T CHRISTIAN DiLAURO, TE AUSTIN FORT, OL DERWIN GRAY, QB KEVIN HOGAN, WR CODY HOLLISTER, LB JOE JONES, WR MASON KINSEY, C DANIEL MUNYER, G JORDAN ROOS and OLB TUZAR SKIPPER to future contracts; activated CB GREG MABIN from reserve/COVID-19"/>
        <s v=" Activated RB DERRICK HENRY from reserve/injured, designated for return; activated CB CHRIS JONES from the practice squad to the active roster standard elevation"/>
        <s v=" Placed CB GREG MABIN on reserve/COVID-19"/>
        <s v=" Designated FB TORY CARTER to return to practice; activated RB JORDAN WILKINS from practice squad reserve/COVID-19"/>
        <s v=" Signed RB JEREMY McNICHOLS to the practice squad; placed RB JORDAN WILKINS on practice squad reserve/COVID-19; signed LB KOBE JONES and DB CHRIS WILLIAMSON to future contracts"/>
        <s v=" Signed CB CHRIS JONES and LB JOE JONES to the practice squad"/>
        <s v=" Signed TE RYAN IZZO from the Seattle Seahawks practice squad; designated RB DERRICK HENRY to return to practice; signed DE Da'SHAWN HAND to the practice squad"/>
        <s v=" Waived CB CHRIS JONES and LB JOE JONES; released DB SHYHEIM CARTER, DB RODNEY CLEMONS and WR GOLDEN TATE from the practice squad; placed LB MONTY RICE on reserve/COVID-19"/>
        <s v=" Activated LB JAYON BROWN, WR JULIO JONES and T KENDALL LAMM from reserve/COVID-19; activated CB BRIEAN BODDY-CALHOUN from practice squad reserve/COVID-19; placed T PAUL ADAMS on practice squad reserve/COVID-19"/>
        <s v=" Activated DE DENICO AUTRY, OLB BUD DUPREE and CB BUSTER SKRINE from reserve/COVID-19; activated WR CODY HOLLISTER from practice squad reserve/COVID-19; released WR CALEB SCOTT from the practice squad"/>
        <s v=" Signed TE Jared Pinkney and RB A.J. Rose."/>
        <s v=" Re-signed LB Travin Howard to a 1-year deal."/>
        <s v=" Waived/No Recall LB Travin Howard."/>
        <s v=" OT A.J. Arcuri, OG Logan Bruss, DB Decobie Durant, LB Daniel Hardy, DB Derion Kendrick, DB Quentin Lake, RB Kyren Williams and DB Russ Yeast signed contracts."/>
        <s v=" Waived/No Recall DT Dion Novil."/>
        <s v=" Re-signed DB Jake Gervase."/>
        <s v=" Re-signed TE Roger Carter, DB T.J. Carter, DB Dan Isom and WR Lance McCutcheon."/>
        <s v=" Waived/No Recall TE Roger Carter, DB T.J. Carter, LB Andrzej Hughes-Murray, DB Dan Isom, WR Lance McCutcheon."/>
        <s v=" TE Roger Carter, LB Jake Hummel, DB Duron Lowe, DB Jairon McVea, G Jack Snyder, LB Brayden Thomas, LB Benton Whitley, P Cameron Dicker, DB TJ Carter, DT Elijah Garcia, LB Andrzej Hughes-Murray, DB Dan Isom, WR Lance McCutcheon, DT Dion Novil, TE Jamal Pettigrew, LB Keir Thomas and DB Caesar Williams signed as undrafted free agents."/>
        <s v=" Waived/No Recall DB Antoine Brooks Jr. and RB Javian Hawkins."/>
        <s v=" Waived/No Recall C Drake Jackson."/>
        <s v=" Signed exclusive rights free agent QB John Wolford. Read more here."/>
        <s v=" Signed restricted free agent LB Travin Howard. Read more here. Waived/No Recall DB Kareem Orr."/>
        <s v=" Signed restricted free agent K Matt Gay. Read more here."/>
        <s v=" Signed P Riley Dixon. Read more here."/>
        <s v=" Signed LB Bobby Wagner and WR Brandon Powell."/>
        <s v=" Re-signed C Brian Allen."/>
        <s v=" Released P Johnny Hekker. Re-signed T Joe Noteboom."/>
        <s v=" Signed LB Anthony Hines III to Reserve/Future contract."/>
        <s v=" Signed WR Warren Jackson to Reserve/Future contract."/>
        <s v=" Signed WR Landen Akers, T Chandler Brewer, DB Antoine Brooks Jr., DE Earnest Brown IV, DB Tyler Hall, RB Javian Hawkins, G Jeremiah Kolone, WR J.J. Koski, TE Kyle Markaway, DB Kareem Orr, T Max Pircher, and DE Jonah Williams to Reserve/Future contracts. Read more here."/>
        <s v=" Activated DB Blake Countess and DB Eric Weddle from Practice Squad. Placed LB Anthony Hines and WR Warren Jackson on Practice Squad Injured List. Signed K Ryan Santoso and LS Carson Tinker to Practice Squad."/>
        <s v=" Signed T Adrian Ealy to Reserve/Future contract."/>
        <s v=" Activated RB Darrell Henderson Jr. and NT Sebastian Joseph-Day from Reserve/Injured. Placed TE Tyler Higbee and T Joe Noteboom on Reserve/Injured."/>
        <s v=" Signed DB Antoine Brooks Jr., WR Warren Jackson and TE Kyle Markway to Practice Squad. Placed DB Sharrod Neasman on Practice Squad Injured List. K Ryan Santoso and LS Carson Tinker terminated (by Club) from Practice Squad."/>
        <s v=" Waived/No Recall DB Antoine Brooks. Activated DB Eric Weddle and DB Blake Countess from Practice Squad (Standard Elevation). Activated LB Ernest Jones from Reserve/Injured. WR Warren Jackson and TE Kyle Markway terminated (by Club) from Practice Squad. Signed K Ryan Santoso and LS Carson Tinker to Practice Squad."/>
        <s v=" K Ryan Santoso and LS Carson Tinker terminated (by Club) from Practice Squad. Signed WR Warren Jackson and TE Kyle Markway to Practice Squad."/>
        <s v=" Activated DBs Blake Countess and Eric Weddle from Practice Squad (Standard Elevation)."/>
        <s v=" WR Warren Jackson and TE Kyle Markway terminated (by Club) from Practice Squad. Signed K Ryan Santoso and LS Carson Tinker to Practice Squad."/>
        <s v=" Designated RB Darrell Henderson Jr., NT Sebastian Joseph-Day and DB Robert Rochell for Return from Reserve/Injured."/>
        <s v=" Designated LB Ernest Jones for Return from Reserve/Injured."/>
        <s v=" K Ryan Santoso and LS Carson Tinker terminated (by Club) from Practice Squad."/>
        <s v=" Added WR Warren Jackson and TE Kyle Markway to Practice Squad."/>
        <s v=" Activated DB Blake Countess and DB Eric Weddle from Practice Squad (Standard Elevation)."/>
        <s v=" WR Warren Jackson and TE Kyle Markway terminated (by Club) from Practice Squad. Added K Ryan Santoso and LS Carson Tinker to Practice Squad."/>
        <s v=" Signed DB Eric Weddle, DB Blake Countess and DB Sharrod Neasman to Practice Squad. Signed DB Jake Gervase to Active Roster. Placed DB Jordan Fuller on Reserve/Injured."/>
        <s v=" Signed C Drake Jackson to Reserve/Future contract. K Ryan Santoso and LS Carson Tinker terminated (by Club) from Practice Squad."/>
        <s v=" Activated DB Jake Gervase from Practice Squad (Standard Elevation). Signed DB Grant Haley to Active Roster. Added K Ryan Santoso and LS Carson Tinker to Practice Squad. Waived/No Recall DB Juju Hughes."/>
        <s v=" Signed WR Brandon Powell to Active Roster. Added WR J.J. Koski to Practice Squad."/>
        <s v=" Added WR Warren Jackson to Practice Squad. K Ryan Santoso and LS Carson Tinker terminated (by Club) from Practice Squad. Waived/No Recall WR J.J. Koski."/>
        <s v=" Activated RB Raymond Calais from Reserve/COVID-19 List (Remains on Reserve/Injured)."/>
        <s v=" Activated DB Grant Haley and WR Brandon Powell from Practice Squad (Standard Elevation). Signed WR J.J. Koski to Active Roster. WR Warren Jackson terminated (by Club) from Practice Squad. Added K Ryan Santoso and LS Carson Tinker to Practice Squad."/>
        <s v=" Waived QB Nate Stanley."/>
        <s v=" Signed CB  Akayleb Evans."/>
        <s v=" Signed OLB Andre Mintze."/>
        <s v=" Waived K Gabe Brkic."/>
        <s v=" Signed DL Jonathan Bullard. Waived DE Kenny Willekes."/>
        <s v=" Signed WR Albert Wilson. Waived RB A.J. Rose, Jr."/>
        <s v=" Waived LB Tuf Borland and signed LB William Kwenkeu."/>
        <s v=" Signed S Lewis Cine, DE Esezi Otomewo, RB Ty Chandler, WR Jalen Nailor and TE Nick Muse."/>
        <s v=" Agreed to terms with undrafted free agent K Gabe Brkic. Waived DT Jordon Scott."/>
        <s v=" Signed FB Jake Bargas."/>
        <s v=" Drafted CB Akayleb Evans, DL Esezi Otomewo, RB Ty Chandler, T Vederian Lowe, WR Jalen Nailor and TE Nick Muse."/>
        <s v=" Traded down, sending picks 122 and 250 to the Las Vegas Raiders for picks 126 and 227."/>
        <s v=" Traded up for the 42nd and 122nd picks in the 2022 NFL Draft from the Indianapolis Colts for picks 53, 77 and 192."/>
        <s v=" Agreed to terms with undrafted free agents S Mike Brown, WR Thomas Hennigan, RB Bryant Koback, OLB Zach McCloud, C Josh Sokol, DT Tyarise Stevenson, WR TrÃ© Turner, OLB Luiji Vilain and P Ryan Wright."/>
        <s v=" Received pick 118 from Cleveland Browns by sending pick 156 and a 2023 fourth-rounder."/>
        <s v=" Drafted CB Andrew Booth, G Ed Ingram and LB Brian Asamoah."/>
        <s v=" Traded pick 126 to the Las Vegas Raiders for picks 165 and 169."/>
        <s v=" Drafted Georgia S Lewis Cine."/>
        <s v=" Traded 34th pick in the 2022 NFL Draft to the Green Bay Packers for picks 53 and 59."/>
        <s v=" Traded 12th and 46th picks in the 2022 NFL Draft to Detroit Lions for picks 32, 34 and 66."/>
        <s v=" Signed DT Jullian Taylor."/>
        <s v=" Agreed to terms with G Chris Reed."/>
        <s v=" Agreed to terms with CB Patrick Peterson."/>
        <s v=" Signed CB Tye Smith, CB Nate Hairston and OL Jesse Davis."/>
        <s v=" Signed CB Chandon Sullivan."/>
        <s v=" Agreed to terms with OLB Za'Darius Smith."/>
        <s v=" Signed QB Sean Mannion."/>
        <s v=" Agreed to terms with G/C Austin Schlottmann."/>
        <s v=" Agreed to terms with DTHarrison Phillips and TE Johnny Mundt."/>
        <s v=" Signed P Jordan Berry."/>
        <s v=" Agreed to terms with DT Harrison Phillips and TE Johnny Mundt."/>
        <s v=" Agreed to terms with LB Jordan Hicks."/>
        <s v=" Released DT Michael Pierce."/>
        <s v=" Agreed in principle to contract extension with QB Kirk Cousins."/>
        <s v=" Placed tender on K Greg Joseph."/>
        <s v=" Signed G Kyle Hinton to a Reserve/Future contract"/>
        <s v=" LB Tuf Borland, S Myles Dorn, WR Trishton Jackson, WR Myron Mitchell, CB Parry Nickerson, T Timon Parris, RB, A.J. Rose, Jr. and DT T.J. Smith Reserve/Future Free Agent signings."/>
        <s v=" CB Parry Nickerson medically cleared to play."/>
        <s v=" Signed TE Zach Davidson and DE Kelly Willekes to the 53-man roster. Activated CB Parry Nickerson from the practice squad / Covid-19 list. Activated G Ezra Cleveland and T Christian Darrisaw from the Covid-19 reserve list. Activated TE Ben Ellefson from the IR. Elevated LB Tuf Borland and CB Bryan Mills to the 53-man roster. Activated S Myles Dorn, DT T.Y. McGill, CB Parry Nickerson and CB Tye Smith to the 53-man roster."/>
        <s v=" Placed CB Harrison Hand on Reserve/COVID-19 list."/>
        <s v=" Activated QB Kirk Cousins from Reserve/COVID-19 list. Placed DE Tashawn Bower on Reserve/COVID-19 list. Signed CB Bryan Mills to practice squad."/>
        <s v=" Activated T Brian O'Neill from Reserve/COVID-19 list."/>
        <s v=" Activated LB Nick Vigil from Reserve/COVID-19 list. Placed TE Chris Herndon on Reserve/COVID-19 list. Placed CB Parry Nickerson on Practice Squad Reserve/COVID-19 list. Signed C/G Cole Banwart to practice squad."/>
        <s v=" Placed S Camryn Bynum, G Ezra Cleveland, T Christian Darrisaw, LB Eric Kendricks, T Brian O'Neill on Reserve/COVID-19 list. Activated DE Patrick Jones II from Reserve/COVID-19 list. Released QB Kyle Sloter."/>
        <s v=" Activated S Myles Dorn, CB Tye Smith and DE Kenny Willekes via COVID-19 replacement. Activated DT T.Y. McGill and DE Eddie Yarbrough (Standard Elevations). Activated G Olisaemeka Udoh from Reserve/COVID-19 list."/>
        <s v=" Placed DT Johnathan Hankins, CB Trayvon Mullen Jr. and DT Bilal Nichols on the Reserve/Physically Unable to Perform list: Signed WR Isaiah Zuber." u="1"/>
      </sharedItems>
    </cacheField>
    <cacheField name="Team" numFmtId="0">
      <sharedItems count="30">
        <s v=" SFO"/>
        <s v=" ATL"/>
        <s v=" ARI"/>
        <s v=" BAL"/>
        <s v=" CIN"/>
        <s v=" TAM"/>
        <s v=" BUF"/>
        <s v=" LAC"/>
        <s v=" CHI"/>
        <s v=" KAN"/>
        <s v=" CLE"/>
        <s v=" IND"/>
        <s v=" WAS"/>
        <s v=" DEN"/>
        <s v=" DET"/>
        <s v=" NYG"/>
        <s v=" HOU"/>
        <s v=" JAX"/>
        <s v=" MIA"/>
        <s v=" NOR"/>
        <s v=" GNB"/>
        <s v=" CAR"/>
        <s v=" NWE"/>
        <s v=" PHI"/>
        <s v=" LVE"/>
        <s v=" SEA"/>
        <s v=" PIT"/>
        <s v=" TENN"/>
        <s v=" LAR"/>
        <s v=" MIN"/>
      </sharedItems>
    </cacheField>
  </cacheFields>
  <extLst>
    <ext xmlns:x14="http://schemas.microsoft.com/office/spreadsheetml/2009/9/main" uri="{725AE2AE-9491-48be-B2B4-4EB974FC3084}">
      <x14:pivotCacheDefinition pivotCacheId="1377901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7">
  <r>
    <x v="0"/>
    <x v="0"/>
    <x v="0"/>
    <x v="0"/>
    <x v="0"/>
    <x v="0"/>
    <x v="0"/>
    <x v="0"/>
    <x v="0"/>
  </r>
  <r>
    <x v="1"/>
    <x v="1"/>
    <x v="1"/>
    <x v="1"/>
    <x v="1"/>
    <x v="0"/>
    <x v="1"/>
    <x v="1"/>
    <x v="0"/>
  </r>
  <r>
    <x v="2"/>
    <x v="2"/>
    <x v="2"/>
    <x v="2"/>
    <x v="2"/>
    <x v="1"/>
    <x v="2"/>
    <x v="2"/>
    <x v="0"/>
  </r>
  <r>
    <x v="3"/>
    <x v="3"/>
    <x v="2"/>
    <x v="3"/>
    <x v="3"/>
    <x v="2"/>
    <x v="3"/>
    <x v="3"/>
    <x v="0"/>
  </r>
  <r>
    <x v="4"/>
    <x v="4"/>
    <x v="3"/>
    <x v="4"/>
    <x v="4"/>
    <x v="0"/>
    <x v="4"/>
    <x v="4"/>
    <x v="0"/>
  </r>
  <r>
    <x v="5"/>
    <x v="5"/>
    <x v="2"/>
    <x v="3"/>
    <x v="5"/>
    <x v="1"/>
    <x v="4"/>
    <x v="5"/>
    <x v="0"/>
  </r>
  <r>
    <x v="6"/>
    <x v="6"/>
    <x v="2"/>
    <x v="5"/>
    <x v="6"/>
    <x v="0"/>
    <x v="1"/>
    <x v="6"/>
    <x v="0"/>
  </r>
  <r>
    <x v="7"/>
    <x v="7"/>
    <x v="3"/>
    <x v="5"/>
    <x v="7"/>
    <x v="3"/>
    <x v="5"/>
    <x v="7"/>
    <x v="0"/>
  </r>
  <r>
    <x v="8"/>
    <x v="8"/>
    <x v="3"/>
    <x v="4"/>
    <x v="8"/>
    <x v="1"/>
    <x v="1"/>
    <x v="5"/>
    <x v="0"/>
  </r>
  <r>
    <x v="9"/>
    <x v="9"/>
    <x v="3"/>
    <x v="4"/>
    <x v="8"/>
    <x v="4"/>
    <x v="3"/>
    <x v="8"/>
    <x v="0"/>
  </r>
  <r>
    <x v="10"/>
    <x v="10"/>
    <x v="1"/>
    <x v="6"/>
    <x v="9"/>
    <x v="5"/>
    <x v="6"/>
    <x v="9"/>
    <x v="0"/>
  </r>
  <r>
    <x v="11"/>
    <x v="11"/>
    <x v="4"/>
    <x v="0"/>
    <x v="10"/>
    <x v="2"/>
    <x v="3"/>
    <x v="10"/>
    <x v="0"/>
  </r>
  <r>
    <x v="12"/>
    <x v="12"/>
    <x v="5"/>
    <x v="7"/>
    <x v="11"/>
    <x v="6"/>
    <x v="3"/>
    <x v="11"/>
    <x v="0"/>
  </r>
  <r>
    <x v="13"/>
    <x v="13"/>
    <x v="2"/>
    <x v="3"/>
    <x v="12"/>
    <x v="2"/>
    <x v="3"/>
    <x v="12"/>
    <x v="0"/>
  </r>
  <r>
    <x v="14"/>
    <x v="14"/>
    <x v="4"/>
    <x v="8"/>
    <x v="13"/>
    <x v="7"/>
    <x v="2"/>
    <x v="13"/>
    <x v="0"/>
  </r>
  <r>
    <x v="15"/>
    <x v="15"/>
    <x v="6"/>
    <x v="4"/>
    <x v="14"/>
    <x v="5"/>
    <x v="6"/>
    <x v="14"/>
    <x v="0"/>
  </r>
  <r>
    <x v="16"/>
    <x v="16"/>
    <x v="2"/>
    <x v="6"/>
    <x v="15"/>
    <x v="5"/>
    <x v="5"/>
    <x v="15"/>
    <x v="0"/>
  </r>
  <r>
    <x v="17"/>
    <x v="17"/>
    <x v="1"/>
    <x v="3"/>
    <x v="16"/>
    <x v="8"/>
    <x v="0"/>
    <x v="16"/>
    <x v="0"/>
  </r>
  <r>
    <x v="18"/>
    <x v="18"/>
    <x v="2"/>
    <x v="3"/>
    <x v="17"/>
    <x v="9"/>
    <x v="7"/>
    <x v="17"/>
    <x v="0"/>
  </r>
  <r>
    <x v="19"/>
    <x v="19"/>
    <x v="6"/>
    <x v="9"/>
    <x v="18"/>
    <x v="5"/>
    <x v="6"/>
    <x v="18"/>
    <x v="0"/>
  </r>
  <r>
    <x v="20"/>
    <x v="20"/>
    <x v="7"/>
    <x v="3"/>
    <x v="19"/>
    <x v="7"/>
    <x v="7"/>
    <x v="19"/>
    <x v="0"/>
  </r>
  <r>
    <x v="21"/>
    <x v="21"/>
    <x v="1"/>
    <x v="7"/>
    <x v="19"/>
    <x v="2"/>
    <x v="3"/>
    <x v="20"/>
    <x v="0"/>
  </r>
  <r>
    <x v="22"/>
    <x v="22"/>
    <x v="2"/>
    <x v="7"/>
    <x v="20"/>
    <x v="8"/>
    <x v="0"/>
    <x v="10"/>
    <x v="0"/>
  </r>
  <r>
    <x v="23"/>
    <x v="23"/>
    <x v="8"/>
    <x v="0"/>
    <x v="21"/>
    <x v="10"/>
    <x v="8"/>
    <x v="10"/>
    <x v="0"/>
  </r>
  <r>
    <x v="24"/>
    <x v="24"/>
    <x v="0"/>
    <x v="3"/>
    <x v="0"/>
    <x v="2"/>
    <x v="3"/>
    <x v="21"/>
    <x v="0"/>
  </r>
  <r>
    <x v="25"/>
    <x v="25"/>
    <x v="1"/>
    <x v="0"/>
    <x v="22"/>
    <x v="8"/>
    <x v="1"/>
    <x v="22"/>
    <x v="0"/>
  </r>
  <r>
    <x v="26"/>
    <x v="3"/>
    <x v="3"/>
    <x v="10"/>
    <x v="23"/>
    <x v="11"/>
    <x v="9"/>
    <x v="23"/>
    <x v="0"/>
  </r>
  <r>
    <x v="27"/>
    <x v="26"/>
    <x v="5"/>
    <x v="11"/>
    <x v="24"/>
    <x v="8"/>
    <x v="0"/>
    <x v="24"/>
    <x v="0"/>
  </r>
  <r>
    <x v="28"/>
    <x v="27"/>
    <x v="9"/>
    <x v="7"/>
    <x v="24"/>
    <x v="0"/>
    <x v="3"/>
    <x v="5"/>
    <x v="0"/>
  </r>
  <r>
    <x v="29"/>
    <x v="28"/>
    <x v="10"/>
    <x v="7"/>
    <x v="19"/>
    <x v="0"/>
    <x v="9"/>
    <x v="3"/>
    <x v="0"/>
  </r>
  <r>
    <x v="30"/>
    <x v="29"/>
    <x v="4"/>
    <x v="0"/>
    <x v="25"/>
    <x v="5"/>
    <x v="0"/>
    <x v="25"/>
    <x v="0"/>
  </r>
  <r>
    <x v="31"/>
    <x v="30"/>
    <x v="6"/>
    <x v="4"/>
    <x v="26"/>
    <x v="5"/>
    <x v="0"/>
    <x v="26"/>
    <x v="0"/>
  </r>
  <r>
    <x v="32"/>
    <x v="31"/>
    <x v="9"/>
    <x v="0"/>
    <x v="0"/>
    <x v="2"/>
    <x v="4"/>
    <x v="27"/>
    <x v="0"/>
  </r>
  <r>
    <x v="33"/>
    <x v="32"/>
    <x v="2"/>
    <x v="3"/>
    <x v="27"/>
    <x v="5"/>
    <x v="6"/>
    <x v="28"/>
    <x v="0"/>
  </r>
  <r>
    <x v="34"/>
    <x v="33"/>
    <x v="2"/>
    <x v="3"/>
    <x v="28"/>
    <x v="9"/>
    <x v="10"/>
    <x v="29"/>
    <x v="0"/>
  </r>
  <r>
    <x v="35"/>
    <x v="34"/>
    <x v="2"/>
    <x v="5"/>
    <x v="29"/>
    <x v="6"/>
    <x v="3"/>
    <x v="27"/>
    <x v="0"/>
  </r>
  <r>
    <x v="36"/>
    <x v="35"/>
    <x v="0"/>
    <x v="6"/>
    <x v="30"/>
    <x v="8"/>
    <x v="4"/>
    <x v="30"/>
    <x v="0"/>
  </r>
  <r>
    <x v="37"/>
    <x v="36"/>
    <x v="4"/>
    <x v="3"/>
    <x v="0"/>
    <x v="7"/>
    <x v="7"/>
    <x v="31"/>
    <x v="0"/>
  </r>
  <r>
    <x v="38"/>
    <x v="37"/>
    <x v="0"/>
    <x v="7"/>
    <x v="31"/>
    <x v="8"/>
    <x v="0"/>
    <x v="3"/>
    <x v="0"/>
  </r>
  <r>
    <x v="39"/>
    <x v="38"/>
    <x v="0"/>
    <x v="7"/>
    <x v="32"/>
    <x v="5"/>
    <x v="5"/>
    <x v="32"/>
    <x v="0"/>
  </r>
  <r>
    <x v="40"/>
    <x v="39"/>
    <x v="10"/>
    <x v="7"/>
    <x v="14"/>
    <x v="9"/>
    <x v="11"/>
    <x v="33"/>
    <x v="0"/>
  </r>
  <r>
    <x v="41"/>
    <x v="40"/>
    <x v="11"/>
    <x v="4"/>
    <x v="33"/>
    <x v="0"/>
    <x v="0"/>
    <x v="34"/>
    <x v="0"/>
  </r>
  <r>
    <x v="42"/>
    <x v="41"/>
    <x v="6"/>
    <x v="5"/>
    <x v="5"/>
    <x v="1"/>
    <x v="5"/>
    <x v="35"/>
    <x v="0"/>
  </r>
  <r>
    <x v="43"/>
    <x v="42"/>
    <x v="4"/>
    <x v="0"/>
    <x v="34"/>
    <x v="0"/>
    <x v="3"/>
    <x v="7"/>
    <x v="0"/>
  </r>
  <r>
    <x v="44"/>
    <x v="21"/>
    <x v="6"/>
    <x v="9"/>
    <x v="17"/>
    <x v="3"/>
    <x v="2"/>
    <x v="36"/>
    <x v="0"/>
  </r>
  <r>
    <x v="45"/>
    <x v="43"/>
    <x v="7"/>
    <x v="5"/>
    <x v="35"/>
    <x v="4"/>
    <x v="4"/>
    <x v="37"/>
    <x v="0"/>
  </r>
  <r>
    <x v="46"/>
    <x v="44"/>
    <x v="12"/>
    <x v="12"/>
    <x v="0"/>
    <x v="4"/>
    <x v="4"/>
    <x v="2"/>
    <x v="0"/>
  </r>
  <r>
    <x v="47"/>
    <x v="45"/>
    <x v="0"/>
    <x v="3"/>
    <x v="36"/>
    <x v="0"/>
    <x v="4"/>
    <x v="6"/>
    <x v="0"/>
  </r>
  <r>
    <x v="48"/>
    <x v="46"/>
    <x v="0"/>
    <x v="3"/>
    <x v="21"/>
    <x v="2"/>
    <x v="3"/>
    <x v="38"/>
    <x v="0"/>
  </r>
  <r>
    <x v="49"/>
    <x v="47"/>
    <x v="0"/>
    <x v="6"/>
    <x v="37"/>
    <x v="0"/>
    <x v="3"/>
    <x v="39"/>
    <x v="0"/>
  </r>
  <r>
    <x v="50"/>
    <x v="27"/>
    <x v="5"/>
    <x v="8"/>
    <x v="16"/>
    <x v="2"/>
    <x v="3"/>
    <x v="40"/>
    <x v="0"/>
  </r>
  <r>
    <x v="51"/>
    <x v="48"/>
    <x v="6"/>
    <x v="6"/>
    <x v="38"/>
    <x v="7"/>
    <x v="10"/>
    <x v="9"/>
    <x v="0"/>
  </r>
  <r>
    <x v="52"/>
    <x v="49"/>
    <x v="0"/>
    <x v="13"/>
    <x v="21"/>
    <x v="8"/>
    <x v="6"/>
    <x v="41"/>
    <x v="0"/>
  </r>
  <r>
    <x v="53"/>
    <x v="28"/>
    <x v="1"/>
    <x v="0"/>
    <x v="39"/>
    <x v="2"/>
    <x v="3"/>
    <x v="42"/>
    <x v="0"/>
  </r>
  <r>
    <x v="54"/>
    <x v="50"/>
    <x v="13"/>
    <x v="14"/>
    <x v="12"/>
    <x v="5"/>
    <x v="6"/>
    <x v="4"/>
    <x v="0"/>
  </r>
  <r>
    <x v="55"/>
    <x v="51"/>
    <x v="3"/>
    <x v="9"/>
    <x v="40"/>
    <x v="8"/>
    <x v="0"/>
    <x v="43"/>
    <x v="0"/>
  </r>
  <r>
    <x v="56"/>
    <x v="52"/>
    <x v="5"/>
    <x v="12"/>
    <x v="0"/>
    <x v="0"/>
    <x v="4"/>
    <x v="44"/>
    <x v="0"/>
  </r>
  <r>
    <x v="57"/>
    <x v="53"/>
    <x v="3"/>
    <x v="5"/>
    <x v="41"/>
    <x v="0"/>
    <x v="4"/>
    <x v="45"/>
    <x v="0"/>
  </r>
  <r>
    <x v="58"/>
    <x v="54"/>
    <x v="12"/>
    <x v="3"/>
    <x v="0"/>
    <x v="8"/>
    <x v="6"/>
    <x v="46"/>
    <x v="0"/>
  </r>
  <r>
    <x v="59"/>
    <x v="55"/>
    <x v="4"/>
    <x v="8"/>
    <x v="21"/>
    <x v="11"/>
    <x v="6"/>
    <x v="30"/>
    <x v="0"/>
  </r>
  <r>
    <x v="60"/>
    <x v="56"/>
    <x v="9"/>
    <x v="7"/>
    <x v="42"/>
    <x v="2"/>
    <x v="3"/>
    <x v="47"/>
    <x v="0"/>
  </r>
  <r>
    <x v="61"/>
    <x v="57"/>
    <x v="9"/>
    <x v="7"/>
    <x v="13"/>
    <x v="1"/>
    <x v="6"/>
    <x v="48"/>
    <x v="0"/>
  </r>
  <r>
    <x v="62"/>
    <x v="19"/>
    <x v="1"/>
    <x v="3"/>
    <x v="43"/>
    <x v="4"/>
    <x v="3"/>
    <x v="5"/>
    <x v="0"/>
  </r>
  <r>
    <x v="63"/>
    <x v="58"/>
    <x v="2"/>
    <x v="4"/>
    <x v="44"/>
    <x v="0"/>
    <x v="1"/>
    <x v="32"/>
    <x v="0"/>
  </r>
  <r>
    <x v="64"/>
    <x v="59"/>
    <x v="14"/>
    <x v="5"/>
    <x v="15"/>
    <x v="1"/>
    <x v="6"/>
    <x v="13"/>
    <x v="0"/>
  </r>
  <r>
    <x v="65"/>
    <x v="60"/>
    <x v="3"/>
    <x v="7"/>
    <x v="8"/>
    <x v="0"/>
    <x v="3"/>
    <x v="49"/>
    <x v="0"/>
  </r>
  <r>
    <x v="66"/>
    <x v="56"/>
    <x v="7"/>
    <x v="7"/>
    <x v="43"/>
    <x v="4"/>
    <x v="3"/>
    <x v="50"/>
    <x v="0"/>
  </r>
  <r>
    <x v="67"/>
    <x v="61"/>
    <x v="2"/>
    <x v="6"/>
    <x v="45"/>
    <x v="5"/>
    <x v="10"/>
    <x v="32"/>
    <x v="0"/>
  </r>
  <r>
    <x v="68"/>
    <x v="62"/>
    <x v="1"/>
    <x v="6"/>
    <x v="14"/>
    <x v="0"/>
    <x v="4"/>
    <x v="51"/>
    <x v="0"/>
  </r>
  <r>
    <x v="69"/>
    <x v="63"/>
    <x v="0"/>
    <x v="0"/>
    <x v="36"/>
    <x v="11"/>
    <x v="1"/>
    <x v="34"/>
    <x v="0"/>
  </r>
  <r>
    <x v="70"/>
    <x v="64"/>
    <x v="3"/>
    <x v="9"/>
    <x v="46"/>
    <x v="0"/>
    <x v="3"/>
    <x v="52"/>
    <x v="0"/>
  </r>
  <r>
    <x v="71"/>
    <x v="65"/>
    <x v="5"/>
    <x v="0"/>
    <x v="36"/>
    <x v="2"/>
    <x v="4"/>
    <x v="6"/>
    <x v="0"/>
  </r>
  <r>
    <x v="72"/>
    <x v="66"/>
    <x v="3"/>
    <x v="9"/>
    <x v="47"/>
    <x v="8"/>
    <x v="1"/>
    <x v="9"/>
    <x v="0"/>
  </r>
  <r>
    <x v="73"/>
    <x v="67"/>
    <x v="7"/>
    <x v="9"/>
    <x v="48"/>
    <x v="1"/>
    <x v="5"/>
    <x v="42"/>
    <x v="0"/>
  </r>
  <r>
    <x v="74"/>
    <x v="68"/>
    <x v="3"/>
    <x v="4"/>
    <x v="47"/>
    <x v="8"/>
    <x v="0"/>
    <x v="47"/>
    <x v="0"/>
  </r>
  <r>
    <x v="75"/>
    <x v="69"/>
    <x v="4"/>
    <x v="0"/>
    <x v="21"/>
    <x v="4"/>
    <x v="4"/>
    <x v="28"/>
    <x v="0"/>
  </r>
  <r>
    <x v="76"/>
    <x v="70"/>
    <x v="2"/>
    <x v="4"/>
    <x v="49"/>
    <x v="5"/>
    <x v="6"/>
    <x v="36"/>
    <x v="0"/>
  </r>
  <r>
    <x v="77"/>
    <x v="71"/>
    <x v="0"/>
    <x v="3"/>
    <x v="13"/>
    <x v="11"/>
    <x v="6"/>
    <x v="53"/>
    <x v="0"/>
  </r>
  <r>
    <x v="78"/>
    <x v="72"/>
    <x v="4"/>
    <x v="12"/>
    <x v="50"/>
    <x v="9"/>
    <x v="7"/>
    <x v="54"/>
    <x v="0"/>
  </r>
  <r>
    <x v="79"/>
    <x v="73"/>
    <x v="4"/>
    <x v="7"/>
    <x v="25"/>
    <x v="11"/>
    <x v="6"/>
    <x v="55"/>
    <x v="0"/>
  </r>
  <r>
    <x v="80"/>
    <x v="74"/>
    <x v="12"/>
    <x v="8"/>
    <x v="51"/>
    <x v="9"/>
    <x v="7"/>
    <x v="56"/>
    <x v="0"/>
  </r>
  <r>
    <x v="81"/>
    <x v="75"/>
    <x v="1"/>
    <x v="6"/>
    <x v="22"/>
    <x v="8"/>
    <x v="6"/>
    <x v="57"/>
    <x v="0"/>
  </r>
  <r>
    <x v="82"/>
    <x v="76"/>
    <x v="15"/>
    <x v="5"/>
    <x v="8"/>
    <x v="6"/>
    <x v="3"/>
    <x v="0"/>
    <x v="0"/>
  </r>
  <r>
    <x v="83"/>
    <x v="77"/>
    <x v="13"/>
    <x v="4"/>
    <x v="52"/>
    <x v="12"/>
    <x v="12"/>
    <x v="58"/>
    <x v="0"/>
  </r>
  <r>
    <x v="84"/>
    <x v="78"/>
    <x v="2"/>
    <x v="5"/>
    <x v="53"/>
    <x v="5"/>
    <x v="5"/>
    <x v="59"/>
    <x v="0"/>
  </r>
  <r>
    <x v="85"/>
    <x v="79"/>
    <x v="5"/>
    <x v="0"/>
    <x v="54"/>
    <x v="11"/>
    <x v="6"/>
    <x v="60"/>
    <x v="0"/>
  </r>
  <r>
    <x v="86"/>
    <x v="46"/>
    <x v="16"/>
    <x v="3"/>
    <x v="43"/>
    <x v="7"/>
    <x v="1"/>
    <x v="61"/>
    <x v="0"/>
  </r>
  <r>
    <x v="87"/>
    <x v="80"/>
    <x v="6"/>
    <x v="4"/>
    <x v="55"/>
    <x v="0"/>
    <x v="0"/>
    <x v="62"/>
    <x v="0"/>
  </r>
  <r>
    <x v="88"/>
    <x v="81"/>
    <x v="4"/>
    <x v="12"/>
    <x v="56"/>
    <x v="2"/>
    <x v="3"/>
    <x v="25"/>
    <x v="0"/>
  </r>
  <r>
    <x v="89"/>
    <x v="82"/>
    <x v="3"/>
    <x v="4"/>
    <x v="57"/>
    <x v="2"/>
    <x v="3"/>
    <x v="63"/>
    <x v="0"/>
  </r>
  <r>
    <x v="90"/>
    <x v="83"/>
    <x v="12"/>
    <x v="8"/>
    <x v="58"/>
    <x v="0"/>
    <x v="9"/>
    <x v="64"/>
    <x v="1"/>
  </r>
  <r>
    <x v="91"/>
    <x v="52"/>
    <x v="5"/>
    <x v="8"/>
    <x v="43"/>
    <x v="4"/>
    <x v="3"/>
    <x v="57"/>
    <x v="1"/>
  </r>
  <r>
    <x v="92"/>
    <x v="15"/>
    <x v="0"/>
    <x v="6"/>
    <x v="13"/>
    <x v="1"/>
    <x v="6"/>
    <x v="53"/>
    <x v="1"/>
  </r>
  <r>
    <x v="93"/>
    <x v="39"/>
    <x v="1"/>
    <x v="5"/>
    <x v="14"/>
    <x v="2"/>
    <x v="3"/>
    <x v="65"/>
    <x v="1"/>
  </r>
  <r>
    <x v="94"/>
    <x v="52"/>
    <x v="12"/>
    <x v="8"/>
    <x v="37"/>
    <x v="11"/>
    <x v="1"/>
    <x v="46"/>
    <x v="1"/>
  </r>
  <r>
    <x v="95"/>
    <x v="84"/>
    <x v="12"/>
    <x v="0"/>
    <x v="59"/>
    <x v="11"/>
    <x v="1"/>
    <x v="66"/>
    <x v="1"/>
  </r>
  <r>
    <x v="96"/>
    <x v="85"/>
    <x v="0"/>
    <x v="11"/>
    <x v="58"/>
    <x v="11"/>
    <x v="6"/>
    <x v="29"/>
    <x v="1"/>
  </r>
  <r>
    <x v="97"/>
    <x v="16"/>
    <x v="17"/>
    <x v="5"/>
    <x v="49"/>
    <x v="11"/>
    <x v="4"/>
    <x v="67"/>
    <x v="1"/>
  </r>
  <r>
    <x v="98"/>
    <x v="47"/>
    <x v="0"/>
    <x v="7"/>
    <x v="51"/>
    <x v="0"/>
    <x v="3"/>
    <x v="68"/>
    <x v="1"/>
  </r>
  <r>
    <x v="99"/>
    <x v="86"/>
    <x v="0"/>
    <x v="13"/>
    <x v="60"/>
    <x v="0"/>
    <x v="3"/>
    <x v="16"/>
    <x v="1"/>
  </r>
  <r>
    <x v="100"/>
    <x v="19"/>
    <x v="1"/>
    <x v="6"/>
    <x v="17"/>
    <x v="11"/>
    <x v="0"/>
    <x v="39"/>
    <x v="1"/>
  </r>
  <r>
    <x v="101"/>
    <x v="87"/>
    <x v="0"/>
    <x v="13"/>
    <x v="58"/>
    <x v="3"/>
    <x v="10"/>
    <x v="34"/>
    <x v="1"/>
  </r>
  <r>
    <x v="102"/>
    <x v="23"/>
    <x v="1"/>
    <x v="4"/>
    <x v="17"/>
    <x v="11"/>
    <x v="6"/>
    <x v="62"/>
    <x v="1"/>
  </r>
  <r>
    <x v="103"/>
    <x v="66"/>
    <x v="3"/>
    <x v="6"/>
    <x v="8"/>
    <x v="2"/>
    <x v="4"/>
    <x v="51"/>
    <x v="1"/>
  </r>
  <r>
    <x v="104"/>
    <x v="88"/>
    <x v="11"/>
    <x v="9"/>
    <x v="8"/>
    <x v="0"/>
    <x v="0"/>
    <x v="20"/>
    <x v="1"/>
  </r>
  <r>
    <x v="105"/>
    <x v="48"/>
    <x v="0"/>
    <x v="7"/>
    <x v="0"/>
    <x v="0"/>
    <x v="4"/>
    <x v="0"/>
    <x v="1"/>
  </r>
  <r>
    <x v="106"/>
    <x v="22"/>
    <x v="2"/>
    <x v="6"/>
    <x v="61"/>
    <x v="0"/>
    <x v="0"/>
    <x v="17"/>
    <x v="1"/>
  </r>
  <r>
    <x v="107"/>
    <x v="89"/>
    <x v="17"/>
    <x v="9"/>
    <x v="62"/>
    <x v="2"/>
    <x v="3"/>
    <x v="69"/>
    <x v="1"/>
  </r>
  <r>
    <x v="108"/>
    <x v="21"/>
    <x v="18"/>
    <x v="6"/>
    <x v="63"/>
    <x v="2"/>
    <x v="3"/>
    <x v="10"/>
    <x v="1"/>
  </r>
  <r>
    <x v="109"/>
    <x v="80"/>
    <x v="0"/>
    <x v="6"/>
    <x v="36"/>
    <x v="2"/>
    <x v="0"/>
    <x v="34"/>
    <x v="1"/>
  </r>
  <r>
    <x v="110"/>
    <x v="10"/>
    <x v="19"/>
    <x v="6"/>
    <x v="22"/>
    <x v="2"/>
    <x v="4"/>
    <x v="70"/>
    <x v="1"/>
  </r>
  <r>
    <x v="111"/>
    <x v="75"/>
    <x v="19"/>
    <x v="3"/>
    <x v="64"/>
    <x v="11"/>
    <x v="6"/>
    <x v="71"/>
    <x v="1"/>
  </r>
  <r>
    <x v="112"/>
    <x v="24"/>
    <x v="6"/>
    <x v="3"/>
    <x v="55"/>
    <x v="5"/>
    <x v="6"/>
    <x v="33"/>
    <x v="1"/>
  </r>
  <r>
    <x v="113"/>
    <x v="42"/>
    <x v="6"/>
    <x v="5"/>
    <x v="20"/>
    <x v="13"/>
    <x v="3"/>
    <x v="51"/>
    <x v="1"/>
  </r>
  <r>
    <x v="114"/>
    <x v="87"/>
    <x v="6"/>
    <x v="2"/>
    <x v="5"/>
    <x v="4"/>
    <x v="3"/>
    <x v="62"/>
    <x v="1"/>
  </r>
  <r>
    <x v="115"/>
    <x v="42"/>
    <x v="12"/>
    <x v="0"/>
    <x v="65"/>
    <x v="11"/>
    <x v="6"/>
    <x v="72"/>
    <x v="1"/>
  </r>
  <r>
    <x v="116"/>
    <x v="35"/>
    <x v="7"/>
    <x v="9"/>
    <x v="66"/>
    <x v="0"/>
    <x v="4"/>
    <x v="22"/>
    <x v="1"/>
  </r>
  <r>
    <x v="117"/>
    <x v="90"/>
    <x v="11"/>
    <x v="6"/>
    <x v="23"/>
    <x v="1"/>
    <x v="10"/>
    <x v="73"/>
    <x v="1"/>
  </r>
  <r>
    <x v="118"/>
    <x v="68"/>
    <x v="3"/>
    <x v="4"/>
    <x v="41"/>
    <x v="5"/>
    <x v="0"/>
    <x v="74"/>
    <x v="1"/>
  </r>
  <r>
    <x v="119"/>
    <x v="34"/>
    <x v="2"/>
    <x v="5"/>
    <x v="67"/>
    <x v="2"/>
    <x v="4"/>
    <x v="32"/>
    <x v="1"/>
  </r>
  <r>
    <x v="120"/>
    <x v="36"/>
    <x v="9"/>
    <x v="0"/>
    <x v="0"/>
    <x v="0"/>
    <x v="4"/>
    <x v="12"/>
    <x v="1"/>
  </r>
  <r>
    <x v="121"/>
    <x v="91"/>
    <x v="4"/>
    <x v="0"/>
    <x v="21"/>
    <x v="4"/>
    <x v="4"/>
    <x v="5"/>
    <x v="1"/>
  </r>
  <r>
    <x v="122"/>
    <x v="42"/>
    <x v="4"/>
    <x v="7"/>
    <x v="37"/>
    <x v="2"/>
    <x v="3"/>
    <x v="35"/>
    <x v="1"/>
  </r>
  <r>
    <x v="123"/>
    <x v="26"/>
    <x v="9"/>
    <x v="3"/>
    <x v="19"/>
    <x v="14"/>
    <x v="10"/>
    <x v="75"/>
    <x v="1"/>
  </r>
  <r>
    <x v="124"/>
    <x v="60"/>
    <x v="15"/>
    <x v="5"/>
    <x v="68"/>
    <x v="7"/>
    <x v="10"/>
    <x v="76"/>
    <x v="1"/>
  </r>
  <r>
    <x v="125"/>
    <x v="12"/>
    <x v="9"/>
    <x v="7"/>
    <x v="69"/>
    <x v="0"/>
    <x v="0"/>
    <x v="69"/>
    <x v="1"/>
  </r>
  <r>
    <x v="126"/>
    <x v="31"/>
    <x v="4"/>
    <x v="8"/>
    <x v="70"/>
    <x v="14"/>
    <x v="13"/>
    <x v="9"/>
    <x v="1"/>
  </r>
  <r>
    <x v="127"/>
    <x v="76"/>
    <x v="3"/>
    <x v="6"/>
    <x v="3"/>
    <x v="0"/>
    <x v="0"/>
    <x v="77"/>
    <x v="1"/>
  </r>
  <r>
    <x v="128"/>
    <x v="59"/>
    <x v="6"/>
    <x v="6"/>
    <x v="71"/>
    <x v="5"/>
    <x v="4"/>
    <x v="35"/>
    <x v="1"/>
  </r>
  <r>
    <x v="129"/>
    <x v="92"/>
    <x v="0"/>
    <x v="8"/>
    <x v="72"/>
    <x v="5"/>
    <x v="6"/>
    <x v="67"/>
    <x v="1"/>
  </r>
  <r>
    <x v="130"/>
    <x v="13"/>
    <x v="2"/>
    <x v="5"/>
    <x v="73"/>
    <x v="0"/>
    <x v="3"/>
    <x v="59"/>
    <x v="1"/>
  </r>
  <r>
    <x v="131"/>
    <x v="93"/>
    <x v="5"/>
    <x v="12"/>
    <x v="74"/>
    <x v="2"/>
    <x v="9"/>
    <x v="78"/>
    <x v="1"/>
  </r>
  <r>
    <x v="132"/>
    <x v="9"/>
    <x v="3"/>
    <x v="4"/>
    <x v="4"/>
    <x v="1"/>
    <x v="10"/>
    <x v="47"/>
    <x v="1"/>
  </r>
  <r>
    <x v="133"/>
    <x v="41"/>
    <x v="0"/>
    <x v="3"/>
    <x v="39"/>
    <x v="2"/>
    <x v="3"/>
    <x v="79"/>
    <x v="1"/>
  </r>
  <r>
    <x v="134"/>
    <x v="6"/>
    <x v="2"/>
    <x v="0"/>
    <x v="45"/>
    <x v="3"/>
    <x v="2"/>
    <x v="41"/>
    <x v="1"/>
  </r>
  <r>
    <x v="135"/>
    <x v="67"/>
    <x v="8"/>
    <x v="13"/>
    <x v="37"/>
    <x v="5"/>
    <x v="1"/>
    <x v="80"/>
    <x v="1"/>
  </r>
  <r>
    <x v="136"/>
    <x v="70"/>
    <x v="19"/>
    <x v="3"/>
    <x v="75"/>
    <x v="3"/>
    <x v="10"/>
    <x v="43"/>
    <x v="1"/>
  </r>
  <r>
    <x v="137"/>
    <x v="18"/>
    <x v="19"/>
    <x v="6"/>
    <x v="14"/>
    <x v="13"/>
    <x v="3"/>
    <x v="81"/>
    <x v="1"/>
  </r>
  <r>
    <x v="138"/>
    <x v="45"/>
    <x v="6"/>
    <x v="4"/>
    <x v="43"/>
    <x v="8"/>
    <x v="9"/>
    <x v="82"/>
    <x v="1"/>
  </r>
  <r>
    <x v="139"/>
    <x v="77"/>
    <x v="3"/>
    <x v="2"/>
    <x v="41"/>
    <x v="8"/>
    <x v="9"/>
    <x v="73"/>
    <x v="1"/>
  </r>
  <r>
    <x v="140"/>
    <x v="82"/>
    <x v="20"/>
    <x v="6"/>
    <x v="3"/>
    <x v="8"/>
    <x v="1"/>
    <x v="83"/>
    <x v="1"/>
  </r>
  <r>
    <x v="141"/>
    <x v="43"/>
    <x v="0"/>
    <x v="5"/>
    <x v="54"/>
    <x v="6"/>
    <x v="3"/>
    <x v="27"/>
    <x v="1"/>
  </r>
  <r>
    <x v="142"/>
    <x v="11"/>
    <x v="16"/>
    <x v="7"/>
    <x v="70"/>
    <x v="0"/>
    <x v="9"/>
    <x v="84"/>
    <x v="1"/>
  </r>
  <r>
    <x v="143"/>
    <x v="1"/>
    <x v="18"/>
    <x v="5"/>
    <x v="62"/>
    <x v="2"/>
    <x v="3"/>
    <x v="85"/>
    <x v="1"/>
  </r>
  <r>
    <x v="144"/>
    <x v="74"/>
    <x v="7"/>
    <x v="5"/>
    <x v="76"/>
    <x v="1"/>
    <x v="2"/>
    <x v="2"/>
    <x v="1"/>
  </r>
  <r>
    <x v="145"/>
    <x v="94"/>
    <x v="21"/>
    <x v="7"/>
    <x v="24"/>
    <x v="7"/>
    <x v="5"/>
    <x v="86"/>
    <x v="1"/>
  </r>
  <r>
    <x v="146"/>
    <x v="95"/>
    <x v="13"/>
    <x v="4"/>
    <x v="46"/>
    <x v="7"/>
    <x v="7"/>
    <x v="47"/>
    <x v="1"/>
  </r>
  <r>
    <x v="147"/>
    <x v="3"/>
    <x v="3"/>
    <x v="4"/>
    <x v="52"/>
    <x v="4"/>
    <x v="4"/>
    <x v="28"/>
    <x v="1"/>
  </r>
  <r>
    <x v="148"/>
    <x v="10"/>
    <x v="14"/>
    <x v="3"/>
    <x v="77"/>
    <x v="8"/>
    <x v="9"/>
    <x v="6"/>
    <x v="1"/>
  </r>
  <r>
    <x v="149"/>
    <x v="53"/>
    <x v="13"/>
    <x v="9"/>
    <x v="78"/>
    <x v="5"/>
    <x v="1"/>
    <x v="82"/>
    <x v="1"/>
  </r>
  <r>
    <x v="150"/>
    <x v="7"/>
    <x v="3"/>
    <x v="6"/>
    <x v="40"/>
    <x v="0"/>
    <x v="9"/>
    <x v="74"/>
    <x v="1"/>
  </r>
  <r>
    <x v="151"/>
    <x v="33"/>
    <x v="17"/>
    <x v="5"/>
    <x v="79"/>
    <x v="2"/>
    <x v="4"/>
    <x v="4"/>
    <x v="1"/>
  </r>
  <r>
    <x v="152"/>
    <x v="81"/>
    <x v="4"/>
    <x v="0"/>
    <x v="42"/>
    <x v="8"/>
    <x v="6"/>
    <x v="81"/>
    <x v="1"/>
  </r>
  <r>
    <x v="153"/>
    <x v="57"/>
    <x v="5"/>
    <x v="7"/>
    <x v="64"/>
    <x v="8"/>
    <x v="1"/>
    <x v="38"/>
    <x v="1"/>
  </r>
  <r>
    <x v="154"/>
    <x v="30"/>
    <x v="5"/>
    <x v="3"/>
    <x v="43"/>
    <x v="9"/>
    <x v="11"/>
    <x v="30"/>
    <x v="1"/>
  </r>
  <r>
    <x v="155"/>
    <x v="37"/>
    <x v="16"/>
    <x v="4"/>
    <x v="74"/>
    <x v="1"/>
    <x v="2"/>
    <x v="41"/>
    <x v="1"/>
  </r>
  <r>
    <x v="156"/>
    <x v="96"/>
    <x v="6"/>
    <x v="9"/>
    <x v="80"/>
    <x v="6"/>
    <x v="4"/>
    <x v="76"/>
    <x v="1"/>
  </r>
  <r>
    <x v="157"/>
    <x v="44"/>
    <x v="12"/>
    <x v="12"/>
    <x v="25"/>
    <x v="3"/>
    <x v="1"/>
    <x v="38"/>
    <x v="1"/>
  </r>
  <r>
    <x v="158"/>
    <x v="27"/>
    <x v="6"/>
    <x v="7"/>
    <x v="22"/>
    <x v="0"/>
    <x v="9"/>
    <x v="87"/>
    <x v="1"/>
  </r>
  <r>
    <x v="159"/>
    <x v="55"/>
    <x v="7"/>
    <x v="6"/>
    <x v="32"/>
    <x v="4"/>
    <x v="3"/>
    <x v="88"/>
    <x v="1"/>
  </r>
  <r>
    <x v="160"/>
    <x v="61"/>
    <x v="2"/>
    <x v="3"/>
    <x v="46"/>
    <x v="13"/>
    <x v="3"/>
    <x v="89"/>
    <x v="1"/>
  </r>
  <r>
    <x v="161"/>
    <x v="58"/>
    <x v="11"/>
    <x v="4"/>
    <x v="81"/>
    <x v="8"/>
    <x v="1"/>
    <x v="90"/>
    <x v="1"/>
  </r>
  <r>
    <x v="162"/>
    <x v="78"/>
    <x v="20"/>
    <x v="5"/>
    <x v="82"/>
    <x v="0"/>
    <x v="3"/>
    <x v="62"/>
    <x v="1"/>
  </r>
  <r>
    <x v="163"/>
    <x v="28"/>
    <x v="10"/>
    <x v="0"/>
    <x v="62"/>
    <x v="7"/>
    <x v="7"/>
    <x v="91"/>
    <x v="1"/>
  </r>
  <r>
    <x v="164"/>
    <x v="62"/>
    <x v="1"/>
    <x v="7"/>
    <x v="43"/>
    <x v="8"/>
    <x v="4"/>
    <x v="1"/>
    <x v="1"/>
  </r>
  <r>
    <x v="165"/>
    <x v="69"/>
    <x v="4"/>
    <x v="0"/>
    <x v="31"/>
    <x v="11"/>
    <x v="1"/>
    <x v="76"/>
    <x v="1"/>
  </r>
  <r>
    <x v="166"/>
    <x v="40"/>
    <x v="2"/>
    <x v="7"/>
    <x v="83"/>
    <x v="13"/>
    <x v="3"/>
    <x v="10"/>
    <x v="1"/>
  </r>
  <r>
    <x v="167"/>
    <x v="63"/>
    <x v="0"/>
    <x v="4"/>
    <x v="1"/>
    <x v="8"/>
    <x v="6"/>
    <x v="73"/>
    <x v="1"/>
  </r>
  <r>
    <x v="168"/>
    <x v="32"/>
    <x v="11"/>
    <x v="3"/>
    <x v="83"/>
    <x v="1"/>
    <x v="5"/>
    <x v="39"/>
    <x v="1"/>
  </r>
  <r>
    <x v="169"/>
    <x v="29"/>
    <x v="4"/>
    <x v="7"/>
    <x v="51"/>
    <x v="2"/>
    <x v="0"/>
    <x v="41"/>
    <x v="1"/>
  </r>
  <r>
    <x v="170"/>
    <x v="2"/>
    <x v="18"/>
    <x v="5"/>
    <x v="45"/>
    <x v="5"/>
    <x v="4"/>
    <x v="92"/>
    <x v="1"/>
  </r>
  <r>
    <x v="171"/>
    <x v="83"/>
    <x v="16"/>
    <x v="4"/>
    <x v="22"/>
    <x v="2"/>
    <x v="3"/>
    <x v="93"/>
    <x v="1"/>
  </r>
  <r>
    <x v="172"/>
    <x v="97"/>
    <x v="3"/>
    <x v="9"/>
    <x v="47"/>
    <x v="13"/>
    <x v="3"/>
    <x v="83"/>
    <x v="1"/>
  </r>
  <r>
    <x v="173"/>
    <x v="49"/>
    <x v="19"/>
    <x v="6"/>
    <x v="22"/>
    <x v="0"/>
    <x v="0"/>
    <x v="3"/>
    <x v="1"/>
  </r>
  <r>
    <x v="174"/>
    <x v="98"/>
    <x v="3"/>
    <x v="4"/>
    <x v="53"/>
    <x v="0"/>
    <x v="3"/>
    <x v="8"/>
    <x v="1"/>
  </r>
  <r>
    <x v="175"/>
    <x v="54"/>
    <x v="12"/>
    <x v="3"/>
    <x v="13"/>
    <x v="13"/>
    <x v="3"/>
    <x v="65"/>
    <x v="1"/>
  </r>
  <r>
    <x v="176"/>
    <x v="51"/>
    <x v="13"/>
    <x v="5"/>
    <x v="84"/>
    <x v="5"/>
    <x v="5"/>
    <x v="94"/>
    <x v="1"/>
  </r>
  <r>
    <x v="177"/>
    <x v="73"/>
    <x v="5"/>
    <x v="13"/>
    <x v="51"/>
    <x v="0"/>
    <x v="4"/>
    <x v="95"/>
    <x v="1"/>
  </r>
  <r>
    <x v="178"/>
    <x v="38"/>
    <x v="5"/>
    <x v="8"/>
    <x v="85"/>
    <x v="7"/>
    <x v="2"/>
    <x v="58"/>
    <x v="1"/>
  </r>
  <r>
    <x v="179"/>
    <x v="71"/>
    <x v="0"/>
    <x v="11"/>
    <x v="86"/>
    <x v="8"/>
    <x v="1"/>
    <x v="96"/>
    <x v="1"/>
  </r>
  <r>
    <x v="180"/>
    <x v="17"/>
    <x v="19"/>
    <x v="7"/>
    <x v="48"/>
    <x v="5"/>
    <x v="10"/>
    <x v="11"/>
    <x v="1"/>
  </r>
  <r>
    <x v="181"/>
    <x v="39"/>
    <x v="14"/>
    <x v="5"/>
    <x v="77"/>
    <x v="14"/>
    <x v="11"/>
    <x v="97"/>
    <x v="1"/>
  </r>
  <r>
    <x v="182"/>
    <x v="46"/>
    <x v="0"/>
    <x v="7"/>
    <x v="21"/>
    <x v="5"/>
    <x v="6"/>
    <x v="71"/>
    <x v="1"/>
  </r>
  <r>
    <x v="183"/>
    <x v="58"/>
    <x v="18"/>
    <x v="5"/>
    <x v="87"/>
    <x v="0"/>
    <x v="1"/>
    <x v="83"/>
    <x v="2"/>
  </r>
  <r>
    <x v="184"/>
    <x v="80"/>
    <x v="6"/>
    <x v="3"/>
    <x v="22"/>
    <x v="3"/>
    <x v="6"/>
    <x v="69"/>
    <x v="2"/>
  </r>
  <r>
    <x v="185"/>
    <x v="15"/>
    <x v="0"/>
    <x v="12"/>
    <x v="58"/>
    <x v="8"/>
    <x v="9"/>
    <x v="82"/>
    <x v="2"/>
  </r>
  <r>
    <x v="186"/>
    <x v="49"/>
    <x v="9"/>
    <x v="12"/>
    <x v="51"/>
    <x v="11"/>
    <x v="5"/>
    <x v="82"/>
    <x v="2"/>
  </r>
  <r>
    <x v="187"/>
    <x v="14"/>
    <x v="4"/>
    <x v="7"/>
    <x v="21"/>
    <x v="0"/>
    <x v="3"/>
    <x v="80"/>
    <x v="2"/>
  </r>
  <r>
    <x v="188"/>
    <x v="51"/>
    <x v="3"/>
    <x v="6"/>
    <x v="68"/>
    <x v="15"/>
    <x v="13"/>
    <x v="21"/>
    <x v="2"/>
  </r>
  <r>
    <x v="189"/>
    <x v="81"/>
    <x v="5"/>
    <x v="13"/>
    <x v="32"/>
    <x v="2"/>
    <x v="0"/>
    <x v="0"/>
    <x v="2"/>
  </r>
  <r>
    <x v="190"/>
    <x v="84"/>
    <x v="0"/>
    <x v="7"/>
    <x v="60"/>
    <x v="11"/>
    <x v="1"/>
    <x v="56"/>
    <x v="2"/>
  </r>
  <r>
    <x v="191"/>
    <x v="94"/>
    <x v="4"/>
    <x v="0"/>
    <x v="88"/>
    <x v="5"/>
    <x v="1"/>
    <x v="98"/>
    <x v="2"/>
  </r>
  <r>
    <x v="192"/>
    <x v="59"/>
    <x v="14"/>
    <x v="4"/>
    <x v="64"/>
    <x v="14"/>
    <x v="13"/>
    <x v="5"/>
    <x v="2"/>
  </r>
  <r>
    <x v="193"/>
    <x v="83"/>
    <x v="4"/>
    <x v="0"/>
    <x v="70"/>
    <x v="8"/>
    <x v="9"/>
    <x v="60"/>
    <x v="2"/>
  </r>
  <r>
    <x v="194"/>
    <x v="72"/>
    <x v="0"/>
    <x v="13"/>
    <x v="89"/>
    <x v="8"/>
    <x v="1"/>
    <x v="58"/>
    <x v="2"/>
  </r>
  <r>
    <x v="195"/>
    <x v="52"/>
    <x v="19"/>
    <x v="5"/>
    <x v="90"/>
    <x v="2"/>
    <x v="4"/>
    <x v="99"/>
    <x v="2"/>
  </r>
  <r>
    <x v="196"/>
    <x v="38"/>
    <x v="5"/>
    <x v="7"/>
    <x v="9"/>
    <x v="5"/>
    <x v="5"/>
    <x v="38"/>
    <x v="2"/>
  </r>
  <r>
    <x v="197"/>
    <x v="35"/>
    <x v="16"/>
    <x v="6"/>
    <x v="13"/>
    <x v="8"/>
    <x v="9"/>
    <x v="100"/>
    <x v="2"/>
  </r>
  <r>
    <x v="198"/>
    <x v="10"/>
    <x v="9"/>
    <x v="8"/>
    <x v="31"/>
    <x v="2"/>
    <x v="3"/>
    <x v="101"/>
    <x v="2"/>
  </r>
  <r>
    <x v="199"/>
    <x v="33"/>
    <x v="18"/>
    <x v="4"/>
    <x v="91"/>
    <x v="11"/>
    <x v="1"/>
    <x v="7"/>
    <x v="2"/>
  </r>
  <r>
    <x v="200"/>
    <x v="89"/>
    <x v="17"/>
    <x v="3"/>
    <x v="92"/>
    <x v="4"/>
    <x v="4"/>
    <x v="98"/>
    <x v="2"/>
  </r>
  <r>
    <x v="201"/>
    <x v="2"/>
    <x v="18"/>
    <x v="6"/>
    <x v="93"/>
    <x v="11"/>
    <x v="0"/>
    <x v="77"/>
    <x v="2"/>
  </r>
  <r>
    <x v="202"/>
    <x v="47"/>
    <x v="0"/>
    <x v="15"/>
    <x v="58"/>
    <x v="0"/>
    <x v="4"/>
    <x v="84"/>
    <x v="2"/>
  </r>
  <r>
    <x v="203"/>
    <x v="24"/>
    <x v="6"/>
    <x v="4"/>
    <x v="5"/>
    <x v="9"/>
    <x v="11"/>
    <x v="51"/>
    <x v="2"/>
  </r>
  <r>
    <x v="204"/>
    <x v="34"/>
    <x v="11"/>
    <x v="4"/>
    <x v="82"/>
    <x v="2"/>
    <x v="0"/>
    <x v="61"/>
    <x v="2"/>
  </r>
  <r>
    <x v="205"/>
    <x v="17"/>
    <x v="17"/>
    <x v="0"/>
    <x v="64"/>
    <x v="5"/>
    <x v="6"/>
    <x v="102"/>
    <x v="2"/>
  </r>
  <r>
    <x v="206"/>
    <x v="39"/>
    <x v="17"/>
    <x v="6"/>
    <x v="90"/>
    <x v="9"/>
    <x v="2"/>
    <x v="97"/>
    <x v="2"/>
  </r>
  <r>
    <x v="207"/>
    <x v="46"/>
    <x v="0"/>
    <x v="5"/>
    <x v="32"/>
    <x v="15"/>
    <x v="12"/>
    <x v="62"/>
    <x v="2"/>
  </r>
  <r>
    <x v="208"/>
    <x v="85"/>
    <x v="7"/>
    <x v="6"/>
    <x v="11"/>
    <x v="0"/>
    <x v="3"/>
    <x v="103"/>
    <x v="2"/>
  </r>
  <r>
    <x v="209"/>
    <x v="54"/>
    <x v="4"/>
    <x v="0"/>
    <x v="50"/>
    <x v="3"/>
    <x v="10"/>
    <x v="104"/>
    <x v="2"/>
  </r>
  <r>
    <x v="210"/>
    <x v="7"/>
    <x v="3"/>
    <x v="5"/>
    <x v="94"/>
    <x v="5"/>
    <x v="0"/>
    <x v="105"/>
    <x v="2"/>
  </r>
  <r>
    <x v="211"/>
    <x v="64"/>
    <x v="3"/>
    <x v="4"/>
    <x v="95"/>
    <x v="2"/>
    <x v="3"/>
    <x v="58"/>
    <x v="2"/>
  </r>
  <r>
    <x v="212"/>
    <x v="53"/>
    <x v="3"/>
    <x v="3"/>
    <x v="96"/>
    <x v="11"/>
    <x v="6"/>
    <x v="106"/>
    <x v="2"/>
  </r>
  <r>
    <x v="213"/>
    <x v="20"/>
    <x v="0"/>
    <x v="7"/>
    <x v="30"/>
    <x v="7"/>
    <x v="7"/>
    <x v="41"/>
    <x v="2"/>
  </r>
  <r>
    <x v="214"/>
    <x v="76"/>
    <x v="3"/>
    <x v="3"/>
    <x v="47"/>
    <x v="15"/>
    <x v="12"/>
    <x v="73"/>
    <x v="2"/>
  </r>
  <r>
    <x v="215"/>
    <x v="9"/>
    <x v="3"/>
    <x v="4"/>
    <x v="3"/>
    <x v="1"/>
    <x v="2"/>
    <x v="76"/>
    <x v="2"/>
  </r>
  <r>
    <x v="216"/>
    <x v="57"/>
    <x v="5"/>
    <x v="0"/>
    <x v="36"/>
    <x v="4"/>
    <x v="3"/>
    <x v="27"/>
    <x v="2"/>
  </r>
  <r>
    <x v="217"/>
    <x v="71"/>
    <x v="0"/>
    <x v="13"/>
    <x v="50"/>
    <x v="8"/>
    <x v="1"/>
    <x v="107"/>
    <x v="2"/>
  </r>
  <r>
    <x v="218"/>
    <x v="82"/>
    <x v="3"/>
    <x v="6"/>
    <x v="78"/>
    <x v="1"/>
    <x v="1"/>
    <x v="108"/>
    <x v="2"/>
  </r>
  <r>
    <x v="219"/>
    <x v="11"/>
    <x v="4"/>
    <x v="0"/>
    <x v="25"/>
    <x v="11"/>
    <x v="6"/>
    <x v="35"/>
    <x v="2"/>
  </r>
  <r>
    <x v="220"/>
    <x v="88"/>
    <x v="3"/>
    <x v="4"/>
    <x v="33"/>
    <x v="8"/>
    <x v="0"/>
    <x v="92"/>
    <x v="2"/>
  </r>
  <r>
    <x v="221"/>
    <x v="78"/>
    <x v="11"/>
    <x v="5"/>
    <x v="2"/>
    <x v="2"/>
    <x v="3"/>
    <x v="109"/>
    <x v="2"/>
  </r>
  <r>
    <x v="222"/>
    <x v="32"/>
    <x v="11"/>
    <x v="6"/>
    <x v="97"/>
    <x v="8"/>
    <x v="1"/>
    <x v="47"/>
    <x v="2"/>
  </r>
  <r>
    <x v="223"/>
    <x v="93"/>
    <x v="17"/>
    <x v="6"/>
    <x v="63"/>
    <x v="9"/>
    <x v="7"/>
    <x v="27"/>
    <x v="2"/>
  </r>
  <r>
    <x v="224"/>
    <x v="14"/>
    <x v="0"/>
    <x v="0"/>
    <x v="98"/>
    <x v="2"/>
    <x v="3"/>
    <x v="11"/>
    <x v="2"/>
  </r>
  <r>
    <x v="225"/>
    <x v="22"/>
    <x v="11"/>
    <x v="3"/>
    <x v="68"/>
    <x v="2"/>
    <x v="0"/>
    <x v="11"/>
    <x v="2"/>
  </r>
  <r>
    <x v="226"/>
    <x v="13"/>
    <x v="18"/>
    <x v="5"/>
    <x v="44"/>
    <x v="0"/>
    <x v="4"/>
    <x v="62"/>
    <x v="2"/>
  </r>
  <r>
    <x v="227"/>
    <x v="56"/>
    <x v="16"/>
    <x v="7"/>
    <x v="37"/>
    <x v="10"/>
    <x v="14"/>
    <x v="38"/>
    <x v="2"/>
  </r>
  <r>
    <x v="228"/>
    <x v="70"/>
    <x v="17"/>
    <x v="3"/>
    <x v="62"/>
    <x v="8"/>
    <x v="0"/>
    <x v="110"/>
    <x v="2"/>
  </r>
  <r>
    <x v="229"/>
    <x v="4"/>
    <x v="3"/>
    <x v="6"/>
    <x v="99"/>
    <x v="8"/>
    <x v="3"/>
    <x v="111"/>
    <x v="2"/>
  </r>
  <r>
    <x v="230"/>
    <x v="42"/>
    <x v="17"/>
    <x v="6"/>
    <x v="100"/>
    <x v="2"/>
    <x v="3"/>
    <x v="10"/>
    <x v="2"/>
  </r>
  <r>
    <x v="231"/>
    <x v="8"/>
    <x v="3"/>
    <x v="2"/>
    <x v="8"/>
    <x v="11"/>
    <x v="4"/>
    <x v="100"/>
    <x v="2"/>
  </r>
  <r>
    <x v="232"/>
    <x v="73"/>
    <x v="4"/>
    <x v="3"/>
    <x v="51"/>
    <x v="8"/>
    <x v="3"/>
    <x v="112"/>
    <x v="2"/>
  </r>
  <r>
    <x v="233"/>
    <x v="41"/>
    <x v="6"/>
    <x v="6"/>
    <x v="101"/>
    <x v="4"/>
    <x v="3"/>
    <x v="109"/>
    <x v="2"/>
  </r>
  <r>
    <x v="234"/>
    <x v="92"/>
    <x v="7"/>
    <x v="7"/>
    <x v="30"/>
    <x v="16"/>
    <x v="15"/>
    <x v="32"/>
    <x v="2"/>
  </r>
  <r>
    <x v="235"/>
    <x v="63"/>
    <x v="7"/>
    <x v="0"/>
    <x v="13"/>
    <x v="11"/>
    <x v="1"/>
    <x v="10"/>
    <x v="2"/>
  </r>
  <r>
    <x v="236"/>
    <x v="68"/>
    <x v="3"/>
    <x v="4"/>
    <x v="102"/>
    <x v="11"/>
    <x v="1"/>
    <x v="113"/>
    <x v="2"/>
  </r>
  <r>
    <x v="237"/>
    <x v="55"/>
    <x v="0"/>
    <x v="15"/>
    <x v="103"/>
    <x v="4"/>
    <x v="4"/>
    <x v="111"/>
    <x v="2"/>
  </r>
  <r>
    <x v="238"/>
    <x v="67"/>
    <x v="4"/>
    <x v="8"/>
    <x v="21"/>
    <x v="0"/>
    <x v="1"/>
    <x v="82"/>
    <x v="2"/>
  </r>
  <r>
    <x v="239"/>
    <x v="77"/>
    <x v="3"/>
    <x v="4"/>
    <x v="47"/>
    <x v="3"/>
    <x v="6"/>
    <x v="88"/>
    <x v="2"/>
  </r>
  <r>
    <x v="240"/>
    <x v="74"/>
    <x v="7"/>
    <x v="12"/>
    <x v="32"/>
    <x v="0"/>
    <x v="1"/>
    <x v="58"/>
    <x v="2"/>
  </r>
  <r>
    <x v="241"/>
    <x v="50"/>
    <x v="3"/>
    <x v="9"/>
    <x v="104"/>
    <x v="6"/>
    <x v="3"/>
    <x v="114"/>
    <x v="2"/>
  </r>
  <r>
    <x v="242"/>
    <x v="16"/>
    <x v="19"/>
    <x v="3"/>
    <x v="14"/>
    <x v="5"/>
    <x v="6"/>
    <x v="35"/>
    <x v="2"/>
  </r>
  <r>
    <x v="243"/>
    <x v="12"/>
    <x v="0"/>
    <x v="0"/>
    <x v="58"/>
    <x v="2"/>
    <x v="3"/>
    <x v="30"/>
    <x v="2"/>
  </r>
  <r>
    <x v="244"/>
    <x v="19"/>
    <x v="6"/>
    <x v="6"/>
    <x v="22"/>
    <x v="0"/>
    <x v="3"/>
    <x v="9"/>
    <x v="2"/>
  </r>
  <r>
    <x v="245"/>
    <x v="94"/>
    <x v="5"/>
    <x v="13"/>
    <x v="25"/>
    <x v="4"/>
    <x v="3"/>
    <x v="61"/>
    <x v="2"/>
  </r>
  <r>
    <x v="246"/>
    <x v="43"/>
    <x v="8"/>
    <x v="12"/>
    <x v="31"/>
    <x v="17"/>
    <x v="16"/>
    <x v="12"/>
    <x v="2"/>
  </r>
  <r>
    <x v="247"/>
    <x v="66"/>
    <x v="3"/>
    <x v="4"/>
    <x v="41"/>
    <x v="9"/>
    <x v="11"/>
    <x v="100"/>
    <x v="2"/>
  </r>
  <r>
    <x v="248"/>
    <x v="83"/>
    <x v="5"/>
    <x v="13"/>
    <x v="51"/>
    <x v="2"/>
    <x v="3"/>
    <x v="3"/>
    <x v="2"/>
  </r>
  <r>
    <x v="249"/>
    <x v="27"/>
    <x v="17"/>
    <x v="4"/>
    <x v="105"/>
    <x v="4"/>
    <x v="3"/>
    <x v="88"/>
    <x v="2"/>
  </r>
  <r>
    <x v="250"/>
    <x v="86"/>
    <x v="6"/>
    <x v="4"/>
    <x v="106"/>
    <x v="8"/>
    <x v="9"/>
    <x v="115"/>
    <x v="2"/>
  </r>
  <r>
    <x v="251"/>
    <x v="23"/>
    <x v="19"/>
    <x v="5"/>
    <x v="107"/>
    <x v="0"/>
    <x v="0"/>
    <x v="41"/>
    <x v="2"/>
  </r>
  <r>
    <x v="252"/>
    <x v="44"/>
    <x v="0"/>
    <x v="8"/>
    <x v="88"/>
    <x v="2"/>
    <x v="3"/>
    <x v="116"/>
    <x v="2"/>
  </r>
  <r>
    <x v="253"/>
    <x v="98"/>
    <x v="3"/>
    <x v="5"/>
    <x v="108"/>
    <x v="11"/>
    <x v="0"/>
    <x v="96"/>
    <x v="2"/>
  </r>
  <r>
    <x v="254"/>
    <x v="75"/>
    <x v="3"/>
    <x v="6"/>
    <x v="52"/>
    <x v="0"/>
    <x v="3"/>
    <x v="101"/>
    <x v="2"/>
  </r>
  <r>
    <x v="255"/>
    <x v="6"/>
    <x v="17"/>
    <x v="4"/>
    <x v="53"/>
    <x v="4"/>
    <x v="3"/>
    <x v="5"/>
    <x v="2"/>
  </r>
  <r>
    <x v="256"/>
    <x v="79"/>
    <x v="9"/>
    <x v="7"/>
    <x v="51"/>
    <x v="8"/>
    <x v="1"/>
    <x v="71"/>
    <x v="2"/>
  </r>
  <r>
    <x v="257"/>
    <x v="91"/>
    <x v="9"/>
    <x v="8"/>
    <x v="21"/>
    <x v="0"/>
    <x v="1"/>
    <x v="103"/>
    <x v="2"/>
  </r>
  <r>
    <x v="258"/>
    <x v="21"/>
    <x v="19"/>
    <x v="3"/>
    <x v="39"/>
    <x v="11"/>
    <x v="6"/>
    <x v="82"/>
    <x v="2"/>
  </r>
  <r>
    <x v="259"/>
    <x v="1"/>
    <x v="19"/>
    <x v="7"/>
    <x v="22"/>
    <x v="5"/>
    <x v="5"/>
    <x v="95"/>
    <x v="2"/>
  </r>
  <r>
    <x v="260"/>
    <x v="25"/>
    <x v="19"/>
    <x v="3"/>
    <x v="26"/>
    <x v="1"/>
    <x v="10"/>
    <x v="117"/>
    <x v="2"/>
  </r>
  <r>
    <x v="261"/>
    <x v="62"/>
    <x v="19"/>
    <x v="3"/>
    <x v="38"/>
    <x v="3"/>
    <x v="10"/>
    <x v="2"/>
    <x v="2"/>
  </r>
  <r>
    <x v="262"/>
    <x v="31"/>
    <x v="5"/>
    <x v="0"/>
    <x v="13"/>
    <x v="0"/>
    <x v="0"/>
    <x v="118"/>
    <x v="2"/>
  </r>
  <r>
    <x v="263"/>
    <x v="65"/>
    <x v="9"/>
    <x v="12"/>
    <x v="70"/>
    <x v="3"/>
    <x v="5"/>
    <x v="3"/>
    <x v="2"/>
  </r>
  <r>
    <x v="264"/>
    <x v="40"/>
    <x v="18"/>
    <x v="4"/>
    <x v="97"/>
    <x v="15"/>
    <x v="12"/>
    <x v="18"/>
    <x v="2"/>
  </r>
  <r>
    <x v="265"/>
    <x v="30"/>
    <x v="6"/>
    <x v="9"/>
    <x v="90"/>
    <x v="5"/>
    <x v="0"/>
    <x v="5"/>
    <x v="2"/>
  </r>
  <r>
    <x v="266"/>
    <x v="37"/>
    <x v="0"/>
    <x v="5"/>
    <x v="109"/>
    <x v="0"/>
    <x v="0"/>
    <x v="29"/>
    <x v="2"/>
  </r>
  <r>
    <x v="267"/>
    <x v="84"/>
    <x v="4"/>
    <x v="8"/>
    <x v="37"/>
    <x v="5"/>
    <x v="9"/>
    <x v="16"/>
    <x v="2"/>
  </r>
  <r>
    <x v="268"/>
    <x v="44"/>
    <x v="9"/>
    <x v="8"/>
    <x v="24"/>
    <x v="8"/>
    <x v="4"/>
    <x v="88"/>
    <x v="2"/>
  </r>
  <r>
    <x v="269"/>
    <x v="29"/>
    <x v="5"/>
    <x v="8"/>
    <x v="35"/>
    <x v="5"/>
    <x v="6"/>
    <x v="11"/>
    <x v="2"/>
  </r>
  <r>
    <x v="270"/>
    <x v="87"/>
    <x v="6"/>
    <x v="5"/>
    <x v="17"/>
    <x v="1"/>
    <x v="2"/>
    <x v="52"/>
    <x v="2"/>
  </r>
  <r>
    <x v="271"/>
    <x v="69"/>
    <x v="4"/>
    <x v="8"/>
    <x v="56"/>
    <x v="2"/>
    <x v="4"/>
    <x v="76"/>
    <x v="2"/>
  </r>
  <r>
    <x v="272"/>
    <x v="99"/>
    <x v="19"/>
    <x v="6"/>
    <x v="64"/>
    <x v="2"/>
    <x v="3"/>
    <x v="17"/>
    <x v="2"/>
  </r>
  <r>
    <x v="273"/>
    <x v="45"/>
    <x v="6"/>
    <x v="5"/>
    <x v="105"/>
    <x v="5"/>
    <x v="1"/>
    <x v="85"/>
    <x v="2"/>
  </r>
  <r>
    <x v="274"/>
    <x v="80"/>
    <x v="6"/>
    <x v="4"/>
    <x v="63"/>
    <x v="11"/>
    <x v="6"/>
    <x v="58"/>
    <x v="3"/>
  </r>
  <r>
    <x v="275"/>
    <x v="43"/>
    <x v="4"/>
    <x v="7"/>
    <x v="51"/>
    <x v="4"/>
    <x v="3"/>
    <x v="71"/>
    <x v="3"/>
  </r>
  <r>
    <x v="276"/>
    <x v="57"/>
    <x v="5"/>
    <x v="11"/>
    <x v="10"/>
    <x v="4"/>
    <x v="3"/>
    <x v="97"/>
    <x v="3"/>
  </r>
  <r>
    <x v="277"/>
    <x v="67"/>
    <x v="0"/>
    <x v="7"/>
    <x v="86"/>
    <x v="4"/>
    <x v="4"/>
    <x v="52"/>
    <x v="3"/>
  </r>
  <r>
    <x v="278"/>
    <x v="21"/>
    <x v="17"/>
    <x v="6"/>
    <x v="80"/>
    <x v="3"/>
    <x v="5"/>
    <x v="18"/>
    <x v="3"/>
  </r>
  <r>
    <x v="279"/>
    <x v="15"/>
    <x v="0"/>
    <x v="8"/>
    <x v="88"/>
    <x v="2"/>
    <x v="3"/>
    <x v="71"/>
    <x v="3"/>
  </r>
  <r>
    <x v="280"/>
    <x v="75"/>
    <x v="17"/>
    <x v="6"/>
    <x v="75"/>
    <x v="5"/>
    <x v="5"/>
    <x v="92"/>
    <x v="3"/>
  </r>
  <r>
    <x v="281"/>
    <x v="24"/>
    <x v="6"/>
    <x v="5"/>
    <x v="53"/>
    <x v="3"/>
    <x v="2"/>
    <x v="119"/>
    <x v="3"/>
  </r>
  <r>
    <x v="282"/>
    <x v="41"/>
    <x v="0"/>
    <x v="5"/>
    <x v="32"/>
    <x v="0"/>
    <x v="3"/>
    <x v="120"/>
    <x v="3"/>
  </r>
  <r>
    <x v="283"/>
    <x v="92"/>
    <x v="7"/>
    <x v="7"/>
    <x v="110"/>
    <x v="0"/>
    <x v="3"/>
    <x v="2"/>
    <x v="3"/>
  </r>
  <r>
    <x v="284"/>
    <x v="16"/>
    <x v="19"/>
    <x v="7"/>
    <x v="14"/>
    <x v="14"/>
    <x v="13"/>
    <x v="17"/>
    <x v="3"/>
  </r>
  <r>
    <x v="285"/>
    <x v="13"/>
    <x v="11"/>
    <x v="14"/>
    <x v="8"/>
    <x v="16"/>
    <x v="17"/>
    <x v="108"/>
    <x v="3"/>
  </r>
  <r>
    <x v="286"/>
    <x v="11"/>
    <x v="9"/>
    <x v="0"/>
    <x v="24"/>
    <x v="5"/>
    <x v="5"/>
    <x v="101"/>
    <x v="3"/>
  </r>
  <r>
    <x v="287"/>
    <x v="87"/>
    <x v="0"/>
    <x v="6"/>
    <x v="86"/>
    <x v="4"/>
    <x v="3"/>
    <x v="69"/>
    <x v="3"/>
  </r>
  <r>
    <x v="288"/>
    <x v="68"/>
    <x v="20"/>
    <x v="9"/>
    <x v="111"/>
    <x v="2"/>
    <x v="4"/>
    <x v="62"/>
    <x v="3"/>
  </r>
  <r>
    <x v="289"/>
    <x v="82"/>
    <x v="3"/>
    <x v="6"/>
    <x v="112"/>
    <x v="0"/>
    <x v="0"/>
    <x v="97"/>
    <x v="3"/>
  </r>
  <r>
    <x v="290"/>
    <x v="6"/>
    <x v="11"/>
    <x v="7"/>
    <x v="47"/>
    <x v="0"/>
    <x v="4"/>
    <x v="20"/>
    <x v="3"/>
  </r>
  <r>
    <x v="291"/>
    <x v="65"/>
    <x v="5"/>
    <x v="13"/>
    <x v="43"/>
    <x v="3"/>
    <x v="2"/>
    <x v="34"/>
    <x v="3"/>
  </r>
  <r>
    <x v="292"/>
    <x v="36"/>
    <x v="5"/>
    <x v="12"/>
    <x v="30"/>
    <x v="2"/>
    <x v="0"/>
    <x v="6"/>
    <x v="3"/>
  </r>
  <r>
    <x v="293"/>
    <x v="37"/>
    <x v="0"/>
    <x v="8"/>
    <x v="0"/>
    <x v="0"/>
    <x v="0"/>
    <x v="32"/>
    <x v="3"/>
  </r>
  <r>
    <x v="294"/>
    <x v="73"/>
    <x v="5"/>
    <x v="7"/>
    <x v="107"/>
    <x v="5"/>
    <x v="6"/>
    <x v="36"/>
    <x v="3"/>
  </r>
  <r>
    <x v="295"/>
    <x v="3"/>
    <x v="13"/>
    <x v="14"/>
    <x v="113"/>
    <x v="4"/>
    <x v="3"/>
    <x v="52"/>
    <x v="3"/>
  </r>
  <r>
    <x v="296"/>
    <x v="10"/>
    <x v="1"/>
    <x v="6"/>
    <x v="107"/>
    <x v="0"/>
    <x v="3"/>
    <x v="121"/>
    <x v="3"/>
  </r>
  <r>
    <x v="297"/>
    <x v="46"/>
    <x v="4"/>
    <x v="8"/>
    <x v="65"/>
    <x v="7"/>
    <x v="7"/>
    <x v="101"/>
    <x v="3"/>
  </r>
  <r>
    <x v="298"/>
    <x v="56"/>
    <x v="9"/>
    <x v="5"/>
    <x v="43"/>
    <x v="6"/>
    <x v="3"/>
    <x v="4"/>
    <x v="3"/>
  </r>
  <r>
    <x v="299"/>
    <x v="28"/>
    <x v="19"/>
    <x v="6"/>
    <x v="100"/>
    <x v="0"/>
    <x v="0"/>
    <x v="6"/>
    <x v="3"/>
  </r>
  <r>
    <x v="300"/>
    <x v="62"/>
    <x v="17"/>
    <x v="5"/>
    <x v="49"/>
    <x v="0"/>
    <x v="4"/>
    <x v="4"/>
    <x v="3"/>
  </r>
  <r>
    <x v="301"/>
    <x v="42"/>
    <x v="5"/>
    <x v="12"/>
    <x v="0"/>
    <x v="0"/>
    <x v="1"/>
    <x v="39"/>
    <x v="3"/>
  </r>
  <r>
    <x v="302"/>
    <x v="99"/>
    <x v="17"/>
    <x v="6"/>
    <x v="53"/>
    <x v="15"/>
    <x v="12"/>
    <x v="62"/>
    <x v="3"/>
  </r>
  <r>
    <x v="303"/>
    <x v="39"/>
    <x v="4"/>
    <x v="0"/>
    <x v="10"/>
    <x v="11"/>
    <x v="5"/>
    <x v="71"/>
    <x v="3"/>
  </r>
  <r>
    <x v="304"/>
    <x v="90"/>
    <x v="7"/>
    <x v="6"/>
    <x v="114"/>
    <x v="3"/>
    <x v="2"/>
    <x v="7"/>
    <x v="3"/>
  </r>
  <r>
    <x v="305"/>
    <x v="72"/>
    <x v="7"/>
    <x v="7"/>
    <x v="25"/>
    <x v="0"/>
    <x v="0"/>
    <x v="61"/>
    <x v="3"/>
  </r>
  <r>
    <x v="306"/>
    <x v="96"/>
    <x v="7"/>
    <x v="3"/>
    <x v="30"/>
    <x v="8"/>
    <x v="6"/>
    <x v="70"/>
    <x v="3"/>
  </r>
  <r>
    <x v="307"/>
    <x v="71"/>
    <x v="4"/>
    <x v="3"/>
    <x v="32"/>
    <x v="1"/>
    <x v="0"/>
    <x v="122"/>
    <x v="3"/>
  </r>
  <r>
    <x v="308"/>
    <x v="77"/>
    <x v="13"/>
    <x v="9"/>
    <x v="115"/>
    <x v="7"/>
    <x v="10"/>
    <x v="30"/>
    <x v="3"/>
  </r>
  <r>
    <x v="309"/>
    <x v="26"/>
    <x v="9"/>
    <x v="8"/>
    <x v="116"/>
    <x v="7"/>
    <x v="7"/>
    <x v="58"/>
    <x v="3"/>
  </r>
  <r>
    <x v="310"/>
    <x v="76"/>
    <x v="13"/>
    <x v="2"/>
    <x v="117"/>
    <x v="11"/>
    <x v="9"/>
    <x v="38"/>
    <x v="3"/>
  </r>
  <r>
    <x v="311"/>
    <x v="61"/>
    <x v="11"/>
    <x v="5"/>
    <x v="118"/>
    <x v="4"/>
    <x v="3"/>
    <x v="123"/>
    <x v="3"/>
  </r>
  <r>
    <x v="312"/>
    <x v="48"/>
    <x v="6"/>
    <x v="9"/>
    <x v="5"/>
    <x v="2"/>
    <x v="3"/>
    <x v="50"/>
    <x v="3"/>
  </r>
  <r>
    <x v="313"/>
    <x v="86"/>
    <x v="6"/>
    <x v="5"/>
    <x v="14"/>
    <x v="4"/>
    <x v="3"/>
    <x v="124"/>
    <x v="3"/>
  </r>
  <r>
    <x v="314"/>
    <x v="7"/>
    <x v="15"/>
    <x v="3"/>
    <x v="45"/>
    <x v="4"/>
    <x v="3"/>
    <x v="35"/>
    <x v="3"/>
  </r>
  <r>
    <x v="315"/>
    <x v="58"/>
    <x v="11"/>
    <x v="7"/>
    <x v="7"/>
    <x v="11"/>
    <x v="0"/>
    <x v="125"/>
    <x v="3"/>
  </r>
  <r>
    <x v="316"/>
    <x v="33"/>
    <x v="11"/>
    <x v="6"/>
    <x v="8"/>
    <x v="0"/>
    <x v="0"/>
    <x v="47"/>
    <x v="3"/>
  </r>
  <r>
    <x v="317"/>
    <x v="83"/>
    <x v="4"/>
    <x v="7"/>
    <x v="42"/>
    <x v="8"/>
    <x v="1"/>
    <x v="27"/>
    <x v="3"/>
  </r>
  <r>
    <x v="318"/>
    <x v="44"/>
    <x v="10"/>
    <x v="6"/>
    <x v="63"/>
    <x v="2"/>
    <x v="9"/>
    <x v="28"/>
    <x v="3"/>
  </r>
  <r>
    <x v="319"/>
    <x v="19"/>
    <x v="19"/>
    <x v="8"/>
    <x v="48"/>
    <x v="4"/>
    <x v="3"/>
    <x v="17"/>
    <x v="3"/>
  </r>
  <r>
    <x v="320"/>
    <x v="21"/>
    <x v="5"/>
    <x v="0"/>
    <x v="54"/>
    <x v="2"/>
    <x v="9"/>
    <x v="126"/>
    <x v="3"/>
  </r>
  <r>
    <x v="321"/>
    <x v="50"/>
    <x v="20"/>
    <x v="6"/>
    <x v="119"/>
    <x v="8"/>
    <x v="0"/>
    <x v="30"/>
    <x v="3"/>
  </r>
  <r>
    <x v="322"/>
    <x v="8"/>
    <x v="17"/>
    <x v="6"/>
    <x v="120"/>
    <x v="9"/>
    <x v="2"/>
    <x v="127"/>
    <x v="3"/>
  </r>
  <r>
    <x v="323"/>
    <x v="4"/>
    <x v="20"/>
    <x v="5"/>
    <x v="68"/>
    <x v="0"/>
    <x v="1"/>
    <x v="69"/>
    <x v="3"/>
  </r>
  <r>
    <x v="324"/>
    <x v="1"/>
    <x v="17"/>
    <x v="4"/>
    <x v="100"/>
    <x v="2"/>
    <x v="3"/>
    <x v="76"/>
    <x v="3"/>
  </r>
  <r>
    <x v="57"/>
    <x v="20"/>
    <x v="0"/>
    <x v="8"/>
    <x v="59"/>
    <x v="8"/>
    <x v="9"/>
    <x v="128"/>
    <x v="3"/>
  </r>
  <r>
    <x v="325"/>
    <x v="59"/>
    <x v="14"/>
    <x v="3"/>
    <x v="18"/>
    <x v="3"/>
    <x v="4"/>
    <x v="62"/>
    <x v="3"/>
  </r>
  <r>
    <x v="326"/>
    <x v="64"/>
    <x v="13"/>
    <x v="9"/>
    <x v="82"/>
    <x v="9"/>
    <x v="7"/>
    <x v="96"/>
    <x v="3"/>
  </r>
  <r>
    <x v="327"/>
    <x v="66"/>
    <x v="15"/>
    <x v="4"/>
    <x v="45"/>
    <x v="5"/>
    <x v="0"/>
    <x v="129"/>
    <x v="3"/>
  </r>
  <r>
    <x v="328"/>
    <x v="2"/>
    <x v="11"/>
    <x v="3"/>
    <x v="45"/>
    <x v="2"/>
    <x v="3"/>
    <x v="130"/>
    <x v="3"/>
  </r>
  <r>
    <x v="329"/>
    <x v="22"/>
    <x v="17"/>
    <x v="5"/>
    <x v="105"/>
    <x v="4"/>
    <x v="3"/>
    <x v="28"/>
    <x v="3"/>
  </r>
  <r>
    <x v="330"/>
    <x v="30"/>
    <x v="6"/>
    <x v="4"/>
    <x v="101"/>
    <x v="8"/>
    <x v="1"/>
    <x v="91"/>
    <x v="3"/>
  </r>
  <r>
    <x v="331"/>
    <x v="40"/>
    <x v="17"/>
    <x v="4"/>
    <x v="121"/>
    <x v="2"/>
    <x v="4"/>
    <x v="10"/>
    <x v="3"/>
  </r>
  <r>
    <x v="332"/>
    <x v="14"/>
    <x v="5"/>
    <x v="0"/>
    <x v="110"/>
    <x v="4"/>
    <x v="3"/>
    <x v="31"/>
    <x v="3"/>
  </r>
  <r>
    <x v="333"/>
    <x v="29"/>
    <x v="4"/>
    <x v="0"/>
    <x v="10"/>
    <x v="3"/>
    <x v="2"/>
    <x v="82"/>
    <x v="3"/>
  </r>
  <r>
    <x v="334"/>
    <x v="9"/>
    <x v="20"/>
    <x v="4"/>
    <x v="82"/>
    <x v="8"/>
    <x v="0"/>
    <x v="131"/>
    <x v="3"/>
  </r>
  <r>
    <x v="335"/>
    <x v="5"/>
    <x v="11"/>
    <x v="0"/>
    <x v="117"/>
    <x v="3"/>
    <x v="5"/>
    <x v="132"/>
    <x v="3"/>
  </r>
  <r>
    <x v="336"/>
    <x v="47"/>
    <x v="6"/>
    <x v="2"/>
    <x v="121"/>
    <x v="8"/>
    <x v="9"/>
    <x v="96"/>
    <x v="3"/>
  </r>
  <r>
    <x v="337"/>
    <x v="46"/>
    <x v="0"/>
    <x v="6"/>
    <x v="10"/>
    <x v="18"/>
    <x v="3"/>
    <x v="131"/>
    <x v="3"/>
  </r>
  <r>
    <x v="338"/>
    <x v="98"/>
    <x v="20"/>
    <x v="5"/>
    <x v="12"/>
    <x v="8"/>
    <x v="1"/>
    <x v="58"/>
    <x v="3"/>
  </r>
  <r>
    <x v="339"/>
    <x v="49"/>
    <x v="0"/>
    <x v="8"/>
    <x v="31"/>
    <x v="8"/>
    <x v="0"/>
    <x v="21"/>
    <x v="3"/>
  </r>
  <r>
    <x v="340"/>
    <x v="38"/>
    <x v="19"/>
    <x v="0"/>
    <x v="64"/>
    <x v="4"/>
    <x v="0"/>
    <x v="11"/>
    <x v="3"/>
  </r>
  <r>
    <x v="341"/>
    <x v="93"/>
    <x v="10"/>
    <x v="6"/>
    <x v="8"/>
    <x v="1"/>
    <x v="5"/>
    <x v="133"/>
    <x v="3"/>
  </r>
  <r>
    <x v="342"/>
    <x v="59"/>
    <x v="19"/>
    <x v="0"/>
    <x v="19"/>
    <x v="4"/>
    <x v="3"/>
    <x v="28"/>
    <x v="3"/>
  </r>
  <r>
    <x v="343"/>
    <x v="52"/>
    <x v="4"/>
    <x v="0"/>
    <x v="37"/>
    <x v="1"/>
    <x v="6"/>
    <x v="27"/>
    <x v="3"/>
  </r>
  <r>
    <x v="344"/>
    <x v="88"/>
    <x v="13"/>
    <x v="9"/>
    <x v="47"/>
    <x v="1"/>
    <x v="10"/>
    <x v="4"/>
    <x v="3"/>
  </r>
  <r>
    <x v="345"/>
    <x v="94"/>
    <x v="12"/>
    <x v="7"/>
    <x v="54"/>
    <x v="0"/>
    <x v="4"/>
    <x v="21"/>
    <x v="3"/>
  </r>
  <r>
    <x v="346"/>
    <x v="81"/>
    <x v="9"/>
    <x v="8"/>
    <x v="32"/>
    <x v="2"/>
    <x v="0"/>
    <x v="35"/>
    <x v="3"/>
  </r>
  <r>
    <x v="347"/>
    <x v="0"/>
    <x v="16"/>
    <x v="6"/>
    <x v="42"/>
    <x v="2"/>
    <x v="3"/>
    <x v="10"/>
    <x v="3"/>
  </r>
  <r>
    <x v="348"/>
    <x v="23"/>
    <x v="8"/>
    <x v="7"/>
    <x v="72"/>
    <x v="14"/>
    <x v="13"/>
    <x v="32"/>
    <x v="3"/>
  </r>
  <r>
    <x v="349"/>
    <x v="51"/>
    <x v="18"/>
    <x v="2"/>
    <x v="93"/>
    <x v="9"/>
    <x v="7"/>
    <x v="96"/>
    <x v="3"/>
  </r>
  <r>
    <x v="350"/>
    <x v="54"/>
    <x v="4"/>
    <x v="13"/>
    <x v="50"/>
    <x v="0"/>
    <x v="3"/>
    <x v="134"/>
    <x v="3"/>
  </r>
  <r>
    <x v="351"/>
    <x v="45"/>
    <x v="0"/>
    <x v="5"/>
    <x v="34"/>
    <x v="8"/>
    <x v="9"/>
    <x v="6"/>
    <x v="3"/>
  </r>
  <r>
    <x v="352"/>
    <x v="85"/>
    <x v="0"/>
    <x v="8"/>
    <x v="86"/>
    <x v="2"/>
    <x v="4"/>
    <x v="39"/>
    <x v="3"/>
  </r>
  <r>
    <x v="353"/>
    <x v="31"/>
    <x v="9"/>
    <x v="11"/>
    <x v="122"/>
    <x v="4"/>
    <x v="4"/>
    <x v="54"/>
    <x v="3"/>
  </r>
  <r>
    <x v="354"/>
    <x v="32"/>
    <x v="11"/>
    <x v="3"/>
    <x v="45"/>
    <x v="8"/>
    <x v="0"/>
    <x v="29"/>
    <x v="3"/>
  </r>
  <r>
    <x v="355"/>
    <x v="0"/>
    <x v="0"/>
    <x v="3"/>
    <x v="123"/>
    <x v="0"/>
    <x v="3"/>
    <x v="135"/>
    <x v="3"/>
  </r>
  <r>
    <x v="356"/>
    <x v="25"/>
    <x v="1"/>
    <x v="6"/>
    <x v="62"/>
    <x v="0"/>
    <x v="0"/>
    <x v="35"/>
    <x v="3"/>
  </r>
  <r>
    <x v="357"/>
    <x v="70"/>
    <x v="17"/>
    <x v="3"/>
    <x v="121"/>
    <x v="0"/>
    <x v="3"/>
    <x v="8"/>
    <x v="3"/>
  </r>
  <r>
    <x v="358"/>
    <x v="79"/>
    <x v="4"/>
    <x v="12"/>
    <x v="37"/>
    <x v="0"/>
    <x v="3"/>
    <x v="92"/>
    <x v="3"/>
  </r>
  <r>
    <x v="359"/>
    <x v="84"/>
    <x v="4"/>
    <x v="12"/>
    <x v="103"/>
    <x v="0"/>
    <x v="3"/>
    <x v="136"/>
    <x v="3"/>
  </r>
  <r>
    <x v="360"/>
    <x v="71"/>
    <x v="0"/>
    <x v="4"/>
    <x v="116"/>
    <x v="4"/>
    <x v="3"/>
    <x v="2"/>
    <x v="3"/>
  </r>
  <r>
    <x v="361"/>
    <x v="12"/>
    <x v="9"/>
    <x v="7"/>
    <x v="51"/>
    <x v="8"/>
    <x v="5"/>
    <x v="61"/>
    <x v="3"/>
  </r>
  <r>
    <x v="362"/>
    <x v="95"/>
    <x v="20"/>
    <x v="5"/>
    <x v="47"/>
    <x v="14"/>
    <x v="13"/>
    <x v="18"/>
    <x v="3"/>
  </r>
  <r>
    <x v="363"/>
    <x v="55"/>
    <x v="16"/>
    <x v="7"/>
    <x v="76"/>
    <x v="13"/>
    <x v="18"/>
    <x v="137"/>
    <x v="3"/>
  </r>
  <r>
    <x v="364"/>
    <x v="3"/>
    <x v="20"/>
    <x v="5"/>
    <x v="47"/>
    <x v="0"/>
    <x v="0"/>
    <x v="138"/>
    <x v="4"/>
  </r>
  <r>
    <x v="365"/>
    <x v="10"/>
    <x v="14"/>
    <x v="3"/>
    <x v="107"/>
    <x v="0"/>
    <x v="3"/>
    <x v="38"/>
    <x v="4"/>
  </r>
  <r>
    <x v="366"/>
    <x v="96"/>
    <x v="7"/>
    <x v="3"/>
    <x v="124"/>
    <x v="3"/>
    <x v="5"/>
    <x v="22"/>
    <x v="4"/>
  </r>
  <r>
    <x v="367"/>
    <x v="81"/>
    <x v="9"/>
    <x v="3"/>
    <x v="42"/>
    <x v="2"/>
    <x v="3"/>
    <x v="25"/>
    <x v="4"/>
  </r>
  <r>
    <x v="368"/>
    <x v="69"/>
    <x v="4"/>
    <x v="7"/>
    <x v="34"/>
    <x v="11"/>
    <x v="10"/>
    <x v="6"/>
    <x v="4"/>
  </r>
  <r>
    <x v="369"/>
    <x v="79"/>
    <x v="4"/>
    <x v="0"/>
    <x v="13"/>
    <x v="5"/>
    <x v="5"/>
    <x v="81"/>
    <x v="4"/>
  </r>
  <r>
    <x v="370"/>
    <x v="19"/>
    <x v="1"/>
    <x v="3"/>
    <x v="14"/>
    <x v="0"/>
    <x v="4"/>
    <x v="13"/>
    <x v="4"/>
  </r>
  <r>
    <x v="371"/>
    <x v="1"/>
    <x v="1"/>
    <x v="0"/>
    <x v="14"/>
    <x v="8"/>
    <x v="0"/>
    <x v="111"/>
    <x v="4"/>
  </r>
  <r>
    <x v="372"/>
    <x v="57"/>
    <x v="9"/>
    <x v="7"/>
    <x v="0"/>
    <x v="8"/>
    <x v="6"/>
    <x v="84"/>
    <x v="4"/>
  </r>
  <r>
    <x v="373"/>
    <x v="29"/>
    <x v="9"/>
    <x v="8"/>
    <x v="36"/>
    <x v="5"/>
    <x v="10"/>
    <x v="6"/>
    <x v="4"/>
  </r>
  <r>
    <x v="374"/>
    <x v="47"/>
    <x v="0"/>
    <x v="3"/>
    <x v="125"/>
    <x v="5"/>
    <x v="10"/>
    <x v="38"/>
    <x v="4"/>
  </r>
  <r>
    <x v="375"/>
    <x v="84"/>
    <x v="4"/>
    <x v="0"/>
    <x v="21"/>
    <x v="0"/>
    <x v="9"/>
    <x v="139"/>
    <x v="4"/>
  </r>
  <r>
    <x v="376"/>
    <x v="60"/>
    <x v="15"/>
    <x v="4"/>
    <x v="47"/>
    <x v="0"/>
    <x v="3"/>
    <x v="140"/>
    <x v="4"/>
  </r>
  <r>
    <x v="377"/>
    <x v="38"/>
    <x v="7"/>
    <x v="3"/>
    <x v="124"/>
    <x v="11"/>
    <x v="9"/>
    <x v="82"/>
    <x v="4"/>
  </r>
  <r>
    <x v="378"/>
    <x v="23"/>
    <x v="7"/>
    <x v="5"/>
    <x v="36"/>
    <x v="8"/>
    <x v="0"/>
    <x v="11"/>
    <x v="4"/>
  </r>
  <r>
    <x v="379"/>
    <x v="4"/>
    <x v="20"/>
    <x v="9"/>
    <x v="12"/>
    <x v="5"/>
    <x v="6"/>
    <x v="141"/>
    <x v="4"/>
  </r>
  <r>
    <x v="380"/>
    <x v="88"/>
    <x v="20"/>
    <x v="4"/>
    <x v="82"/>
    <x v="4"/>
    <x v="4"/>
    <x v="41"/>
    <x v="4"/>
  </r>
  <r>
    <x v="381"/>
    <x v="34"/>
    <x v="11"/>
    <x v="5"/>
    <x v="2"/>
    <x v="2"/>
    <x v="3"/>
    <x v="76"/>
    <x v="4"/>
  </r>
  <r>
    <x v="382"/>
    <x v="74"/>
    <x v="0"/>
    <x v="0"/>
    <x v="31"/>
    <x v="4"/>
    <x v="4"/>
    <x v="11"/>
    <x v="4"/>
  </r>
  <r>
    <x v="383"/>
    <x v="55"/>
    <x v="16"/>
    <x v="3"/>
    <x v="116"/>
    <x v="8"/>
    <x v="9"/>
    <x v="6"/>
    <x v="4"/>
  </r>
  <r>
    <x v="384"/>
    <x v="53"/>
    <x v="13"/>
    <x v="2"/>
    <x v="12"/>
    <x v="0"/>
    <x v="3"/>
    <x v="40"/>
    <x v="4"/>
  </r>
  <r>
    <x v="385"/>
    <x v="77"/>
    <x v="13"/>
    <x v="5"/>
    <x v="102"/>
    <x v="3"/>
    <x v="2"/>
    <x v="11"/>
    <x v="4"/>
  </r>
  <r>
    <x v="386"/>
    <x v="42"/>
    <x v="12"/>
    <x v="13"/>
    <x v="126"/>
    <x v="11"/>
    <x v="3"/>
    <x v="142"/>
    <x v="4"/>
  </r>
  <r>
    <x v="387"/>
    <x v="62"/>
    <x v="1"/>
    <x v="3"/>
    <x v="1"/>
    <x v="0"/>
    <x v="0"/>
    <x v="74"/>
    <x v="4"/>
  </r>
  <r>
    <x v="388"/>
    <x v="73"/>
    <x v="4"/>
    <x v="12"/>
    <x v="21"/>
    <x v="11"/>
    <x v="0"/>
    <x v="117"/>
    <x v="4"/>
  </r>
  <r>
    <x v="389"/>
    <x v="24"/>
    <x v="6"/>
    <x v="4"/>
    <x v="63"/>
    <x v="8"/>
    <x v="9"/>
    <x v="28"/>
    <x v="4"/>
  </r>
  <r>
    <x v="390"/>
    <x v="52"/>
    <x v="5"/>
    <x v="8"/>
    <x v="36"/>
    <x v="0"/>
    <x v="4"/>
    <x v="28"/>
    <x v="4"/>
  </r>
  <r>
    <x v="391"/>
    <x v="54"/>
    <x v="4"/>
    <x v="6"/>
    <x v="0"/>
    <x v="5"/>
    <x v="6"/>
    <x v="39"/>
    <x v="4"/>
  </r>
  <r>
    <x v="392"/>
    <x v="76"/>
    <x v="15"/>
    <x v="6"/>
    <x v="119"/>
    <x v="11"/>
    <x v="0"/>
    <x v="62"/>
    <x v="4"/>
  </r>
  <r>
    <x v="393"/>
    <x v="93"/>
    <x v="4"/>
    <x v="8"/>
    <x v="59"/>
    <x v="2"/>
    <x v="3"/>
    <x v="9"/>
    <x v="4"/>
  </r>
  <r>
    <x v="394"/>
    <x v="13"/>
    <x v="18"/>
    <x v="5"/>
    <x v="120"/>
    <x v="2"/>
    <x v="3"/>
    <x v="124"/>
    <x v="4"/>
  </r>
  <r>
    <x v="395"/>
    <x v="59"/>
    <x v="14"/>
    <x v="4"/>
    <x v="5"/>
    <x v="19"/>
    <x v="19"/>
    <x v="36"/>
    <x v="4"/>
  </r>
  <r>
    <x v="396"/>
    <x v="35"/>
    <x v="0"/>
    <x v="3"/>
    <x v="0"/>
    <x v="4"/>
    <x v="3"/>
    <x v="124"/>
    <x v="4"/>
  </r>
  <r>
    <x v="397"/>
    <x v="27"/>
    <x v="9"/>
    <x v="0"/>
    <x v="24"/>
    <x v="11"/>
    <x v="4"/>
    <x v="116"/>
    <x v="4"/>
  </r>
  <r>
    <x v="398"/>
    <x v="2"/>
    <x v="18"/>
    <x v="5"/>
    <x v="53"/>
    <x v="5"/>
    <x v="5"/>
    <x v="1"/>
    <x v="4"/>
  </r>
  <r>
    <x v="399"/>
    <x v="99"/>
    <x v="1"/>
    <x v="3"/>
    <x v="22"/>
    <x v="2"/>
    <x v="3"/>
    <x v="8"/>
    <x v="4"/>
  </r>
  <r>
    <x v="400"/>
    <x v="41"/>
    <x v="0"/>
    <x v="5"/>
    <x v="11"/>
    <x v="2"/>
    <x v="0"/>
    <x v="41"/>
    <x v="4"/>
  </r>
  <r>
    <x v="401"/>
    <x v="33"/>
    <x v="11"/>
    <x v="6"/>
    <x v="61"/>
    <x v="5"/>
    <x v="6"/>
    <x v="31"/>
    <x v="4"/>
  </r>
  <r>
    <x v="402"/>
    <x v="26"/>
    <x v="9"/>
    <x v="0"/>
    <x v="70"/>
    <x v="6"/>
    <x v="3"/>
    <x v="28"/>
    <x v="4"/>
  </r>
  <r>
    <x v="403"/>
    <x v="82"/>
    <x v="15"/>
    <x v="6"/>
    <x v="96"/>
    <x v="4"/>
    <x v="4"/>
    <x v="62"/>
    <x v="4"/>
  </r>
  <r>
    <x v="404"/>
    <x v="94"/>
    <x v="4"/>
    <x v="13"/>
    <x v="98"/>
    <x v="1"/>
    <x v="5"/>
    <x v="140"/>
    <x v="4"/>
  </r>
  <r>
    <x v="405"/>
    <x v="11"/>
    <x v="5"/>
    <x v="12"/>
    <x v="11"/>
    <x v="0"/>
    <x v="9"/>
    <x v="62"/>
    <x v="4"/>
  </r>
  <r>
    <x v="406"/>
    <x v="83"/>
    <x v="4"/>
    <x v="8"/>
    <x v="70"/>
    <x v="6"/>
    <x v="3"/>
    <x v="143"/>
    <x v="4"/>
  </r>
  <r>
    <x v="407"/>
    <x v="58"/>
    <x v="18"/>
    <x v="4"/>
    <x v="92"/>
    <x v="5"/>
    <x v="6"/>
    <x v="6"/>
    <x v="4"/>
  </r>
  <r>
    <x v="408"/>
    <x v="20"/>
    <x v="16"/>
    <x v="7"/>
    <x v="42"/>
    <x v="17"/>
    <x v="19"/>
    <x v="88"/>
    <x v="4"/>
  </r>
  <r>
    <x v="409"/>
    <x v="16"/>
    <x v="18"/>
    <x v="6"/>
    <x v="90"/>
    <x v="0"/>
    <x v="9"/>
    <x v="59"/>
    <x v="4"/>
  </r>
  <r>
    <x v="410"/>
    <x v="48"/>
    <x v="6"/>
    <x v="5"/>
    <x v="5"/>
    <x v="1"/>
    <x v="6"/>
    <x v="34"/>
    <x v="4"/>
  </r>
  <r>
    <x v="411"/>
    <x v="85"/>
    <x v="0"/>
    <x v="3"/>
    <x v="0"/>
    <x v="11"/>
    <x v="4"/>
    <x v="51"/>
    <x v="4"/>
  </r>
  <r>
    <x v="412"/>
    <x v="39"/>
    <x v="1"/>
    <x v="7"/>
    <x v="64"/>
    <x v="8"/>
    <x v="4"/>
    <x v="24"/>
    <x v="4"/>
  </r>
  <r>
    <x v="413"/>
    <x v="21"/>
    <x v="1"/>
    <x v="6"/>
    <x v="43"/>
    <x v="0"/>
    <x v="9"/>
    <x v="144"/>
    <x v="4"/>
  </r>
  <r>
    <x v="414"/>
    <x v="36"/>
    <x v="5"/>
    <x v="0"/>
    <x v="19"/>
    <x v="6"/>
    <x v="3"/>
    <x v="124"/>
    <x v="4"/>
  </r>
  <r>
    <x v="415"/>
    <x v="22"/>
    <x v="18"/>
    <x v="5"/>
    <x v="79"/>
    <x v="0"/>
    <x v="0"/>
    <x v="4"/>
    <x v="4"/>
  </r>
  <r>
    <x v="416"/>
    <x v="7"/>
    <x v="15"/>
    <x v="5"/>
    <x v="12"/>
    <x v="3"/>
    <x v="10"/>
    <x v="53"/>
    <x v="4"/>
  </r>
  <r>
    <x v="417"/>
    <x v="46"/>
    <x v="0"/>
    <x v="8"/>
    <x v="37"/>
    <x v="0"/>
    <x v="3"/>
    <x v="138"/>
    <x v="4"/>
  </r>
  <r>
    <x v="418"/>
    <x v="72"/>
    <x v="8"/>
    <x v="8"/>
    <x v="37"/>
    <x v="2"/>
    <x v="4"/>
    <x v="76"/>
    <x v="4"/>
  </r>
  <r>
    <x v="419"/>
    <x v="65"/>
    <x v="5"/>
    <x v="7"/>
    <x v="43"/>
    <x v="11"/>
    <x v="5"/>
    <x v="58"/>
    <x v="4"/>
  </r>
  <r>
    <x v="420"/>
    <x v="71"/>
    <x v="0"/>
    <x v="0"/>
    <x v="24"/>
    <x v="8"/>
    <x v="1"/>
    <x v="137"/>
    <x v="4"/>
  </r>
  <r>
    <x v="421"/>
    <x v="45"/>
    <x v="6"/>
    <x v="6"/>
    <x v="62"/>
    <x v="0"/>
    <x v="4"/>
    <x v="11"/>
    <x v="4"/>
  </r>
  <r>
    <x v="422"/>
    <x v="8"/>
    <x v="20"/>
    <x v="5"/>
    <x v="12"/>
    <x v="0"/>
    <x v="3"/>
    <x v="1"/>
    <x v="4"/>
  </r>
  <r>
    <x v="423"/>
    <x v="5"/>
    <x v="18"/>
    <x v="5"/>
    <x v="120"/>
    <x v="4"/>
    <x v="4"/>
    <x v="32"/>
    <x v="4"/>
  </r>
  <r>
    <x v="424"/>
    <x v="91"/>
    <x v="5"/>
    <x v="8"/>
    <x v="14"/>
    <x v="11"/>
    <x v="5"/>
    <x v="58"/>
    <x v="4"/>
  </r>
  <r>
    <x v="425"/>
    <x v="25"/>
    <x v="1"/>
    <x v="3"/>
    <x v="5"/>
    <x v="11"/>
    <x v="1"/>
    <x v="31"/>
    <x v="4"/>
  </r>
  <r>
    <x v="426"/>
    <x v="78"/>
    <x v="13"/>
    <x v="2"/>
    <x v="8"/>
    <x v="0"/>
    <x v="0"/>
    <x v="6"/>
    <x v="4"/>
  </r>
  <r>
    <x v="427"/>
    <x v="63"/>
    <x v="0"/>
    <x v="8"/>
    <x v="56"/>
    <x v="0"/>
    <x v="3"/>
    <x v="18"/>
    <x v="4"/>
  </r>
  <r>
    <x v="428"/>
    <x v="44"/>
    <x v="4"/>
    <x v="13"/>
    <x v="72"/>
    <x v="4"/>
    <x v="3"/>
    <x v="82"/>
    <x v="4"/>
  </r>
  <r>
    <x v="429"/>
    <x v="61"/>
    <x v="11"/>
    <x v="6"/>
    <x v="96"/>
    <x v="1"/>
    <x v="10"/>
    <x v="41"/>
    <x v="4"/>
  </r>
  <r>
    <x v="430"/>
    <x v="87"/>
    <x v="6"/>
    <x v="9"/>
    <x v="90"/>
    <x v="0"/>
    <x v="3"/>
    <x v="145"/>
    <x v="4"/>
  </r>
  <r>
    <x v="431"/>
    <x v="32"/>
    <x v="18"/>
    <x v="6"/>
    <x v="127"/>
    <x v="4"/>
    <x v="4"/>
    <x v="146"/>
    <x v="4"/>
  </r>
  <r>
    <x v="432"/>
    <x v="80"/>
    <x v="6"/>
    <x v="5"/>
    <x v="105"/>
    <x v="11"/>
    <x v="1"/>
    <x v="82"/>
    <x v="4"/>
  </r>
  <r>
    <x v="433"/>
    <x v="40"/>
    <x v="11"/>
    <x v="6"/>
    <x v="128"/>
    <x v="0"/>
    <x v="4"/>
    <x v="11"/>
    <x v="4"/>
  </r>
  <r>
    <x v="434"/>
    <x v="95"/>
    <x v="20"/>
    <x v="4"/>
    <x v="46"/>
    <x v="0"/>
    <x v="4"/>
    <x v="147"/>
    <x v="4"/>
  </r>
  <r>
    <x v="435"/>
    <x v="56"/>
    <x v="0"/>
    <x v="0"/>
    <x v="70"/>
    <x v="8"/>
    <x v="3"/>
    <x v="148"/>
    <x v="4"/>
  </r>
  <r>
    <x v="436"/>
    <x v="89"/>
    <x v="18"/>
    <x v="3"/>
    <x v="120"/>
    <x v="1"/>
    <x v="6"/>
    <x v="149"/>
    <x v="4"/>
  </r>
  <r>
    <x v="437"/>
    <x v="31"/>
    <x v="4"/>
    <x v="0"/>
    <x v="13"/>
    <x v="4"/>
    <x v="3"/>
    <x v="137"/>
    <x v="4"/>
  </r>
  <r>
    <x v="438"/>
    <x v="0"/>
    <x v="0"/>
    <x v="11"/>
    <x v="129"/>
    <x v="1"/>
    <x v="6"/>
    <x v="150"/>
    <x v="4"/>
  </r>
  <r>
    <x v="439"/>
    <x v="14"/>
    <x v="9"/>
    <x v="8"/>
    <x v="70"/>
    <x v="14"/>
    <x v="7"/>
    <x v="51"/>
    <x v="4"/>
  </r>
  <r>
    <x v="440"/>
    <x v="86"/>
    <x v="0"/>
    <x v="7"/>
    <x v="10"/>
    <x v="5"/>
    <x v="10"/>
    <x v="46"/>
    <x v="4"/>
  </r>
  <r>
    <x v="441"/>
    <x v="6"/>
    <x v="11"/>
    <x v="4"/>
    <x v="20"/>
    <x v="0"/>
    <x v="3"/>
    <x v="140"/>
    <x v="4"/>
  </r>
  <r>
    <x v="442"/>
    <x v="51"/>
    <x v="11"/>
    <x v="6"/>
    <x v="130"/>
    <x v="1"/>
    <x v="6"/>
    <x v="81"/>
    <x v="4"/>
  </r>
  <r>
    <x v="443"/>
    <x v="66"/>
    <x v="3"/>
    <x v="2"/>
    <x v="112"/>
    <x v="0"/>
    <x v="3"/>
    <x v="37"/>
    <x v="4"/>
  </r>
  <r>
    <x v="444"/>
    <x v="15"/>
    <x v="6"/>
    <x v="4"/>
    <x v="100"/>
    <x v="8"/>
    <x v="9"/>
    <x v="84"/>
    <x v="4"/>
  </r>
  <r>
    <x v="445"/>
    <x v="70"/>
    <x v="1"/>
    <x v="6"/>
    <x v="15"/>
    <x v="2"/>
    <x v="3"/>
    <x v="81"/>
    <x v="4"/>
  </r>
  <r>
    <x v="446"/>
    <x v="30"/>
    <x v="6"/>
    <x v="5"/>
    <x v="5"/>
    <x v="8"/>
    <x v="4"/>
    <x v="151"/>
    <x v="4"/>
  </r>
  <r>
    <x v="447"/>
    <x v="92"/>
    <x v="0"/>
    <x v="13"/>
    <x v="131"/>
    <x v="2"/>
    <x v="9"/>
    <x v="138"/>
    <x v="4"/>
  </r>
  <r>
    <x v="448"/>
    <x v="97"/>
    <x v="13"/>
    <x v="5"/>
    <x v="115"/>
    <x v="0"/>
    <x v="1"/>
    <x v="71"/>
    <x v="4"/>
  </r>
  <r>
    <x v="449"/>
    <x v="12"/>
    <x v="5"/>
    <x v="11"/>
    <x v="109"/>
    <x v="0"/>
    <x v="1"/>
    <x v="47"/>
    <x v="4"/>
  </r>
  <r>
    <x v="450"/>
    <x v="28"/>
    <x v="9"/>
    <x v="12"/>
    <x v="0"/>
    <x v="1"/>
    <x v="5"/>
    <x v="92"/>
    <x v="4"/>
  </r>
  <r>
    <x v="451"/>
    <x v="18"/>
    <x v="1"/>
    <x v="3"/>
    <x v="15"/>
    <x v="11"/>
    <x v="0"/>
    <x v="152"/>
    <x v="4"/>
  </r>
  <r>
    <x v="452"/>
    <x v="59"/>
    <x v="17"/>
    <x v="5"/>
    <x v="121"/>
    <x v="8"/>
    <x v="3"/>
    <x v="11"/>
    <x v="5"/>
  </r>
  <r>
    <x v="453"/>
    <x v="44"/>
    <x v="5"/>
    <x v="13"/>
    <x v="51"/>
    <x v="15"/>
    <x v="2"/>
    <x v="2"/>
    <x v="5"/>
  </r>
  <r>
    <x v="454"/>
    <x v="5"/>
    <x v="17"/>
    <x v="3"/>
    <x v="5"/>
    <x v="3"/>
    <x v="7"/>
    <x v="109"/>
    <x v="5"/>
  </r>
  <r>
    <x v="455"/>
    <x v="80"/>
    <x v="6"/>
    <x v="4"/>
    <x v="105"/>
    <x v="2"/>
    <x v="3"/>
    <x v="153"/>
    <x v="5"/>
  </r>
  <r>
    <x v="456"/>
    <x v="52"/>
    <x v="5"/>
    <x v="13"/>
    <x v="24"/>
    <x v="7"/>
    <x v="11"/>
    <x v="20"/>
    <x v="5"/>
  </r>
  <r>
    <x v="457"/>
    <x v="60"/>
    <x v="20"/>
    <x v="4"/>
    <x v="68"/>
    <x v="0"/>
    <x v="3"/>
    <x v="78"/>
    <x v="5"/>
  </r>
  <r>
    <x v="458"/>
    <x v="63"/>
    <x v="8"/>
    <x v="12"/>
    <x v="109"/>
    <x v="0"/>
    <x v="9"/>
    <x v="108"/>
    <x v="5"/>
  </r>
  <r>
    <x v="459"/>
    <x v="92"/>
    <x v="7"/>
    <x v="5"/>
    <x v="19"/>
    <x v="20"/>
    <x v="20"/>
    <x v="28"/>
    <x v="5"/>
  </r>
  <r>
    <x v="460"/>
    <x v="30"/>
    <x v="6"/>
    <x v="4"/>
    <x v="15"/>
    <x v="9"/>
    <x v="2"/>
    <x v="33"/>
    <x v="5"/>
  </r>
  <r>
    <x v="461"/>
    <x v="89"/>
    <x v="19"/>
    <x v="0"/>
    <x v="14"/>
    <x v="2"/>
    <x v="4"/>
    <x v="17"/>
    <x v="5"/>
  </r>
  <r>
    <x v="462"/>
    <x v="38"/>
    <x v="0"/>
    <x v="6"/>
    <x v="42"/>
    <x v="8"/>
    <x v="3"/>
    <x v="124"/>
    <x v="5"/>
  </r>
  <r>
    <x v="463"/>
    <x v="43"/>
    <x v="16"/>
    <x v="7"/>
    <x v="86"/>
    <x v="2"/>
    <x v="3"/>
    <x v="62"/>
    <x v="5"/>
  </r>
  <r>
    <x v="464"/>
    <x v="42"/>
    <x v="4"/>
    <x v="0"/>
    <x v="59"/>
    <x v="7"/>
    <x v="7"/>
    <x v="98"/>
    <x v="5"/>
  </r>
  <r>
    <x v="465"/>
    <x v="4"/>
    <x v="13"/>
    <x v="9"/>
    <x v="45"/>
    <x v="0"/>
    <x v="3"/>
    <x v="154"/>
    <x v="5"/>
  </r>
  <r>
    <x v="466"/>
    <x v="84"/>
    <x v="9"/>
    <x v="12"/>
    <x v="13"/>
    <x v="1"/>
    <x v="9"/>
    <x v="155"/>
    <x v="5"/>
  </r>
  <r>
    <x v="467"/>
    <x v="74"/>
    <x v="0"/>
    <x v="11"/>
    <x v="132"/>
    <x v="2"/>
    <x v="4"/>
    <x v="60"/>
    <x v="5"/>
  </r>
  <r>
    <x v="468"/>
    <x v="75"/>
    <x v="19"/>
    <x v="7"/>
    <x v="9"/>
    <x v="14"/>
    <x v="13"/>
    <x v="137"/>
    <x v="5"/>
  </r>
  <r>
    <x v="469"/>
    <x v="29"/>
    <x v="4"/>
    <x v="7"/>
    <x v="109"/>
    <x v="8"/>
    <x v="6"/>
    <x v="17"/>
    <x v="5"/>
  </r>
  <r>
    <x v="470"/>
    <x v="73"/>
    <x v="4"/>
    <x v="7"/>
    <x v="109"/>
    <x v="8"/>
    <x v="1"/>
    <x v="17"/>
    <x v="5"/>
  </r>
  <r>
    <x v="471"/>
    <x v="57"/>
    <x v="4"/>
    <x v="8"/>
    <x v="0"/>
    <x v="5"/>
    <x v="4"/>
    <x v="108"/>
    <x v="5"/>
  </r>
  <r>
    <x v="472"/>
    <x v="12"/>
    <x v="9"/>
    <x v="12"/>
    <x v="24"/>
    <x v="11"/>
    <x v="1"/>
    <x v="145"/>
    <x v="5"/>
  </r>
  <r>
    <x v="473"/>
    <x v="37"/>
    <x v="0"/>
    <x v="4"/>
    <x v="133"/>
    <x v="1"/>
    <x v="7"/>
    <x v="47"/>
    <x v="5"/>
  </r>
  <r>
    <x v="474"/>
    <x v="70"/>
    <x v="19"/>
    <x v="3"/>
    <x v="62"/>
    <x v="2"/>
    <x v="3"/>
    <x v="36"/>
    <x v="5"/>
  </r>
  <r>
    <x v="475"/>
    <x v="67"/>
    <x v="5"/>
    <x v="0"/>
    <x v="1"/>
    <x v="5"/>
    <x v="5"/>
    <x v="11"/>
    <x v="5"/>
  </r>
  <r>
    <x v="476"/>
    <x v="0"/>
    <x v="7"/>
    <x v="4"/>
    <x v="14"/>
    <x v="14"/>
    <x v="12"/>
    <x v="97"/>
    <x v="5"/>
  </r>
  <r>
    <x v="477"/>
    <x v="71"/>
    <x v="0"/>
    <x v="0"/>
    <x v="98"/>
    <x v="11"/>
    <x v="6"/>
    <x v="11"/>
    <x v="5"/>
  </r>
  <r>
    <x v="478"/>
    <x v="11"/>
    <x v="4"/>
    <x v="7"/>
    <x v="103"/>
    <x v="0"/>
    <x v="3"/>
    <x v="156"/>
    <x v="5"/>
  </r>
  <r>
    <x v="479"/>
    <x v="86"/>
    <x v="0"/>
    <x v="12"/>
    <x v="103"/>
    <x v="0"/>
    <x v="3"/>
    <x v="29"/>
    <x v="5"/>
  </r>
  <r>
    <x v="480"/>
    <x v="33"/>
    <x v="2"/>
    <x v="9"/>
    <x v="87"/>
    <x v="7"/>
    <x v="11"/>
    <x v="13"/>
    <x v="5"/>
  </r>
  <r>
    <x v="481"/>
    <x v="19"/>
    <x v="17"/>
    <x v="6"/>
    <x v="62"/>
    <x v="0"/>
    <x v="0"/>
    <x v="157"/>
    <x v="5"/>
  </r>
  <r>
    <x v="482"/>
    <x v="56"/>
    <x v="0"/>
    <x v="7"/>
    <x v="69"/>
    <x v="11"/>
    <x v="5"/>
    <x v="10"/>
    <x v="5"/>
  </r>
  <r>
    <x v="483"/>
    <x v="66"/>
    <x v="20"/>
    <x v="4"/>
    <x v="115"/>
    <x v="2"/>
    <x v="3"/>
    <x v="118"/>
    <x v="5"/>
  </r>
  <r>
    <x v="484"/>
    <x v="35"/>
    <x v="0"/>
    <x v="13"/>
    <x v="72"/>
    <x v="1"/>
    <x v="4"/>
    <x v="11"/>
    <x v="5"/>
  </r>
  <r>
    <x v="485"/>
    <x v="77"/>
    <x v="2"/>
    <x v="6"/>
    <x v="134"/>
    <x v="2"/>
    <x v="3"/>
    <x v="86"/>
    <x v="5"/>
  </r>
  <r>
    <x v="486"/>
    <x v="55"/>
    <x v="7"/>
    <x v="5"/>
    <x v="135"/>
    <x v="14"/>
    <x v="2"/>
    <x v="146"/>
    <x v="5"/>
  </r>
  <r>
    <x v="487"/>
    <x v="95"/>
    <x v="3"/>
    <x v="5"/>
    <x v="78"/>
    <x v="2"/>
    <x v="4"/>
    <x v="4"/>
    <x v="5"/>
  </r>
  <r>
    <x v="488"/>
    <x v="32"/>
    <x v="2"/>
    <x v="4"/>
    <x v="95"/>
    <x v="14"/>
    <x v="13"/>
    <x v="158"/>
    <x v="5"/>
  </r>
  <r>
    <x v="489"/>
    <x v="38"/>
    <x v="16"/>
    <x v="12"/>
    <x v="25"/>
    <x v="8"/>
    <x v="4"/>
    <x v="100"/>
    <x v="5"/>
  </r>
  <r>
    <x v="490"/>
    <x v="15"/>
    <x v="6"/>
    <x v="9"/>
    <x v="105"/>
    <x v="0"/>
    <x v="3"/>
    <x v="159"/>
    <x v="5"/>
  </r>
  <r>
    <x v="491"/>
    <x v="51"/>
    <x v="13"/>
    <x v="5"/>
    <x v="112"/>
    <x v="0"/>
    <x v="9"/>
    <x v="160"/>
    <x v="5"/>
  </r>
  <r>
    <x v="492"/>
    <x v="76"/>
    <x v="20"/>
    <x v="6"/>
    <x v="108"/>
    <x v="0"/>
    <x v="4"/>
    <x v="34"/>
    <x v="5"/>
  </r>
  <r>
    <x v="493"/>
    <x v="68"/>
    <x v="15"/>
    <x v="5"/>
    <x v="33"/>
    <x v="9"/>
    <x v="7"/>
    <x v="161"/>
    <x v="5"/>
  </r>
  <r>
    <x v="494"/>
    <x v="9"/>
    <x v="3"/>
    <x v="2"/>
    <x v="119"/>
    <x v="8"/>
    <x v="1"/>
    <x v="76"/>
    <x v="5"/>
  </r>
  <r>
    <x v="495"/>
    <x v="46"/>
    <x v="0"/>
    <x v="7"/>
    <x v="109"/>
    <x v="2"/>
    <x v="0"/>
    <x v="52"/>
    <x v="5"/>
  </r>
  <r>
    <x v="496"/>
    <x v="27"/>
    <x v="6"/>
    <x v="4"/>
    <x v="92"/>
    <x v="0"/>
    <x v="3"/>
    <x v="52"/>
    <x v="5"/>
  </r>
  <r>
    <x v="497"/>
    <x v="8"/>
    <x v="20"/>
    <x v="5"/>
    <x v="12"/>
    <x v="8"/>
    <x v="4"/>
    <x v="162"/>
    <x v="5"/>
  </r>
  <r>
    <x v="498"/>
    <x v="50"/>
    <x v="20"/>
    <x v="7"/>
    <x v="12"/>
    <x v="1"/>
    <x v="2"/>
    <x v="40"/>
    <x v="5"/>
  </r>
  <r>
    <x v="499"/>
    <x v="36"/>
    <x v="4"/>
    <x v="3"/>
    <x v="34"/>
    <x v="2"/>
    <x v="3"/>
    <x v="163"/>
    <x v="5"/>
  </r>
  <r>
    <x v="500"/>
    <x v="24"/>
    <x v="6"/>
    <x v="9"/>
    <x v="136"/>
    <x v="3"/>
    <x v="9"/>
    <x v="164"/>
    <x v="5"/>
  </r>
  <r>
    <x v="501"/>
    <x v="83"/>
    <x v="4"/>
    <x v="0"/>
    <x v="13"/>
    <x v="4"/>
    <x v="3"/>
    <x v="20"/>
    <x v="5"/>
  </r>
  <r>
    <x v="502"/>
    <x v="20"/>
    <x v="0"/>
    <x v="13"/>
    <x v="132"/>
    <x v="0"/>
    <x v="1"/>
    <x v="165"/>
    <x v="5"/>
  </r>
  <r>
    <x v="503"/>
    <x v="78"/>
    <x v="20"/>
    <x v="4"/>
    <x v="46"/>
    <x v="8"/>
    <x v="0"/>
    <x v="95"/>
    <x v="5"/>
  </r>
  <r>
    <x v="504"/>
    <x v="26"/>
    <x v="4"/>
    <x v="0"/>
    <x v="51"/>
    <x v="8"/>
    <x v="1"/>
    <x v="118"/>
    <x v="5"/>
  </r>
  <r>
    <x v="505"/>
    <x v="79"/>
    <x v="9"/>
    <x v="0"/>
    <x v="116"/>
    <x v="5"/>
    <x v="10"/>
    <x v="76"/>
    <x v="5"/>
  </r>
  <r>
    <x v="506"/>
    <x v="61"/>
    <x v="17"/>
    <x v="2"/>
    <x v="137"/>
    <x v="8"/>
    <x v="1"/>
    <x v="35"/>
    <x v="5"/>
  </r>
  <r>
    <x v="507"/>
    <x v="16"/>
    <x v="2"/>
    <x v="3"/>
    <x v="3"/>
    <x v="3"/>
    <x v="2"/>
    <x v="46"/>
    <x v="5"/>
  </r>
  <r>
    <x v="508"/>
    <x v="88"/>
    <x v="2"/>
    <x v="5"/>
    <x v="53"/>
    <x v="1"/>
    <x v="1"/>
    <x v="166"/>
    <x v="5"/>
  </r>
  <r>
    <x v="509"/>
    <x v="62"/>
    <x v="17"/>
    <x v="3"/>
    <x v="38"/>
    <x v="0"/>
    <x v="3"/>
    <x v="167"/>
    <x v="5"/>
  </r>
  <r>
    <x v="510"/>
    <x v="85"/>
    <x v="0"/>
    <x v="3"/>
    <x v="36"/>
    <x v="1"/>
    <x v="2"/>
    <x v="12"/>
    <x v="5"/>
  </r>
  <r>
    <x v="511"/>
    <x v="39"/>
    <x v="17"/>
    <x v="6"/>
    <x v="28"/>
    <x v="0"/>
    <x v="9"/>
    <x v="88"/>
    <x v="5"/>
  </r>
  <r>
    <x v="512"/>
    <x v="2"/>
    <x v="2"/>
    <x v="6"/>
    <x v="2"/>
    <x v="8"/>
    <x v="9"/>
    <x v="82"/>
    <x v="5"/>
  </r>
  <r>
    <x v="513"/>
    <x v="58"/>
    <x v="2"/>
    <x v="4"/>
    <x v="138"/>
    <x v="8"/>
    <x v="9"/>
    <x v="36"/>
    <x v="5"/>
  </r>
  <r>
    <x v="514"/>
    <x v="65"/>
    <x v="4"/>
    <x v="7"/>
    <x v="131"/>
    <x v="5"/>
    <x v="5"/>
    <x v="11"/>
    <x v="5"/>
  </r>
  <r>
    <x v="515"/>
    <x v="1"/>
    <x v="19"/>
    <x v="7"/>
    <x v="19"/>
    <x v="2"/>
    <x v="3"/>
    <x v="168"/>
    <x v="5"/>
  </r>
  <r>
    <x v="516"/>
    <x v="81"/>
    <x v="9"/>
    <x v="8"/>
    <x v="51"/>
    <x v="9"/>
    <x v="11"/>
    <x v="36"/>
    <x v="5"/>
  </r>
  <r>
    <x v="517"/>
    <x v="34"/>
    <x v="2"/>
    <x v="7"/>
    <x v="45"/>
    <x v="1"/>
    <x v="6"/>
    <x v="151"/>
    <x v="5"/>
  </r>
  <r>
    <x v="518"/>
    <x v="53"/>
    <x v="13"/>
    <x v="9"/>
    <x v="139"/>
    <x v="3"/>
    <x v="2"/>
    <x v="10"/>
    <x v="5"/>
  </r>
  <r>
    <x v="519"/>
    <x v="45"/>
    <x v="0"/>
    <x v="6"/>
    <x v="51"/>
    <x v="11"/>
    <x v="1"/>
    <x v="169"/>
    <x v="5"/>
  </r>
  <r>
    <x v="520"/>
    <x v="23"/>
    <x v="0"/>
    <x v="13"/>
    <x v="51"/>
    <x v="2"/>
    <x v="3"/>
    <x v="85"/>
    <x v="5"/>
  </r>
  <r>
    <x v="521"/>
    <x v="7"/>
    <x v="20"/>
    <x v="6"/>
    <x v="115"/>
    <x v="1"/>
    <x v="6"/>
    <x v="86"/>
    <x v="5"/>
  </r>
  <r>
    <x v="522"/>
    <x v="10"/>
    <x v="19"/>
    <x v="8"/>
    <x v="22"/>
    <x v="2"/>
    <x v="4"/>
    <x v="92"/>
    <x v="5"/>
  </r>
  <r>
    <x v="523"/>
    <x v="49"/>
    <x v="8"/>
    <x v="3"/>
    <x v="135"/>
    <x v="16"/>
    <x v="19"/>
    <x v="34"/>
    <x v="5"/>
  </r>
  <r>
    <x v="524"/>
    <x v="47"/>
    <x v="0"/>
    <x v="11"/>
    <x v="140"/>
    <x v="4"/>
    <x v="3"/>
    <x v="117"/>
    <x v="5"/>
  </r>
  <r>
    <x v="525"/>
    <x v="72"/>
    <x v="7"/>
    <x v="4"/>
    <x v="38"/>
    <x v="0"/>
    <x v="4"/>
    <x v="76"/>
    <x v="5"/>
  </r>
  <r>
    <x v="526"/>
    <x v="6"/>
    <x v="14"/>
    <x v="6"/>
    <x v="15"/>
    <x v="9"/>
    <x v="1"/>
    <x v="170"/>
    <x v="5"/>
  </r>
  <r>
    <x v="527"/>
    <x v="23"/>
    <x v="17"/>
    <x v="4"/>
    <x v="141"/>
    <x v="2"/>
    <x v="4"/>
    <x v="82"/>
    <x v="5"/>
  </r>
  <r>
    <x v="528"/>
    <x v="91"/>
    <x v="9"/>
    <x v="7"/>
    <x v="13"/>
    <x v="0"/>
    <x v="3"/>
    <x v="41"/>
    <x v="5"/>
  </r>
  <r>
    <x v="529"/>
    <x v="94"/>
    <x v="5"/>
    <x v="12"/>
    <x v="39"/>
    <x v="8"/>
    <x v="0"/>
    <x v="9"/>
    <x v="5"/>
  </r>
  <r>
    <x v="530"/>
    <x v="99"/>
    <x v="2"/>
    <x v="5"/>
    <x v="142"/>
    <x v="5"/>
    <x v="6"/>
    <x v="82"/>
    <x v="5"/>
  </r>
  <r>
    <x v="531"/>
    <x v="97"/>
    <x v="13"/>
    <x v="4"/>
    <x v="8"/>
    <x v="0"/>
    <x v="9"/>
    <x v="1"/>
    <x v="5"/>
  </r>
  <r>
    <x v="532"/>
    <x v="54"/>
    <x v="9"/>
    <x v="7"/>
    <x v="0"/>
    <x v="0"/>
    <x v="9"/>
    <x v="57"/>
    <x v="5"/>
  </r>
  <r>
    <x v="533"/>
    <x v="98"/>
    <x v="13"/>
    <x v="9"/>
    <x v="78"/>
    <x v="9"/>
    <x v="2"/>
    <x v="86"/>
    <x v="5"/>
  </r>
  <r>
    <x v="534"/>
    <x v="17"/>
    <x v="19"/>
    <x v="0"/>
    <x v="77"/>
    <x v="0"/>
    <x v="1"/>
    <x v="11"/>
    <x v="5"/>
  </r>
  <r>
    <x v="535"/>
    <x v="31"/>
    <x v="5"/>
    <x v="0"/>
    <x v="39"/>
    <x v="2"/>
    <x v="3"/>
    <x v="0"/>
    <x v="5"/>
  </r>
  <r>
    <x v="536"/>
    <x v="14"/>
    <x v="9"/>
    <x v="13"/>
    <x v="125"/>
    <x v="2"/>
    <x v="0"/>
    <x v="52"/>
    <x v="5"/>
  </r>
  <r>
    <x v="537"/>
    <x v="64"/>
    <x v="13"/>
    <x v="4"/>
    <x v="52"/>
    <x v="2"/>
    <x v="0"/>
    <x v="35"/>
    <x v="5"/>
  </r>
  <r>
    <x v="538"/>
    <x v="25"/>
    <x v="17"/>
    <x v="6"/>
    <x v="22"/>
    <x v="0"/>
    <x v="3"/>
    <x v="171"/>
    <x v="5"/>
  </r>
  <r>
    <x v="539"/>
    <x v="22"/>
    <x v="2"/>
    <x v="9"/>
    <x v="143"/>
    <x v="4"/>
    <x v="3"/>
    <x v="92"/>
    <x v="5"/>
  </r>
  <r>
    <x v="540"/>
    <x v="48"/>
    <x v="6"/>
    <x v="4"/>
    <x v="100"/>
    <x v="2"/>
    <x v="3"/>
    <x v="82"/>
    <x v="5"/>
  </r>
  <r>
    <x v="541"/>
    <x v="9"/>
    <x v="20"/>
    <x v="5"/>
    <x v="3"/>
    <x v="13"/>
    <x v="10"/>
    <x v="172"/>
    <x v="5"/>
  </r>
  <r>
    <x v="542"/>
    <x v="71"/>
    <x v="7"/>
    <x v="4"/>
    <x v="77"/>
    <x v="11"/>
    <x v="6"/>
    <x v="152"/>
    <x v="6"/>
  </r>
  <r>
    <x v="543"/>
    <x v="95"/>
    <x v="13"/>
    <x v="4"/>
    <x v="45"/>
    <x v="4"/>
    <x v="3"/>
    <x v="7"/>
    <x v="6"/>
  </r>
  <r>
    <x v="544"/>
    <x v="1"/>
    <x v="11"/>
    <x v="6"/>
    <x v="4"/>
    <x v="1"/>
    <x v="5"/>
    <x v="7"/>
    <x v="6"/>
  </r>
  <r>
    <x v="545"/>
    <x v="63"/>
    <x v="16"/>
    <x v="3"/>
    <x v="0"/>
    <x v="4"/>
    <x v="3"/>
    <x v="5"/>
    <x v="6"/>
  </r>
  <r>
    <x v="546"/>
    <x v="24"/>
    <x v="0"/>
    <x v="11"/>
    <x v="37"/>
    <x v="14"/>
    <x v="11"/>
    <x v="43"/>
    <x v="6"/>
  </r>
  <r>
    <x v="547"/>
    <x v="0"/>
    <x v="7"/>
    <x v="3"/>
    <x v="66"/>
    <x v="9"/>
    <x v="11"/>
    <x v="27"/>
    <x v="6"/>
  </r>
  <r>
    <x v="548"/>
    <x v="18"/>
    <x v="18"/>
    <x v="6"/>
    <x v="87"/>
    <x v="0"/>
    <x v="4"/>
    <x v="84"/>
    <x v="6"/>
  </r>
  <r>
    <x v="549"/>
    <x v="72"/>
    <x v="8"/>
    <x v="12"/>
    <x v="72"/>
    <x v="8"/>
    <x v="0"/>
    <x v="80"/>
    <x v="6"/>
  </r>
  <r>
    <x v="550"/>
    <x v="77"/>
    <x v="20"/>
    <x v="5"/>
    <x v="144"/>
    <x v="8"/>
    <x v="1"/>
    <x v="10"/>
    <x v="6"/>
  </r>
  <r>
    <x v="551"/>
    <x v="21"/>
    <x v="4"/>
    <x v="7"/>
    <x v="24"/>
    <x v="6"/>
    <x v="3"/>
    <x v="136"/>
    <x v="6"/>
  </r>
  <r>
    <x v="552"/>
    <x v="42"/>
    <x v="1"/>
    <x v="7"/>
    <x v="35"/>
    <x v="2"/>
    <x v="3"/>
    <x v="24"/>
    <x v="6"/>
  </r>
  <r>
    <x v="553"/>
    <x v="73"/>
    <x v="5"/>
    <x v="13"/>
    <x v="21"/>
    <x v="0"/>
    <x v="3"/>
    <x v="101"/>
    <x v="6"/>
  </r>
  <r>
    <x v="554"/>
    <x v="4"/>
    <x v="20"/>
    <x v="9"/>
    <x v="112"/>
    <x v="5"/>
    <x v="6"/>
    <x v="35"/>
    <x v="6"/>
  </r>
  <r>
    <x v="555"/>
    <x v="61"/>
    <x v="11"/>
    <x v="3"/>
    <x v="2"/>
    <x v="13"/>
    <x v="3"/>
    <x v="124"/>
    <x v="6"/>
  </r>
  <r>
    <x v="556"/>
    <x v="88"/>
    <x v="13"/>
    <x v="14"/>
    <x v="41"/>
    <x v="0"/>
    <x v="4"/>
    <x v="173"/>
    <x v="6"/>
  </r>
  <r>
    <x v="557"/>
    <x v="13"/>
    <x v="11"/>
    <x v="3"/>
    <x v="45"/>
    <x v="1"/>
    <x v="9"/>
    <x v="1"/>
    <x v="6"/>
  </r>
  <r>
    <x v="558"/>
    <x v="68"/>
    <x v="20"/>
    <x v="4"/>
    <x v="8"/>
    <x v="2"/>
    <x v="9"/>
    <x v="5"/>
    <x v="6"/>
  </r>
  <r>
    <x v="559"/>
    <x v="65"/>
    <x v="5"/>
    <x v="8"/>
    <x v="21"/>
    <x v="4"/>
    <x v="3"/>
    <x v="62"/>
    <x v="6"/>
  </r>
  <r>
    <x v="560"/>
    <x v="86"/>
    <x v="0"/>
    <x v="13"/>
    <x v="131"/>
    <x v="3"/>
    <x v="2"/>
    <x v="98"/>
    <x v="6"/>
  </r>
  <r>
    <x v="561"/>
    <x v="37"/>
    <x v="0"/>
    <x v="3"/>
    <x v="42"/>
    <x v="2"/>
    <x v="0"/>
    <x v="12"/>
    <x v="6"/>
  </r>
  <r>
    <x v="562"/>
    <x v="97"/>
    <x v="13"/>
    <x v="4"/>
    <x v="52"/>
    <x v="1"/>
    <x v="5"/>
    <x v="77"/>
    <x v="6"/>
  </r>
  <r>
    <x v="563"/>
    <x v="56"/>
    <x v="0"/>
    <x v="0"/>
    <x v="59"/>
    <x v="1"/>
    <x v="2"/>
    <x v="144"/>
    <x v="6"/>
  </r>
  <r>
    <x v="564"/>
    <x v="70"/>
    <x v="1"/>
    <x v="0"/>
    <x v="77"/>
    <x v="0"/>
    <x v="0"/>
    <x v="47"/>
    <x v="6"/>
  </r>
  <r>
    <x v="565"/>
    <x v="98"/>
    <x v="13"/>
    <x v="14"/>
    <x v="52"/>
    <x v="0"/>
    <x v="4"/>
    <x v="148"/>
    <x v="6"/>
  </r>
  <r>
    <x v="566"/>
    <x v="19"/>
    <x v="1"/>
    <x v="4"/>
    <x v="5"/>
    <x v="0"/>
    <x v="6"/>
    <x v="101"/>
    <x v="6"/>
  </r>
  <r>
    <x v="567"/>
    <x v="29"/>
    <x v="4"/>
    <x v="7"/>
    <x v="59"/>
    <x v="6"/>
    <x v="3"/>
    <x v="76"/>
    <x v="6"/>
  </r>
  <r>
    <x v="568"/>
    <x v="58"/>
    <x v="11"/>
    <x v="3"/>
    <x v="8"/>
    <x v="13"/>
    <x v="3"/>
    <x v="174"/>
    <x v="6"/>
  </r>
  <r>
    <x v="569"/>
    <x v="25"/>
    <x v="18"/>
    <x v="9"/>
    <x v="90"/>
    <x v="2"/>
    <x v="0"/>
    <x v="35"/>
    <x v="6"/>
  </r>
  <r>
    <x v="570"/>
    <x v="50"/>
    <x v="14"/>
    <x v="3"/>
    <x v="14"/>
    <x v="1"/>
    <x v="5"/>
    <x v="11"/>
    <x v="6"/>
  </r>
  <r>
    <x v="571"/>
    <x v="9"/>
    <x v="20"/>
    <x v="6"/>
    <x v="84"/>
    <x v="8"/>
    <x v="1"/>
    <x v="58"/>
    <x v="6"/>
  </r>
  <r>
    <x v="572"/>
    <x v="12"/>
    <x v="4"/>
    <x v="7"/>
    <x v="103"/>
    <x v="13"/>
    <x v="3"/>
    <x v="99"/>
    <x v="6"/>
  </r>
  <r>
    <x v="573"/>
    <x v="87"/>
    <x v="0"/>
    <x v="3"/>
    <x v="124"/>
    <x v="5"/>
    <x v="9"/>
    <x v="152"/>
    <x v="6"/>
  </r>
  <r>
    <x v="574"/>
    <x v="93"/>
    <x v="1"/>
    <x v="3"/>
    <x v="62"/>
    <x v="8"/>
    <x v="4"/>
    <x v="98"/>
    <x v="6"/>
  </r>
  <r>
    <x v="575"/>
    <x v="27"/>
    <x v="10"/>
    <x v="0"/>
    <x v="145"/>
    <x v="0"/>
    <x v="0"/>
    <x v="25"/>
    <x v="6"/>
  </r>
  <r>
    <x v="576"/>
    <x v="83"/>
    <x v="4"/>
    <x v="0"/>
    <x v="58"/>
    <x v="2"/>
    <x v="9"/>
    <x v="27"/>
    <x v="6"/>
  </r>
  <r>
    <x v="577"/>
    <x v="49"/>
    <x v="16"/>
    <x v="0"/>
    <x v="24"/>
    <x v="1"/>
    <x v="5"/>
    <x v="0"/>
    <x v="6"/>
  </r>
  <r>
    <x v="578"/>
    <x v="14"/>
    <x v="9"/>
    <x v="0"/>
    <x v="0"/>
    <x v="0"/>
    <x v="4"/>
    <x v="38"/>
    <x v="6"/>
  </r>
  <r>
    <x v="579"/>
    <x v="31"/>
    <x v="4"/>
    <x v="7"/>
    <x v="24"/>
    <x v="11"/>
    <x v="4"/>
    <x v="96"/>
    <x v="6"/>
  </r>
  <r>
    <x v="580"/>
    <x v="51"/>
    <x v="13"/>
    <x v="4"/>
    <x v="12"/>
    <x v="5"/>
    <x v="2"/>
    <x v="73"/>
    <x v="6"/>
  </r>
  <r>
    <x v="581"/>
    <x v="85"/>
    <x v="0"/>
    <x v="6"/>
    <x v="31"/>
    <x v="2"/>
    <x v="4"/>
    <x v="105"/>
    <x v="6"/>
  </r>
  <r>
    <x v="582"/>
    <x v="96"/>
    <x v="6"/>
    <x v="9"/>
    <x v="121"/>
    <x v="5"/>
    <x v="5"/>
    <x v="71"/>
    <x v="6"/>
  </r>
  <r>
    <x v="583"/>
    <x v="26"/>
    <x v="9"/>
    <x v="0"/>
    <x v="10"/>
    <x v="9"/>
    <x v="11"/>
    <x v="35"/>
    <x v="6"/>
  </r>
  <r>
    <x v="584"/>
    <x v="59"/>
    <x v="4"/>
    <x v="3"/>
    <x v="21"/>
    <x v="13"/>
    <x v="3"/>
    <x v="127"/>
    <x v="6"/>
  </r>
  <r>
    <x v="585"/>
    <x v="57"/>
    <x v="4"/>
    <x v="8"/>
    <x v="103"/>
    <x v="8"/>
    <x v="0"/>
    <x v="38"/>
    <x v="6"/>
  </r>
  <r>
    <x v="586"/>
    <x v="55"/>
    <x v="9"/>
    <x v="12"/>
    <x v="59"/>
    <x v="11"/>
    <x v="1"/>
    <x v="108"/>
    <x v="6"/>
  </r>
  <r>
    <x v="587"/>
    <x v="79"/>
    <x v="5"/>
    <x v="13"/>
    <x v="42"/>
    <x v="1"/>
    <x v="2"/>
    <x v="108"/>
    <x v="6"/>
  </r>
  <r>
    <x v="588"/>
    <x v="67"/>
    <x v="4"/>
    <x v="8"/>
    <x v="70"/>
    <x v="11"/>
    <x v="6"/>
    <x v="175"/>
    <x v="6"/>
  </r>
  <r>
    <x v="589"/>
    <x v="62"/>
    <x v="18"/>
    <x v="5"/>
    <x v="90"/>
    <x v="0"/>
    <x v="3"/>
    <x v="100"/>
    <x v="6"/>
  </r>
  <r>
    <x v="590"/>
    <x v="33"/>
    <x v="11"/>
    <x v="5"/>
    <x v="52"/>
    <x v="7"/>
    <x v="7"/>
    <x v="10"/>
    <x v="6"/>
  </r>
  <r>
    <x v="591"/>
    <x v="52"/>
    <x v="5"/>
    <x v="0"/>
    <x v="51"/>
    <x v="12"/>
    <x v="12"/>
    <x v="15"/>
    <x v="6"/>
  </r>
  <r>
    <x v="592"/>
    <x v="46"/>
    <x v="7"/>
    <x v="7"/>
    <x v="36"/>
    <x v="12"/>
    <x v="11"/>
    <x v="92"/>
    <x v="6"/>
  </r>
  <r>
    <x v="593"/>
    <x v="82"/>
    <x v="13"/>
    <x v="4"/>
    <x v="12"/>
    <x v="13"/>
    <x v="3"/>
    <x v="32"/>
    <x v="6"/>
  </r>
  <r>
    <x v="594"/>
    <x v="48"/>
    <x v="6"/>
    <x v="5"/>
    <x v="146"/>
    <x v="8"/>
    <x v="1"/>
    <x v="140"/>
    <x v="6"/>
  </r>
  <r>
    <x v="595"/>
    <x v="35"/>
    <x v="0"/>
    <x v="5"/>
    <x v="124"/>
    <x v="7"/>
    <x v="6"/>
    <x v="176"/>
    <x v="6"/>
  </r>
  <r>
    <x v="596"/>
    <x v="22"/>
    <x v="18"/>
    <x v="6"/>
    <x v="92"/>
    <x v="1"/>
    <x v="10"/>
    <x v="41"/>
    <x v="6"/>
  </r>
  <r>
    <x v="597"/>
    <x v="89"/>
    <x v="1"/>
    <x v="6"/>
    <x v="14"/>
    <x v="11"/>
    <x v="0"/>
    <x v="84"/>
    <x v="6"/>
  </r>
  <r>
    <x v="598"/>
    <x v="84"/>
    <x v="4"/>
    <x v="13"/>
    <x v="72"/>
    <x v="8"/>
    <x v="0"/>
    <x v="127"/>
    <x v="6"/>
  </r>
  <r>
    <x v="599"/>
    <x v="16"/>
    <x v="18"/>
    <x v="6"/>
    <x v="105"/>
    <x v="1"/>
    <x v="4"/>
    <x v="151"/>
    <x v="6"/>
  </r>
  <r>
    <x v="600"/>
    <x v="60"/>
    <x v="3"/>
    <x v="5"/>
    <x v="144"/>
    <x v="7"/>
    <x v="10"/>
    <x v="25"/>
    <x v="6"/>
  </r>
  <r>
    <x v="601"/>
    <x v="39"/>
    <x v="1"/>
    <x v="7"/>
    <x v="14"/>
    <x v="3"/>
    <x v="10"/>
    <x v="77"/>
    <x v="6"/>
  </r>
  <r>
    <x v="602"/>
    <x v="44"/>
    <x v="4"/>
    <x v="0"/>
    <x v="86"/>
    <x v="0"/>
    <x v="4"/>
    <x v="4"/>
    <x v="6"/>
  </r>
  <r>
    <x v="603"/>
    <x v="38"/>
    <x v="0"/>
    <x v="11"/>
    <x v="147"/>
    <x v="5"/>
    <x v="5"/>
    <x v="62"/>
    <x v="6"/>
  </r>
  <r>
    <x v="604"/>
    <x v="5"/>
    <x v="1"/>
    <x v="0"/>
    <x v="16"/>
    <x v="1"/>
    <x v="5"/>
    <x v="83"/>
    <x v="6"/>
  </r>
  <r>
    <x v="605"/>
    <x v="28"/>
    <x v="1"/>
    <x v="6"/>
    <x v="5"/>
    <x v="15"/>
    <x v="12"/>
    <x v="47"/>
    <x v="6"/>
  </r>
  <r>
    <x v="606"/>
    <x v="41"/>
    <x v="6"/>
    <x v="3"/>
    <x v="17"/>
    <x v="2"/>
    <x v="9"/>
    <x v="165"/>
    <x v="6"/>
  </r>
  <r>
    <x v="607"/>
    <x v="8"/>
    <x v="15"/>
    <x v="9"/>
    <x v="45"/>
    <x v="7"/>
    <x v="2"/>
    <x v="97"/>
    <x v="6"/>
  </r>
  <r>
    <x v="608"/>
    <x v="69"/>
    <x v="5"/>
    <x v="13"/>
    <x v="24"/>
    <x v="0"/>
    <x v="0"/>
    <x v="61"/>
    <x v="6"/>
  </r>
  <r>
    <x v="609"/>
    <x v="54"/>
    <x v="4"/>
    <x v="0"/>
    <x v="109"/>
    <x v="5"/>
    <x v="6"/>
    <x v="177"/>
    <x v="6"/>
  </r>
  <r>
    <x v="610"/>
    <x v="2"/>
    <x v="11"/>
    <x v="7"/>
    <x v="138"/>
    <x v="0"/>
    <x v="1"/>
    <x v="92"/>
    <x v="6"/>
  </r>
  <r>
    <x v="611"/>
    <x v="78"/>
    <x v="13"/>
    <x v="4"/>
    <x v="91"/>
    <x v="13"/>
    <x v="3"/>
    <x v="178"/>
    <x v="6"/>
  </r>
  <r>
    <x v="612"/>
    <x v="15"/>
    <x v="0"/>
    <x v="5"/>
    <x v="36"/>
    <x v="13"/>
    <x v="3"/>
    <x v="57"/>
    <x v="6"/>
  </r>
  <r>
    <x v="613"/>
    <x v="6"/>
    <x v="11"/>
    <x v="9"/>
    <x v="82"/>
    <x v="3"/>
    <x v="2"/>
    <x v="58"/>
    <x v="6"/>
  </r>
  <r>
    <x v="614"/>
    <x v="94"/>
    <x v="9"/>
    <x v="0"/>
    <x v="59"/>
    <x v="9"/>
    <x v="11"/>
    <x v="105"/>
    <x v="6"/>
  </r>
  <r>
    <x v="615"/>
    <x v="3"/>
    <x v="13"/>
    <x v="4"/>
    <x v="12"/>
    <x v="9"/>
    <x v="1"/>
    <x v="91"/>
    <x v="6"/>
  </r>
  <r>
    <x v="616"/>
    <x v="99"/>
    <x v="18"/>
    <x v="9"/>
    <x v="6"/>
    <x v="4"/>
    <x v="4"/>
    <x v="108"/>
    <x v="6"/>
  </r>
  <r>
    <x v="617"/>
    <x v="53"/>
    <x v="20"/>
    <x v="4"/>
    <x v="4"/>
    <x v="12"/>
    <x v="15"/>
    <x v="42"/>
    <x v="6"/>
  </r>
  <r>
    <x v="618"/>
    <x v="40"/>
    <x v="11"/>
    <x v="6"/>
    <x v="112"/>
    <x v="8"/>
    <x v="6"/>
    <x v="101"/>
    <x v="6"/>
  </r>
  <r>
    <x v="619"/>
    <x v="20"/>
    <x v="0"/>
    <x v="0"/>
    <x v="21"/>
    <x v="4"/>
    <x v="3"/>
    <x v="95"/>
    <x v="6"/>
  </r>
  <r>
    <x v="620"/>
    <x v="81"/>
    <x v="5"/>
    <x v="15"/>
    <x v="125"/>
    <x v="0"/>
    <x v="1"/>
    <x v="1"/>
    <x v="6"/>
  </r>
  <r>
    <x v="621"/>
    <x v="23"/>
    <x v="1"/>
    <x v="0"/>
    <x v="62"/>
    <x v="8"/>
    <x v="6"/>
    <x v="20"/>
    <x v="6"/>
  </r>
  <r>
    <x v="622"/>
    <x v="75"/>
    <x v="1"/>
    <x v="0"/>
    <x v="9"/>
    <x v="2"/>
    <x v="3"/>
    <x v="41"/>
    <x v="6"/>
  </r>
  <r>
    <x v="623"/>
    <x v="43"/>
    <x v="0"/>
    <x v="12"/>
    <x v="103"/>
    <x v="0"/>
    <x v="4"/>
    <x v="92"/>
    <x v="6"/>
  </r>
  <r>
    <x v="624"/>
    <x v="80"/>
    <x v="6"/>
    <x v="4"/>
    <x v="121"/>
    <x v="5"/>
    <x v="1"/>
    <x v="83"/>
    <x v="6"/>
  </r>
  <r>
    <x v="625"/>
    <x v="66"/>
    <x v="13"/>
    <x v="14"/>
    <x v="33"/>
    <x v="4"/>
    <x v="3"/>
    <x v="101"/>
    <x v="6"/>
  </r>
  <r>
    <x v="626"/>
    <x v="11"/>
    <x v="9"/>
    <x v="0"/>
    <x v="24"/>
    <x v="8"/>
    <x v="9"/>
    <x v="74"/>
    <x v="6"/>
  </r>
  <r>
    <x v="627"/>
    <x v="36"/>
    <x v="4"/>
    <x v="8"/>
    <x v="70"/>
    <x v="5"/>
    <x v="5"/>
    <x v="11"/>
    <x v="6"/>
  </r>
  <r>
    <x v="628"/>
    <x v="30"/>
    <x v="6"/>
    <x v="4"/>
    <x v="105"/>
    <x v="6"/>
    <x v="3"/>
    <x v="47"/>
    <x v="6"/>
  </r>
  <r>
    <x v="629"/>
    <x v="29"/>
    <x v="9"/>
    <x v="0"/>
    <x v="109"/>
    <x v="8"/>
    <x v="1"/>
    <x v="119"/>
    <x v="7"/>
  </r>
  <r>
    <x v="630"/>
    <x v="37"/>
    <x v="0"/>
    <x v="3"/>
    <x v="116"/>
    <x v="7"/>
    <x v="11"/>
    <x v="69"/>
    <x v="7"/>
  </r>
  <r>
    <x v="631"/>
    <x v="90"/>
    <x v="13"/>
    <x v="4"/>
    <x v="7"/>
    <x v="11"/>
    <x v="4"/>
    <x v="34"/>
    <x v="7"/>
  </r>
  <r>
    <x v="632"/>
    <x v="47"/>
    <x v="0"/>
    <x v="12"/>
    <x v="21"/>
    <x v="0"/>
    <x v="9"/>
    <x v="14"/>
    <x v="7"/>
  </r>
  <r>
    <x v="633"/>
    <x v="6"/>
    <x v="17"/>
    <x v="4"/>
    <x v="44"/>
    <x v="5"/>
    <x v="10"/>
    <x v="6"/>
    <x v="7"/>
  </r>
  <r>
    <x v="634"/>
    <x v="24"/>
    <x v="0"/>
    <x v="13"/>
    <x v="72"/>
    <x v="0"/>
    <x v="3"/>
    <x v="105"/>
    <x v="7"/>
  </r>
  <r>
    <x v="635"/>
    <x v="22"/>
    <x v="2"/>
    <x v="6"/>
    <x v="2"/>
    <x v="11"/>
    <x v="0"/>
    <x v="96"/>
    <x v="7"/>
  </r>
  <r>
    <x v="636"/>
    <x v="73"/>
    <x v="5"/>
    <x v="0"/>
    <x v="54"/>
    <x v="2"/>
    <x v="3"/>
    <x v="43"/>
    <x v="7"/>
  </r>
  <r>
    <x v="637"/>
    <x v="26"/>
    <x v="4"/>
    <x v="13"/>
    <x v="72"/>
    <x v="7"/>
    <x v="2"/>
    <x v="162"/>
    <x v="7"/>
  </r>
  <r>
    <x v="638"/>
    <x v="69"/>
    <x v="4"/>
    <x v="0"/>
    <x v="0"/>
    <x v="3"/>
    <x v="0"/>
    <x v="158"/>
    <x v="7"/>
  </r>
  <r>
    <x v="639"/>
    <x v="15"/>
    <x v="0"/>
    <x v="11"/>
    <x v="21"/>
    <x v="3"/>
    <x v="6"/>
    <x v="179"/>
    <x v="7"/>
  </r>
  <r>
    <x v="640"/>
    <x v="99"/>
    <x v="1"/>
    <x v="7"/>
    <x v="22"/>
    <x v="0"/>
    <x v="9"/>
    <x v="180"/>
    <x v="7"/>
  </r>
  <r>
    <x v="641"/>
    <x v="53"/>
    <x v="3"/>
    <x v="4"/>
    <x v="41"/>
    <x v="11"/>
    <x v="6"/>
    <x v="11"/>
    <x v="7"/>
  </r>
  <r>
    <x v="642"/>
    <x v="34"/>
    <x v="2"/>
    <x v="3"/>
    <x v="148"/>
    <x v="1"/>
    <x v="2"/>
    <x v="162"/>
    <x v="7"/>
  </r>
  <r>
    <x v="643"/>
    <x v="55"/>
    <x v="7"/>
    <x v="0"/>
    <x v="74"/>
    <x v="16"/>
    <x v="19"/>
    <x v="97"/>
    <x v="7"/>
  </r>
  <r>
    <x v="644"/>
    <x v="39"/>
    <x v="17"/>
    <x v="5"/>
    <x v="17"/>
    <x v="5"/>
    <x v="9"/>
    <x v="181"/>
    <x v="7"/>
  </r>
  <r>
    <x v="645"/>
    <x v="42"/>
    <x v="4"/>
    <x v="3"/>
    <x v="25"/>
    <x v="5"/>
    <x v="5"/>
    <x v="57"/>
    <x v="7"/>
  </r>
  <r>
    <x v="646"/>
    <x v="59"/>
    <x v="12"/>
    <x v="7"/>
    <x v="13"/>
    <x v="0"/>
    <x v="9"/>
    <x v="182"/>
    <x v="7"/>
  </r>
  <r>
    <x v="647"/>
    <x v="1"/>
    <x v="17"/>
    <x v="3"/>
    <x v="15"/>
    <x v="8"/>
    <x v="0"/>
    <x v="92"/>
    <x v="7"/>
  </r>
  <r>
    <x v="648"/>
    <x v="57"/>
    <x v="5"/>
    <x v="12"/>
    <x v="0"/>
    <x v="5"/>
    <x v="5"/>
    <x v="183"/>
    <x v="7"/>
  </r>
  <r>
    <x v="649"/>
    <x v="67"/>
    <x v="6"/>
    <x v="6"/>
    <x v="62"/>
    <x v="1"/>
    <x v="5"/>
    <x v="184"/>
    <x v="7"/>
  </r>
  <r>
    <x v="650"/>
    <x v="32"/>
    <x v="2"/>
    <x v="6"/>
    <x v="8"/>
    <x v="8"/>
    <x v="4"/>
    <x v="11"/>
    <x v="7"/>
  </r>
  <r>
    <x v="651"/>
    <x v="77"/>
    <x v="20"/>
    <x v="9"/>
    <x v="82"/>
    <x v="7"/>
    <x v="5"/>
    <x v="185"/>
    <x v="7"/>
  </r>
  <r>
    <x v="652"/>
    <x v="86"/>
    <x v="0"/>
    <x v="8"/>
    <x v="0"/>
    <x v="0"/>
    <x v="9"/>
    <x v="38"/>
    <x v="7"/>
  </r>
  <r>
    <x v="653"/>
    <x v="95"/>
    <x v="2"/>
    <x v="6"/>
    <x v="141"/>
    <x v="5"/>
    <x v="5"/>
    <x v="161"/>
    <x v="7"/>
  </r>
  <r>
    <x v="654"/>
    <x v="33"/>
    <x v="2"/>
    <x v="5"/>
    <x v="44"/>
    <x v="8"/>
    <x v="4"/>
    <x v="87"/>
    <x v="7"/>
  </r>
  <r>
    <x v="655"/>
    <x v="12"/>
    <x v="9"/>
    <x v="12"/>
    <x v="31"/>
    <x v="0"/>
    <x v="0"/>
    <x v="4"/>
    <x v="7"/>
  </r>
  <r>
    <x v="656"/>
    <x v="35"/>
    <x v="0"/>
    <x v="7"/>
    <x v="30"/>
    <x v="8"/>
    <x v="0"/>
    <x v="60"/>
    <x v="7"/>
  </r>
  <r>
    <x v="657"/>
    <x v="83"/>
    <x v="4"/>
    <x v="8"/>
    <x v="21"/>
    <x v="8"/>
    <x v="4"/>
    <x v="60"/>
    <x v="7"/>
  </r>
  <r>
    <x v="658"/>
    <x v="21"/>
    <x v="14"/>
    <x v="7"/>
    <x v="35"/>
    <x v="15"/>
    <x v="13"/>
    <x v="17"/>
    <x v="7"/>
  </r>
  <r>
    <x v="659"/>
    <x v="20"/>
    <x v="7"/>
    <x v="9"/>
    <x v="38"/>
    <x v="0"/>
    <x v="0"/>
    <x v="2"/>
    <x v="7"/>
  </r>
  <r>
    <x v="660"/>
    <x v="38"/>
    <x v="8"/>
    <x v="3"/>
    <x v="86"/>
    <x v="9"/>
    <x v="7"/>
    <x v="73"/>
    <x v="7"/>
  </r>
  <r>
    <x v="661"/>
    <x v="17"/>
    <x v="10"/>
    <x v="6"/>
    <x v="22"/>
    <x v="2"/>
    <x v="3"/>
    <x v="111"/>
    <x v="7"/>
  </r>
  <r>
    <x v="662"/>
    <x v="66"/>
    <x v="20"/>
    <x v="6"/>
    <x v="57"/>
    <x v="5"/>
    <x v="9"/>
    <x v="165"/>
    <x v="7"/>
  </r>
  <r>
    <x v="663"/>
    <x v="36"/>
    <x v="4"/>
    <x v="7"/>
    <x v="149"/>
    <x v="11"/>
    <x v="6"/>
    <x v="144"/>
    <x v="7"/>
  </r>
  <r>
    <x v="664"/>
    <x v="7"/>
    <x v="20"/>
    <x v="4"/>
    <x v="104"/>
    <x v="2"/>
    <x v="4"/>
    <x v="137"/>
    <x v="7"/>
  </r>
  <r>
    <x v="665"/>
    <x v="49"/>
    <x v="9"/>
    <x v="3"/>
    <x v="36"/>
    <x v="8"/>
    <x v="6"/>
    <x v="73"/>
    <x v="7"/>
  </r>
  <r>
    <x v="666"/>
    <x v="61"/>
    <x v="2"/>
    <x v="5"/>
    <x v="102"/>
    <x v="1"/>
    <x v="10"/>
    <x v="10"/>
    <x v="7"/>
  </r>
  <r>
    <x v="667"/>
    <x v="3"/>
    <x v="20"/>
    <x v="6"/>
    <x v="57"/>
    <x v="4"/>
    <x v="3"/>
    <x v="83"/>
    <x v="7"/>
  </r>
  <r>
    <x v="668"/>
    <x v="50"/>
    <x v="2"/>
    <x v="5"/>
    <x v="12"/>
    <x v="5"/>
    <x v="6"/>
    <x v="36"/>
    <x v="7"/>
  </r>
  <r>
    <x v="669"/>
    <x v="87"/>
    <x v="6"/>
    <x v="5"/>
    <x v="150"/>
    <x v="0"/>
    <x v="9"/>
    <x v="2"/>
    <x v="7"/>
  </r>
  <r>
    <x v="670"/>
    <x v="52"/>
    <x v="5"/>
    <x v="8"/>
    <x v="30"/>
    <x v="0"/>
    <x v="0"/>
    <x v="7"/>
    <x v="7"/>
  </r>
  <r>
    <x v="671"/>
    <x v="30"/>
    <x v="6"/>
    <x v="4"/>
    <x v="15"/>
    <x v="13"/>
    <x v="3"/>
    <x v="27"/>
    <x v="7"/>
  </r>
  <r>
    <x v="672"/>
    <x v="27"/>
    <x v="9"/>
    <x v="8"/>
    <x v="70"/>
    <x v="2"/>
    <x v="3"/>
    <x v="42"/>
    <x v="7"/>
  </r>
  <r>
    <x v="673"/>
    <x v="54"/>
    <x v="12"/>
    <x v="0"/>
    <x v="51"/>
    <x v="4"/>
    <x v="3"/>
    <x v="140"/>
    <x v="7"/>
  </r>
  <r>
    <x v="674"/>
    <x v="82"/>
    <x v="15"/>
    <x v="6"/>
    <x v="40"/>
    <x v="9"/>
    <x v="7"/>
    <x v="6"/>
    <x v="7"/>
  </r>
  <r>
    <x v="675"/>
    <x v="70"/>
    <x v="1"/>
    <x v="0"/>
    <x v="14"/>
    <x v="0"/>
    <x v="4"/>
    <x v="186"/>
    <x v="7"/>
  </r>
  <r>
    <x v="676"/>
    <x v="89"/>
    <x v="17"/>
    <x v="6"/>
    <x v="17"/>
    <x v="9"/>
    <x v="7"/>
    <x v="127"/>
    <x v="7"/>
  </r>
  <r>
    <x v="677"/>
    <x v="5"/>
    <x v="1"/>
    <x v="0"/>
    <x v="1"/>
    <x v="13"/>
    <x v="3"/>
    <x v="36"/>
    <x v="7"/>
  </r>
  <r>
    <x v="678"/>
    <x v="84"/>
    <x v="5"/>
    <x v="8"/>
    <x v="0"/>
    <x v="13"/>
    <x v="3"/>
    <x v="127"/>
    <x v="7"/>
  </r>
  <r>
    <x v="679"/>
    <x v="74"/>
    <x v="8"/>
    <x v="8"/>
    <x v="151"/>
    <x v="0"/>
    <x v="3"/>
    <x v="53"/>
    <x v="7"/>
  </r>
  <r>
    <x v="680"/>
    <x v="48"/>
    <x v="6"/>
    <x v="5"/>
    <x v="80"/>
    <x v="2"/>
    <x v="4"/>
    <x v="62"/>
    <x v="7"/>
  </r>
  <r>
    <x v="681"/>
    <x v="2"/>
    <x v="2"/>
    <x v="0"/>
    <x v="152"/>
    <x v="8"/>
    <x v="9"/>
    <x v="167"/>
    <x v="7"/>
  </r>
  <r>
    <x v="682"/>
    <x v="0"/>
    <x v="0"/>
    <x v="6"/>
    <x v="36"/>
    <x v="5"/>
    <x v="0"/>
    <x v="187"/>
    <x v="7"/>
  </r>
  <r>
    <x v="683"/>
    <x v="23"/>
    <x v="1"/>
    <x v="3"/>
    <x v="55"/>
    <x v="2"/>
    <x v="0"/>
    <x v="58"/>
    <x v="7"/>
  </r>
  <r>
    <x v="684"/>
    <x v="28"/>
    <x v="10"/>
    <x v="6"/>
    <x v="14"/>
    <x v="0"/>
    <x v="0"/>
    <x v="73"/>
    <x v="7"/>
  </r>
  <r>
    <x v="685"/>
    <x v="14"/>
    <x v="1"/>
    <x v="6"/>
    <x v="145"/>
    <x v="0"/>
    <x v="4"/>
    <x v="35"/>
    <x v="7"/>
  </r>
  <r>
    <x v="686"/>
    <x v="9"/>
    <x v="13"/>
    <x v="2"/>
    <x v="153"/>
    <x v="1"/>
    <x v="0"/>
    <x v="25"/>
    <x v="7"/>
  </r>
  <r>
    <x v="687"/>
    <x v="25"/>
    <x v="1"/>
    <x v="0"/>
    <x v="133"/>
    <x v="2"/>
    <x v="4"/>
    <x v="39"/>
    <x v="7"/>
  </r>
  <r>
    <x v="688"/>
    <x v="13"/>
    <x v="2"/>
    <x v="5"/>
    <x v="52"/>
    <x v="6"/>
    <x v="3"/>
    <x v="7"/>
    <x v="7"/>
  </r>
  <r>
    <x v="689"/>
    <x v="43"/>
    <x v="0"/>
    <x v="7"/>
    <x v="42"/>
    <x v="4"/>
    <x v="4"/>
    <x v="30"/>
    <x v="7"/>
  </r>
  <r>
    <x v="690"/>
    <x v="80"/>
    <x v="6"/>
    <x v="14"/>
    <x v="77"/>
    <x v="0"/>
    <x v="0"/>
    <x v="188"/>
    <x v="7"/>
  </r>
  <r>
    <x v="691"/>
    <x v="74"/>
    <x v="7"/>
    <x v="5"/>
    <x v="1"/>
    <x v="0"/>
    <x v="3"/>
    <x v="53"/>
    <x v="7"/>
  </r>
  <r>
    <x v="692"/>
    <x v="88"/>
    <x v="13"/>
    <x v="9"/>
    <x v="3"/>
    <x v="8"/>
    <x v="1"/>
    <x v="102"/>
    <x v="7"/>
  </r>
  <r>
    <x v="693"/>
    <x v="92"/>
    <x v="0"/>
    <x v="0"/>
    <x v="35"/>
    <x v="0"/>
    <x v="4"/>
    <x v="96"/>
    <x v="7"/>
  </r>
  <r>
    <x v="694"/>
    <x v="93"/>
    <x v="1"/>
    <x v="6"/>
    <x v="15"/>
    <x v="5"/>
    <x v="1"/>
    <x v="119"/>
    <x v="7"/>
  </r>
  <r>
    <x v="695"/>
    <x v="91"/>
    <x v="5"/>
    <x v="12"/>
    <x v="116"/>
    <x v="2"/>
    <x v="4"/>
    <x v="97"/>
    <x v="7"/>
  </r>
  <r>
    <x v="696"/>
    <x v="58"/>
    <x v="17"/>
    <x v="3"/>
    <x v="145"/>
    <x v="2"/>
    <x v="4"/>
    <x v="98"/>
    <x v="7"/>
  </r>
  <r>
    <x v="697"/>
    <x v="51"/>
    <x v="3"/>
    <x v="5"/>
    <x v="4"/>
    <x v="4"/>
    <x v="3"/>
    <x v="62"/>
    <x v="7"/>
  </r>
  <r>
    <x v="698"/>
    <x v="81"/>
    <x v="4"/>
    <x v="12"/>
    <x v="103"/>
    <x v="4"/>
    <x v="4"/>
    <x v="73"/>
    <x v="7"/>
  </r>
  <r>
    <x v="699"/>
    <x v="97"/>
    <x v="13"/>
    <x v="9"/>
    <x v="152"/>
    <x v="2"/>
    <x v="9"/>
    <x v="51"/>
    <x v="7"/>
  </r>
  <r>
    <x v="700"/>
    <x v="85"/>
    <x v="16"/>
    <x v="4"/>
    <x v="69"/>
    <x v="11"/>
    <x v="1"/>
    <x v="71"/>
    <x v="7"/>
  </r>
  <r>
    <x v="701"/>
    <x v="44"/>
    <x v="4"/>
    <x v="4"/>
    <x v="15"/>
    <x v="2"/>
    <x v="3"/>
    <x v="83"/>
    <x v="7"/>
  </r>
  <r>
    <x v="702"/>
    <x v="62"/>
    <x v="17"/>
    <x v="6"/>
    <x v="101"/>
    <x v="2"/>
    <x v="3"/>
    <x v="189"/>
    <x v="7"/>
  </r>
  <r>
    <x v="703"/>
    <x v="95"/>
    <x v="13"/>
    <x v="5"/>
    <x v="47"/>
    <x v="2"/>
    <x v="4"/>
    <x v="87"/>
    <x v="7"/>
  </r>
  <r>
    <x v="704"/>
    <x v="10"/>
    <x v="6"/>
    <x v="5"/>
    <x v="114"/>
    <x v="13"/>
    <x v="3"/>
    <x v="171"/>
    <x v="7"/>
  </r>
  <r>
    <x v="705"/>
    <x v="65"/>
    <x v="5"/>
    <x v="7"/>
    <x v="36"/>
    <x v="18"/>
    <x v="3"/>
    <x v="47"/>
    <x v="7"/>
  </r>
  <r>
    <x v="706"/>
    <x v="72"/>
    <x v="7"/>
    <x v="7"/>
    <x v="35"/>
    <x v="11"/>
    <x v="1"/>
    <x v="37"/>
    <x v="7"/>
  </r>
  <r>
    <x v="707"/>
    <x v="11"/>
    <x v="12"/>
    <x v="12"/>
    <x v="37"/>
    <x v="2"/>
    <x v="3"/>
    <x v="84"/>
    <x v="7"/>
  </r>
  <r>
    <x v="708"/>
    <x v="10"/>
    <x v="9"/>
    <x v="11"/>
    <x v="98"/>
    <x v="13"/>
    <x v="3"/>
    <x v="110"/>
    <x v="7"/>
  </r>
  <r>
    <x v="709"/>
    <x v="40"/>
    <x v="2"/>
    <x v="9"/>
    <x v="93"/>
    <x v="8"/>
    <x v="1"/>
    <x v="4"/>
    <x v="7"/>
  </r>
  <r>
    <x v="710"/>
    <x v="60"/>
    <x v="13"/>
    <x v="2"/>
    <x v="52"/>
    <x v="13"/>
    <x v="3"/>
    <x v="190"/>
    <x v="7"/>
  </r>
  <r>
    <x v="711"/>
    <x v="19"/>
    <x v="1"/>
    <x v="3"/>
    <x v="66"/>
    <x v="11"/>
    <x v="1"/>
    <x v="4"/>
    <x v="7"/>
  </r>
  <r>
    <x v="712"/>
    <x v="96"/>
    <x v="17"/>
    <x v="6"/>
    <x v="5"/>
    <x v="9"/>
    <x v="7"/>
    <x v="57"/>
    <x v="7"/>
  </r>
  <r>
    <x v="713"/>
    <x v="8"/>
    <x v="15"/>
    <x v="9"/>
    <x v="12"/>
    <x v="13"/>
    <x v="3"/>
    <x v="171"/>
    <x v="7"/>
  </r>
  <r>
    <x v="714"/>
    <x v="31"/>
    <x v="12"/>
    <x v="7"/>
    <x v="32"/>
    <x v="2"/>
    <x v="4"/>
    <x v="62"/>
    <x v="7"/>
  </r>
  <r>
    <x v="715"/>
    <x v="45"/>
    <x v="0"/>
    <x v="5"/>
    <x v="135"/>
    <x v="5"/>
    <x v="5"/>
    <x v="41"/>
    <x v="7"/>
  </r>
  <r>
    <x v="716"/>
    <x v="79"/>
    <x v="9"/>
    <x v="3"/>
    <x v="86"/>
    <x v="4"/>
    <x v="3"/>
    <x v="24"/>
    <x v="7"/>
  </r>
  <r>
    <x v="717"/>
    <x v="39"/>
    <x v="1"/>
    <x v="0"/>
    <x v="22"/>
    <x v="11"/>
    <x v="6"/>
    <x v="92"/>
    <x v="8"/>
  </r>
  <r>
    <x v="718"/>
    <x v="42"/>
    <x v="1"/>
    <x v="3"/>
    <x v="26"/>
    <x v="2"/>
    <x v="3"/>
    <x v="78"/>
    <x v="8"/>
  </r>
  <r>
    <x v="719"/>
    <x v="85"/>
    <x v="12"/>
    <x v="3"/>
    <x v="110"/>
    <x v="4"/>
    <x v="3"/>
    <x v="182"/>
    <x v="8"/>
  </r>
  <r>
    <x v="720"/>
    <x v="21"/>
    <x v="6"/>
    <x v="9"/>
    <x v="121"/>
    <x v="8"/>
    <x v="3"/>
    <x v="50"/>
    <x v="8"/>
  </r>
  <r>
    <x v="721"/>
    <x v="88"/>
    <x v="2"/>
    <x v="5"/>
    <x v="52"/>
    <x v="8"/>
    <x v="9"/>
    <x v="191"/>
    <x v="8"/>
  </r>
  <r>
    <x v="722"/>
    <x v="21"/>
    <x v="1"/>
    <x v="0"/>
    <x v="22"/>
    <x v="2"/>
    <x v="3"/>
    <x v="70"/>
    <x v="8"/>
  </r>
  <r>
    <x v="723"/>
    <x v="22"/>
    <x v="2"/>
    <x v="5"/>
    <x v="47"/>
    <x v="3"/>
    <x v="2"/>
    <x v="17"/>
    <x v="8"/>
  </r>
  <r>
    <x v="724"/>
    <x v="73"/>
    <x v="10"/>
    <x v="0"/>
    <x v="9"/>
    <x v="11"/>
    <x v="1"/>
    <x v="9"/>
    <x v="8"/>
  </r>
  <r>
    <x v="725"/>
    <x v="78"/>
    <x v="3"/>
    <x v="4"/>
    <x v="154"/>
    <x v="2"/>
    <x v="4"/>
    <x v="97"/>
    <x v="8"/>
  </r>
  <r>
    <x v="726"/>
    <x v="23"/>
    <x v="12"/>
    <x v="7"/>
    <x v="0"/>
    <x v="2"/>
    <x v="3"/>
    <x v="10"/>
    <x v="8"/>
  </r>
  <r>
    <x v="727"/>
    <x v="50"/>
    <x v="3"/>
    <x v="6"/>
    <x v="41"/>
    <x v="2"/>
    <x v="3"/>
    <x v="192"/>
    <x v="8"/>
  </r>
  <r>
    <x v="728"/>
    <x v="98"/>
    <x v="3"/>
    <x v="9"/>
    <x v="12"/>
    <x v="7"/>
    <x v="6"/>
    <x v="17"/>
    <x v="8"/>
  </r>
  <r>
    <x v="729"/>
    <x v="15"/>
    <x v="0"/>
    <x v="3"/>
    <x v="149"/>
    <x v="2"/>
    <x v="4"/>
    <x v="193"/>
    <x v="8"/>
  </r>
  <r>
    <x v="730"/>
    <x v="31"/>
    <x v="12"/>
    <x v="7"/>
    <x v="124"/>
    <x v="5"/>
    <x v="6"/>
    <x v="16"/>
    <x v="8"/>
  </r>
  <r>
    <x v="731"/>
    <x v="77"/>
    <x v="3"/>
    <x v="2"/>
    <x v="47"/>
    <x v="5"/>
    <x v="5"/>
    <x v="194"/>
    <x v="8"/>
  </r>
  <r>
    <x v="732"/>
    <x v="44"/>
    <x v="1"/>
    <x v="7"/>
    <x v="14"/>
    <x v="0"/>
    <x v="4"/>
    <x v="135"/>
    <x v="8"/>
  </r>
  <r>
    <x v="733"/>
    <x v="88"/>
    <x v="3"/>
    <x v="4"/>
    <x v="111"/>
    <x v="13"/>
    <x v="3"/>
    <x v="76"/>
    <x v="8"/>
  </r>
  <r>
    <x v="734"/>
    <x v="61"/>
    <x v="2"/>
    <x v="5"/>
    <x v="68"/>
    <x v="8"/>
    <x v="3"/>
    <x v="52"/>
    <x v="8"/>
  </r>
  <r>
    <x v="735"/>
    <x v="14"/>
    <x v="5"/>
    <x v="8"/>
    <x v="109"/>
    <x v="2"/>
    <x v="3"/>
    <x v="24"/>
    <x v="8"/>
  </r>
  <r>
    <x v="736"/>
    <x v="6"/>
    <x v="2"/>
    <x v="6"/>
    <x v="155"/>
    <x v="1"/>
    <x v="2"/>
    <x v="73"/>
    <x v="8"/>
  </r>
  <r>
    <x v="737"/>
    <x v="8"/>
    <x v="3"/>
    <x v="5"/>
    <x v="52"/>
    <x v="11"/>
    <x v="9"/>
    <x v="159"/>
    <x v="8"/>
  </r>
  <r>
    <x v="738"/>
    <x v="94"/>
    <x v="5"/>
    <x v="12"/>
    <x v="125"/>
    <x v="0"/>
    <x v="0"/>
    <x v="74"/>
    <x v="8"/>
  </r>
  <r>
    <x v="739"/>
    <x v="74"/>
    <x v="7"/>
    <x v="6"/>
    <x v="1"/>
    <x v="2"/>
    <x v="4"/>
    <x v="6"/>
    <x v="8"/>
  </r>
  <r>
    <x v="740"/>
    <x v="71"/>
    <x v="0"/>
    <x v="13"/>
    <x v="156"/>
    <x v="11"/>
    <x v="9"/>
    <x v="4"/>
    <x v="8"/>
  </r>
  <r>
    <x v="741"/>
    <x v="85"/>
    <x v="16"/>
    <x v="5"/>
    <x v="11"/>
    <x v="13"/>
    <x v="3"/>
    <x v="31"/>
    <x v="8"/>
  </r>
  <r>
    <x v="742"/>
    <x v="40"/>
    <x v="2"/>
    <x v="5"/>
    <x v="120"/>
    <x v="8"/>
    <x v="0"/>
    <x v="99"/>
    <x v="8"/>
  </r>
  <r>
    <x v="743"/>
    <x v="38"/>
    <x v="12"/>
    <x v="0"/>
    <x v="0"/>
    <x v="4"/>
    <x v="3"/>
    <x v="82"/>
    <x v="8"/>
  </r>
  <r>
    <x v="744"/>
    <x v="36"/>
    <x v="12"/>
    <x v="8"/>
    <x v="10"/>
    <x v="2"/>
    <x v="9"/>
    <x v="2"/>
    <x v="8"/>
  </r>
  <r>
    <x v="745"/>
    <x v="14"/>
    <x v="12"/>
    <x v="6"/>
    <x v="125"/>
    <x v="13"/>
    <x v="3"/>
    <x v="97"/>
    <x v="8"/>
  </r>
  <r>
    <x v="486"/>
    <x v="30"/>
    <x v="6"/>
    <x v="9"/>
    <x v="105"/>
    <x v="14"/>
    <x v="11"/>
    <x v="123"/>
    <x v="8"/>
  </r>
  <r>
    <x v="746"/>
    <x v="96"/>
    <x v="0"/>
    <x v="5"/>
    <x v="19"/>
    <x v="0"/>
    <x v="1"/>
    <x v="0"/>
    <x v="8"/>
  </r>
  <r>
    <x v="747"/>
    <x v="29"/>
    <x v="5"/>
    <x v="13"/>
    <x v="30"/>
    <x v="0"/>
    <x v="4"/>
    <x v="101"/>
    <x v="8"/>
  </r>
  <r>
    <x v="748"/>
    <x v="83"/>
    <x v="12"/>
    <x v="8"/>
    <x v="0"/>
    <x v="4"/>
    <x v="3"/>
    <x v="69"/>
    <x v="8"/>
  </r>
  <r>
    <x v="749"/>
    <x v="11"/>
    <x v="12"/>
    <x v="0"/>
    <x v="13"/>
    <x v="3"/>
    <x v="10"/>
    <x v="190"/>
    <x v="8"/>
  </r>
  <r>
    <x v="750"/>
    <x v="55"/>
    <x v="12"/>
    <x v="0"/>
    <x v="109"/>
    <x v="1"/>
    <x v="5"/>
    <x v="71"/>
    <x v="8"/>
  </r>
  <r>
    <x v="306"/>
    <x v="26"/>
    <x v="12"/>
    <x v="3"/>
    <x v="69"/>
    <x v="0"/>
    <x v="4"/>
    <x v="137"/>
    <x v="8"/>
  </r>
  <r>
    <x v="751"/>
    <x v="53"/>
    <x v="3"/>
    <x v="9"/>
    <x v="108"/>
    <x v="0"/>
    <x v="4"/>
    <x v="39"/>
    <x v="8"/>
  </r>
  <r>
    <x v="752"/>
    <x v="87"/>
    <x v="6"/>
    <x v="2"/>
    <x v="48"/>
    <x v="0"/>
    <x v="4"/>
    <x v="195"/>
    <x v="8"/>
  </r>
  <r>
    <x v="753"/>
    <x v="33"/>
    <x v="1"/>
    <x v="3"/>
    <x v="48"/>
    <x v="0"/>
    <x v="4"/>
    <x v="196"/>
    <x v="8"/>
  </r>
  <r>
    <x v="754"/>
    <x v="54"/>
    <x v="12"/>
    <x v="0"/>
    <x v="25"/>
    <x v="2"/>
    <x v="0"/>
    <x v="61"/>
    <x v="8"/>
  </r>
  <r>
    <x v="755"/>
    <x v="95"/>
    <x v="3"/>
    <x v="4"/>
    <x v="12"/>
    <x v="2"/>
    <x v="3"/>
    <x v="197"/>
    <x v="8"/>
  </r>
  <r>
    <x v="756"/>
    <x v="73"/>
    <x v="12"/>
    <x v="8"/>
    <x v="21"/>
    <x v="0"/>
    <x v="3"/>
    <x v="140"/>
    <x v="8"/>
  </r>
  <r>
    <x v="757"/>
    <x v="13"/>
    <x v="2"/>
    <x v="6"/>
    <x v="46"/>
    <x v="8"/>
    <x v="6"/>
    <x v="31"/>
    <x v="8"/>
  </r>
  <r>
    <x v="758"/>
    <x v="92"/>
    <x v="0"/>
    <x v="0"/>
    <x v="0"/>
    <x v="8"/>
    <x v="3"/>
    <x v="30"/>
    <x v="8"/>
  </r>
  <r>
    <x v="759"/>
    <x v="57"/>
    <x v="12"/>
    <x v="0"/>
    <x v="65"/>
    <x v="5"/>
    <x v="4"/>
    <x v="198"/>
    <x v="8"/>
  </r>
  <r>
    <x v="760"/>
    <x v="59"/>
    <x v="2"/>
    <x v="3"/>
    <x v="97"/>
    <x v="0"/>
    <x v="4"/>
    <x v="155"/>
    <x v="8"/>
  </r>
  <r>
    <x v="761"/>
    <x v="81"/>
    <x v="12"/>
    <x v="7"/>
    <x v="13"/>
    <x v="0"/>
    <x v="0"/>
    <x v="146"/>
    <x v="8"/>
  </r>
  <r>
    <x v="762"/>
    <x v="41"/>
    <x v="6"/>
    <x v="9"/>
    <x v="90"/>
    <x v="2"/>
    <x v="0"/>
    <x v="4"/>
    <x v="8"/>
  </r>
  <r>
    <x v="763"/>
    <x v="51"/>
    <x v="3"/>
    <x v="3"/>
    <x v="8"/>
    <x v="0"/>
    <x v="3"/>
    <x v="53"/>
    <x v="8"/>
  </r>
  <r>
    <x v="764"/>
    <x v="82"/>
    <x v="2"/>
    <x v="4"/>
    <x v="57"/>
    <x v="0"/>
    <x v="9"/>
    <x v="199"/>
    <x v="8"/>
  </r>
  <r>
    <x v="765"/>
    <x v="12"/>
    <x v="5"/>
    <x v="8"/>
    <x v="35"/>
    <x v="8"/>
    <x v="1"/>
    <x v="50"/>
    <x v="8"/>
  </r>
  <r>
    <x v="766"/>
    <x v="0"/>
    <x v="0"/>
    <x v="8"/>
    <x v="147"/>
    <x v="0"/>
    <x v="0"/>
    <x v="146"/>
    <x v="8"/>
  </r>
  <r>
    <x v="767"/>
    <x v="46"/>
    <x v="0"/>
    <x v="0"/>
    <x v="11"/>
    <x v="5"/>
    <x v="6"/>
    <x v="200"/>
    <x v="8"/>
  </r>
  <r>
    <x v="768"/>
    <x v="70"/>
    <x v="1"/>
    <x v="0"/>
    <x v="151"/>
    <x v="5"/>
    <x v="5"/>
    <x v="201"/>
    <x v="8"/>
  </r>
  <r>
    <x v="769"/>
    <x v="18"/>
    <x v="2"/>
    <x v="6"/>
    <x v="5"/>
    <x v="5"/>
    <x v="5"/>
    <x v="108"/>
    <x v="8"/>
  </r>
  <r>
    <x v="770"/>
    <x v="66"/>
    <x v="3"/>
    <x v="3"/>
    <x v="23"/>
    <x v="8"/>
    <x v="0"/>
    <x v="4"/>
    <x v="8"/>
  </r>
  <r>
    <x v="771"/>
    <x v="47"/>
    <x v="0"/>
    <x v="12"/>
    <x v="98"/>
    <x v="2"/>
    <x v="9"/>
    <x v="20"/>
    <x v="8"/>
  </r>
  <r>
    <x v="772"/>
    <x v="86"/>
    <x v="6"/>
    <x v="5"/>
    <x v="15"/>
    <x v="7"/>
    <x v="2"/>
    <x v="202"/>
    <x v="8"/>
  </r>
  <r>
    <x v="773"/>
    <x v="60"/>
    <x v="3"/>
    <x v="6"/>
    <x v="112"/>
    <x v="1"/>
    <x v="5"/>
    <x v="98"/>
    <x v="8"/>
  </r>
  <r>
    <x v="774"/>
    <x v="82"/>
    <x v="2"/>
    <x v="5"/>
    <x v="23"/>
    <x v="9"/>
    <x v="7"/>
    <x v="161"/>
    <x v="8"/>
  </r>
  <r>
    <x v="775"/>
    <x v="56"/>
    <x v="7"/>
    <x v="3"/>
    <x v="19"/>
    <x v="1"/>
    <x v="5"/>
    <x v="38"/>
    <x v="8"/>
  </r>
  <r>
    <x v="776"/>
    <x v="24"/>
    <x v="0"/>
    <x v="7"/>
    <x v="51"/>
    <x v="11"/>
    <x v="6"/>
    <x v="82"/>
    <x v="8"/>
  </r>
  <r>
    <x v="777"/>
    <x v="37"/>
    <x v="0"/>
    <x v="7"/>
    <x v="125"/>
    <x v="1"/>
    <x v="6"/>
    <x v="59"/>
    <x v="8"/>
  </r>
  <r>
    <x v="778"/>
    <x v="58"/>
    <x v="2"/>
    <x v="5"/>
    <x v="15"/>
    <x v="14"/>
    <x v="12"/>
    <x v="20"/>
    <x v="8"/>
  </r>
  <r>
    <x v="779"/>
    <x v="2"/>
    <x v="2"/>
    <x v="4"/>
    <x v="49"/>
    <x v="0"/>
    <x v="3"/>
    <x v="148"/>
    <x v="8"/>
  </r>
  <r>
    <x v="780"/>
    <x v="25"/>
    <x v="1"/>
    <x v="3"/>
    <x v="66"/>
    <x v="6"/>
    <x v="3"/>
    <x v="18"/>
    <x v="8"/>
  </r>
  <r>
    <x v="781"/>
    <x v="72"/>
    <x v="8"/>
    <x v="11"/>
    <x v="58"/>
    <x v="7"/>
    <x v="2"/>
    <x v="146"/>
    <x v="8"/>
  </r>
  <r>
    <x v="782"/>
    <x v="10"/>
    <x v="14"/>
    <x v="6"/>
    <x v="114"/>
    <x v="12"/>
    <x v="10"/>
    <x v="117"/>
    <x v="8"/>
  </r>
  <r>
    <x v="783"/>
    <x v="45"/>
    <x v="0"/>
    <x v="12"/>
    <x v="157"/>
    <x v="0"/>
    <x v="3"/>
    <x v="110"/>
    <x v="8"/>
  </r>
  <r>
    <x v="784"/>
    <x v="48"/>
    <x v="0"/>
    <x v="3"/>
    <x v="65"/>
    <x v="5"/>
    <x v="10"/>
    <x v="107"/>
    <x v="8"/>
  </r>
  <r>
    <x v="785"/>
    <x v="69"/>
    <x v="12"/>
    <x v="13"/>
    <x v="122"/>
    <x v="8"/>
    <x v="1"/>
    <x v="59"/>
    <x v="8"/>
  </r>
  <r>
    <x v="786"/>
    <x v="35"/>
    <x v="7"/>
    <x v="6"/>
    <x v="43"/>
    <x v="7"/>
    <x v="10"/>
    <x v="87"/>
    <x v="8"/>
  </r>
  <r>
    <x v="787"/>
    <x v="97"/>
    <x v="3"/>
    <x v="4"/>
    <x v="33"/>
    <x v="8"/>
    <x v="0"/>
    <x v="203"/>
    <x v="8"/>
  </r>
  <r>
    <x v="788"/>
    <x v="5"/>
    <x v="1"/>
    <x v="7"/>
    <x v="64"/>
    <x v="8"/>
    <x v="6"/>
    <x v="62"/>
    <x v="8"/>
  </r>
  <r>
    <x v="789"/>
    <x v="19"/>
    <x v="2"/>
    <x v="2"/>
    <x v="15"/>
    <x v="0"/>
    <x v="9"/>
    <x v="96"/>
    <x v="8"/>
  </r>
  <r>
    <x v="790"/>
    <x v="63"/>
    <x v="0"/>
    <x v="4"/>
    <x v="39"/>
    <x v="8"/>
    <x v="6"/>
    <x v="4"/>
    <x v="8"/>
  </r>
  <r>
    <x v="791"/>
    <x v="46"/>
    <x v="12"/>
    <x v="3"/>
    <x v="32"/>
    <x v="8"/>
    <x v="4"/>
    <x v="62"/>
    <x v="8"/>
  </r>
  <r>
    <x v="792"/>
    <x v="84"/>
    <x v="12"/>
    <x v="8"/>
    <x v="103"/>
    <x v="11"/>
    <x v="1"/>
    <x v="101"/>
    <x v="8"/>
  </r>
  <r>
    <x v="793"/>
    <x v="62"/>
    <x v="2"/>
    <x v="6"/>
    <x v="55"/>
    <x v="13"/>
    <x v="3"/>
    <x v="204"/>
    <x v="8"/>
  </r>
  <r>
    <x v="794"/>
    <x v="94"/>
    <x v="12"/>
    <x v="3"/>
    <x v="39"/>
    <x v="4"/>
    <x v="3"/>
    <x v="45"/>
    <x v="8"/>
  </r>
  <r>
    <x v="795"/>
    <x v="17"/>
    <x v="1"/>
    <x v="7"/>
    <x v="48"/>
    <x v="9"/>
    <x v="2"/>
    <x v="104"/>
    <x v="8"/>
  </r>
  <r>
    <x v="796"/>
    <x v="9"/>
    <x v="3"/>
    <x v="4"/>
    <x v="68"/>
    <x v="0"/>
    <x v="3"/>
    <x v="5"/>
    <x v="8"/>
  </r>
  <r>
    <x v="797"/>
    <x v="34"/>
    <x v="2"/>
    <x v="5"/>
    <x v="139"/>
    <x v="11"/>
    <x v="4"/>
    <x v="57"/>
    <x v="8"/>
  </r>
  <r>
    <x v="798"/>
    <x v="59"/>
    <x v="6"/>
    <x v="5"/>
    <x v="62"/>
    <x v="2"/>
    <x v="3"/>
    <x v="69"/>
    <x v="8"/>
  </r>
  <r>
    <x v="799"/>
    <x v="57"/>
    <x v="5"/>
    <x v="11"/>
    <x v="109"/>
    <x v="2"/>
    <x v="3"/>
    <x v="205"/>
    <x v="8"/>
  </r>
  <r>
    <x v="800"/>
    <x v="79"/>
    <x v="12"/>
    <x v="8"/>
    <x v="88"/>
    <x v="0"/>
    <x v="0"/>
    <x v="80"/>
    <x v="8"/>
  </r>
  <r>
    <x v="801"/>
    <x v="20"/>
    <x v="0"/>
    <x v="12"/>
    <x v="103"/>
    <x v="11"/>
    <x v="1"/>
    <x v="15"/>
    <x v="8"/>
  </r>
  <r>
    <x v="802"/>
    <x v="4"/>
    <x v="3"/>
    <x v="6"/>
    <x v="57"/>
    <x v="7"/>
    <x v="10"/>
    <x v="59"/>
    <x v="8"/>
  </r>
  <r>
    <x v="803"/>
    <x v="7"/>
    <x v="3"/>
    <x v="6"/>
    <x v="8"/>
    <x v="11"/>
    <x v="9"/>
    <x v="99"/>
    <x v="8"/>
  </r>
  <r>
    <x v="804"/>
    <x v="52"/>
    <x v="12"/>
    <x v="13"/>
    <x v="131"/>
    <x v="1"/>
    <x v="10"/>
    <x v="77"/>
    <x v="8"/>
  </r>
  <r>
    <x v="805"/>
    <x v="64"/>
    <x v="3"/>
    <x v="5"/>
    <x v="115"/>
    <x v="9"/>
    <x v="7"/>
    <x v="206"/>
    <x v="8"/>
  </r>
  <r>
    <x v="806"/>
    <x v="97"/>
    <x v="20"/>
    <x v="5"/>
    <x v="12"/>
    <x v="11"/>
    <x v="1"/>
    <x v="53"/>
    <x v="9"/>
  </r>
  <r>
    <x v="807"/>
    <x v="84"/>
    <x v="12"/>
    <x v="3"/>
    <x v="109"/>
    <x v="8"/>
    <x v="9"/>
    <x v="57"/>
    <x v="9"/>
  </r>
  <r>
    <x v="808"/>
    <x v="57"/>
    <x v="4"/>
    <x v="8"/>
    <x v="86"/>
    <x v="0"/>
    <x v="0"/>
    <x v="62"/>
    <x v="9"/>
  </r>
  <r>
    <x v="809"/>
    <x v="41"/>
    <x v="0"/>
    <x v="7"/>
    <x v="30"/>
    <x v="8"/>
    <x v="4"/>
    <x v="167"/>
    <x v="9"/>
  </r>
  <r>
    <x v="810"/>
    <x v="45"/>
    <x v="6"/>
    <x v="9"/>
    <x v="17"/>
    <x v="7"/>
    <x v="2"/>
    <x v="58"/>
    <x v="9"/>
  </r>
  <r>
    <x v="811"/>
    <x v="12"/>
    <x v="1"/>
    <x v="8"/>
    <x v="77"/>
    <x v="4"/>
    <x v="4"/>
    <x v="97"/>
    <x v="9"/>
  </r>
  <r>
    <x v="812"/>
    <x v="72"/>
    <x v="12"/>
    <x v="12"/>
    <x v="103"/>
    <x v="0"/>
    <x v="9"/>
    <x v="137"/>
    <x v="9"/>
  </r>
  <r>
    <x v="813"/>
    <x v="88"/>
    <x v="11"/>
    <x v="3"/>
    <x v="134"/>
    <x v="8"/>
    <x v="0"/>
    <x v="88"/>
    <x v="9"/>
  </r>
  <r>
    <x v="814"/>
    <x v="25"/>
    <x v="13"/>
    <x v="14"/>
    <x v="130"/>
    <x v="11"/>
    <x v="6"/>
    <x v="58"/>
    <x v="9"/>
  </r>
  <r>
    <x v="815"/>
    <x v="38"/>
    <x v="7"/>
    <x v="0"/>
    <x v="42"/>
    <x v="0"/>
    <x v="4"/>
    <x v="21"/>
    <x v="9"/>
  </r>
  <r>
    <x v="816"/>
    <x v="17"/>
    <x v="10"/>
    <x v="8"/>
    <x v="75"/>
    <x v="7"/>
    <x v="2"/>
    <x v="36"/>
    <x v="9"/>
  </r>
  <r>
    <x v="817"/>
    <x v="81"/>
    <x v="12"/>
    <x v="0"/>
    <x v="0"/>
    <x v="1"/>
    <x v="10"/>
    <x v="108"/>
    <x v="9"/>
  </r>
  <r>
    <x v="818"/>
    <x v="80"/>
    <x v="6"/>
    <x v="4"/>
    <x v="15"/>
    <x v="11"/>
    <x v="9"/>
    <x v="57"/>
    <x v="9"/>
  </r>
  <r>
    <x v="819"/>
    <x v="67"/>
    <x v="8"/>
    <x v="5"/>
    <x v="34"/>
    <x v="5"/>
    <x v="5"/>
    <x v="40"/>
    <x v="9"/>
  </r>
  <r>
    <x v="820"/>
    <x v="33"/>
    <x v="18"/>
    <x v="5"/>
    <x v="121"/>
    <x v="7"/>
    <x v="5"/>
    <x v="13"/>
    <x v="9"/>
  </r>
  <r>
    <x v="821"/>
    <x v="68"/>
    <x v="3"/>
    <x v="5"/>
    <x v="40"/>
    <x v="0"/>
    <x v="3"/>
    <x v="45"/>
    <x v="9"/>
  </r>
  <r>
    <x v="822"/>
    <x v="70"/>
    <x v="1"/>
    <x v="7"/>
    <x v="76"/>
    <x v="5"/>
    <x v="6"/>
    <x v="144"/>
    <x v="9"/>
  </r>
  <r>
    <x v="823"/>
    <x v="75"/>
    <x v="1"/>
    <x v="6"/>
    <x v="5"/>
    <x v="6"/>
    <x v="3"/>
    <x v="18"/>
    <x v="9"/>
  </r>
  <r>
    <x v="824"/>
    <x v="9"/>
    <x v="13"/>
    <x v="4"/>
    <x v="104"/>
    <x v="8"/>
    <x v="6"/>
    <x v="70"/>
    <x v="9"/>
  </r>
  <r>
    <x v="825"/>
    <x v="18"/>
    <x v="18"/>
    <x v="6"/>
    <x v="127"/>
    <x v="3"/>
    <x v="2"/>
    <x v="28"/>
    <x v="9"/>
  </r>
  <r>
    <x v="826"/>
    <x v="42"/>
    <x v="1"/>
    <x v="6"/>
    <x v="38"/>
    <x v="13"/>
    <x v="3"/>
    <x v="207"/>
    <x v="9"/>
  </r>
  <r>
    <x v="827"/>
    <x v="74"/>
    <x v="0"/>
    <x v="8"/>
    <x v="86"/>
    <x v="1"/>
    <x v="6"/>
    <x v="24"/>
    <x v="9"/>
  </r>
  <r>
    <x v="828"/>
    <x v="38"/>
    <x v="9"/>
    <x v="7"/>
    <x v="109"/>
    <x v="4"/>
    <x v="3"/>
    <x v="88"/>
    <x v="9"/>
  </r>
  <r>
    <x v="829"/>
    <x v="37"/>
    <x v="7"/>
    <x v="7"/>
    <x v="42"/>
    <x v="2"/>
    <x v="3"/>
    <x v="208"/>
    <x v="9"/>
  </r>
  <r>
    <x v="830"/>
    <x v="91"/>
    <x v="12"/>
    <x v="12"/>
    <x v="72"/>
    <x v="8"/>
    <x v="9"/>
    <x v="209"/>
    <x v="9"/>
  </r>
  <r>
    <x v="831"/>
    <x v="1"/>
    <x v="18"/>
    <x v="3"/>
    <x v="158"/>
    <x v="0"/>
    <x v="0"/>
    <x v="28"/>
    <x v="9"/>
  </r>
  <r>
    <x v="832"/>
    <x v="31"/>
    <x v="0"/>
    <x v="11"/>
    <x v="56"/>
    <x v="6"/>
    <x v="3"/>
    <x v="140"/>
    <x v="9"/>
  </r>
  <r>
    <x v="833"/>
    <x v="52"/>
    <x v="5"/>
    <x v="15"/>
    <x v="32"/>
    <x v="2"/>
    <x v="0"/>
    <x v="11"/>
    <x v="9"/>
  </r>
  <r>
    <x v="834"/>
    <x v="6"/>
    <x v="18"/>
    <x v="6"/>
    <x v="79"/>
    <x v="0"/>
    <x v="9"/>
    <x v="68"/>
    <x v="9"/>
  </r>
  <r>
    <x v="835"/>
    <x v="36"/>
    <x v="4"/>
    <x v="8"/>
    <x v="86"/>
    <x v="8"/>
    <x v="1"/>
    <x v="34"/>
    <x v="9"/>
  </r>
  <r>
    <x v="836"/>
    <x v="14"/>
    <x v="5"/>
    <x v="0"/>
    <x v="54"/>
    <x v="13"/>
    <x v="3"/>
    <x v="144"/>
    <x v="9"/>
  </r>
  <r>
    <x v="837"/>
    <x v="48"/>
    <x v="6"/>
    <x v="5"/>
    <x v="114"/>
    <x v="11"/>
    <x v="4"/>
    <x v="112"/>
    <x v="9"/>
  </r>
  <r>
    <x v="838"/>
    <x v="15"/>
    <x v="0"/>
    <x v="3"/>
    <x v="109"/>
    <x v="11"/>
    <x v="1"/>
    <x v="173"/>
    <x v="9"/>
  </r>
  <r>
    <x v="839"/>
    <x v="59"/>
    <x v="6"/>
    <x v="5"/>
    <x v="64"/>
    <x v="11"/>
    <x v="4"/>
    <x v="12"/>
    <x v="9"/>
  </r>
  <r>
    <x v="840"/>
    <x v="99"/>
    <x v="1"/>
    <x v="7"/>
    <x v="150"/>
    <x v="0"/>
    <x v="0"/>
    <x v="131"/>
    <x v="9"/>
  </r>
  <r>
    <x v="841"/>
    <x v="50"/>
    <x v="20"/>
    <x v="5"/>
    <x v="78"/>
    <x v="13"/>
    <x v="3"/>
    <x v="96"/>
    <x v="9"/>
  </r>
  <r>
    <x v="842"/>
    <x v="92"/>
    <x v="0"/>
    <x v="6"/>
    <x v="35"/>
    <x v="9"/>
    <x v="5"/>
    <x v="24"/>
    <x v="9"/>
  </r>
  <r>
    <x v="843"/>
    <x v="28"/>
    <x v="5"/>
    <x v="13"/>
    <x v="109"/>
    <x v="5"/>
    <x v="4"/>
    <x v="189"/>
    <x v="9"/>
  </r>
  <r>
    <x v="844"/>
    <x v="47"/>
    <x v="6"/>
    <x v="6"/>
    <x v="62"/>
    <x v="2"/>
    <x v="4"/>
    <x v="98"/>
    <x v="9"/>
  </r>
  <r>
    <x v="845"/>
    <x v="28"/>
    <x v="12"/>
    <x v="7"/>
    <x v="124"/>
    <x v="4"/>
    <x v="3"/>
    <x v="84"/>
    <x v="9"/>
  </r>
  <r>
    <x v="846"/>
    <x v="53"/>
    <x v="20"/>
    <x v="6"/>
    <x v="78"/>
    <x v="13"/>
    <x v="3"/>
    <x v="25"/>
    <x v="9"/>
  </r>
  <r>
    <x v="847"/>
    <x v="71"/>
    <x v="0"/>
    <x v="12"/>
    <x v="56"/>
    <x v="0"/>
    <x v="1"/>
    <x v="62"/>
    <x v="9"/>
  </r>
  <r>
    <x v="848"/>
    <x v="21"/>
    <x v="1"/>
    <x v="3"/>
    <x v="64"/>
    <x v="11"/>
    <x v="0"/>
    <x v="55"/>
    <x v="9"/>
  </r>
  <r>
    <x v="849"/>
    <x v="55"/>
    <x v="7"/>
    <x v="6"/>
    <x v="22"/>
    <x v="17"/>
    <x v="17"/>
    <x v="28"/>
    <x v="9"/>
  </r>
  <r>
    <x v="850"/>
    <x v="58"/>
    <x v="18"/>
    <x v="6"/>
    <x v="28"/>
    <x v="0"/>
    <x v="9"/>
    <x v="62"/>
    <x v="9"/>
  </r>
  <r>
    <x v="851"/>
    <x v="89"/>
    <x v="3"/>
    <x v="5"/>
    <x v="144"/>
    <x v="2"/>
    <x v="4"/>
    <x v="58"/>
    <x v="9"/>
  </r>
  <r>
    <x v="852"/>
    <x v="26"/>
    <x v="0"/>
    <x v="7"/>
    <x v="39"/>
    <x v="8"/>
    <x v="4"/>
    <x v="43"/>
    <x v="9"/>
  </r>
  <r>
    <x v="853"/>
    <x v="74"/>
    <x v="4"/>
    <x v="3"/>
    <x v="42"/>
    <x v="11"/>
    <x v="1"/>
    <x v="145"/>
    <x v="9"/>
  </r>
  <r>
    <x v="854"/>
    <x v="37"/>
    <x v="9"/>
    <x v="12"/>
    <x v="34"/>
    <x v="0"/>
    <x v="3"/>
    <x v="210"/>
    <x v="9"/>
  </r>
  <r>
    <x v="855"/>
    <x v="77"/>
    <x v="13"/>
    <x v="2"/>
    <x v="40"/>
    <x v="11"/>
    <x v="6"/>
    <x v="73"/>
    <x v="9"/>
  </r>
  <r>
    <x v="856"/>
    <x v="34"/>
    <x v="11"/>
    <x v="9"/>
    <x v="12"/>
    <x v="1"/>
    <x v="10"/>
    <x v="131"/>
    <x v="9"/>
  </r>
  <r>
    <x v="857"/>
    <x v="72"/>
    <x v="5"/>
    <x v="8"/>
    <x v="24"/>
    <x v="0"/>
    <x v="6"/>
    <x v="27"/>
    <x v="9"/>
  </r>
  <r>
    <x v="858"/>
    <x v="62"/>
    <x v="18"/>
    <x v="9"/>
    <x v="90"/>
    <x v="2"/>
    <x v="4"/>
    <x v="73"/>
    <x v="9"/>
  </r>
  <r>
    <x v="859"/>
    <x v="16"/>
    <x v="18"/>
    <x v="5"/>
    <x v="120"/>
    <x v="6"/>
    <x v="3"/>
    <x v="111"/>
    <x v="9"/>
  </r>
  <r>
    <x v="860"/>
    <x v="87"/>
    <x v="6"/>
    <x v="4"/>
    <x v="5"/>
    <x v="14"/>
    <x v="11"/>
    <x v="88"/>
    <x v="9"/>
  </r>
  <r>
    <x v="861"/>
    <x v="93"/>
    <x v="12"/>
    <x v="0"/>
    <x v="69"/>
    <x v="0"/>
    <x v="9"/>
    <x v="85"/>
    <x v="9"/>
  </r>
  <r>
    <x v="862"/>
    <x v="78"/>
    <x v="13"/>
    <x v="4"/>
    <x v="152"/>
    <x v="4"/>
    <x v="3"/>
    <x v="145"/>
    <x v="9"/>
  </r>
  <r>
    <x v="863"/>
    <x v="90"/>
    <x v="4"/>
    <x v="13"/>
    <x v="65"/>
    <x v="11"/>
    <x v="0"/>
    <x v="34"/>
    <x v="9"/>
  </r>
  <r>
    <x v="864"/>
    <x v="39"/>
    <x v="1"/>
    <x v="6"/>
    <x v="74"/>
    <x v="11"/>
    <x v="5"/>
    <x v="59"/>
    <x v="9"/>
  </r>
  <r>
    <x v="865"/>
    <x v="35"/>
    <x v="7"/>
    <x v="3"/>
    <x v="19"/>
    <x v="11"/>
    <x v="5"/>
    <x v="29"/>
    <x v="9"/>
  </r>
  <r>
    <x v="866"/>
    <x v="94"/>
    <x v="4"/>
    <x v="8"/>
    <x v="86"/>
    <x v="6"/>
    <x v="3"/>
    <x v="82"/>
    <x v="9"/>
  </r>
  <r>
    <x v="867"/>
    <x v="90"/>
    <x v="5"/>
    <x v="13"/>
    <x v="124"/>
    <x v="7"/>
    <x v="7"/>
    <x v="80"/>
    <x v="9"/>
  </r>
  <r>
    <x v="868"/>
    <x v="29"/>
    <x v="0"/>
    <x v="12"/>
    <x v="51"/>
    <x v="6"/>
    <x v="3"/>
    <x v="45"/>
    <x v="9"/>
  </r>
  <r>
    <x v="869"/>
    <x v="66"/>
    <x v="3"/>
    <x v="9"/>
    <x v="47"/>
    <x v="2"/>
    <x v="4"/>
    <x v="54"/>
    <x v="9"/>
  </r>
  <r>
    <x v="870"/>
    <x v="2"/>
    <x v="11"/>
    <x v="7"/>
    <x v="153"/>
    <x v="11"/>
    <x v="6"/>
    <x v="73"/>
    <x v="9"/>
  </r>
  <r>
    <x v="871"/>
    <x v="66"/>
    <x v="2"/>
    <x v="9"/>
    <x v="64"/>
    <x v="13"/>
    <x v="3"/>
    <x v="211"/>
    <x v="9"/>
  </r>
  <r>
    <x v="872"/>
    <x v="20"/>
    <x v="5"/>
    <x v="12"/>
    <x v="151"/>
    <x v="4"/>
    <x v="3"/>
    <x v="36"/>
    <x v="9"/>
  </r>
  <r>
    <x v="873"/>
    <x v="90"/>
    <x v="0"/>
    <x v="3"/>
    <x v="124"/>
    <x v="0"/>
    <x v="9"/>
    <x v="193"/>
    <x v="9"/>
  </r>
  <r>
    <x v="874"/>
    <x v="56"/>
    <x v="0"/>
    <x v="0"/>
    <x v="123"/>
    <x v="0"/>
    <x v="9"/>
    <x v="41"/>
    <x v="9"/>
  </r>
  <r>
    <x v="875"/>
    <x v="69"/>
    <x v="9"/>
    <x v="7"/>
    <x v="32"/>
    <x v="8"/>
    <x v="6"/>
    <x v="51"/>
    <x v="9"/>
  </r>
  <r>
    <x v="876"/>
    <x v="76"/>
    <x v="15"/>
    <x v="6"/>
    <x v="40"/>
    <x v="7"/>
    <x v="10"/>
    <x v="151"/>
    <x v="9"/>
  </r>
  <r>
    <x v="877"/>
    <x v="10"/>
    <x v="1"/>
    <x v="5"/>
    <x v="150"/>
    <x v="4"/>
    <x v="3"/>
    <x v="50"/>
    <x v="9"/>
  </r>
  <r>
    <x v="878"/>
    <x v="96"/>
    <x v="0"/>
    <x v="5"/>
    <x v="42"/>
    <x v="4"/>
    <x v="3"/>
    <x v="41"/>
    <x v="9"/>
  </r>
  <r>
    <x v="879"/>
    <x v="40"/>
    <x v="11"/>
    <x v="0"/>
    <x v="95"/>
    <x v="8"/>
    <x v="1"/>
    <x v="199"/>
    <x v="9"/>
  </r>
  <r>
    <x v="880"/>
    <x v="23"/>
    <x v="0"/>
    <x v="7"/>
    <x v="36"/>
    <x v="8"/>
    <x v="5"/>
    <x v="27"/>
    <x v="9"/>
  </r>
  <r>
    <x v="881"/>
    <x v="4"/>
    <x v="3"/>
    <x v="9"/>
    <x v="108"/>
    <x v="2"/>
    <x v="4"/>
    <x v="30"/>
    <x v="9"/>
  </r>
  <r>
    <x v="882"/>
    <x v="44"/>
    <x v="4"/>
    <x v="7"/>
    <x v="70"/>
    <x v="8"/>
    <x v="0"/>
    <x v="150"/>
    <x v="9"/>
  </r>
  <r>
    <x v="883"/>
    <x v="22"/>
    <x v="11"/>
    <x v="3"/>
    <x v="8"/>
    <x v="11"/>
    <x v="1"/>
    <x v="34"/>
    <x v="9"/>
  </r>
  <r>
    <x v="884"/>
    <x v="79"/>
    <x v="9"/>
    <x v="0"/>
    <x v="24"/>
    <x v="11"/>
    <x v="1"/>
    <x v="96"/>
    <x v="9"/>
  </r>
  <r>
    <x v="885"/>
    <x v="60"/>
    <x v="3"/>
    <x v="4"/>
    <x v="99"/>
    <x v="3"/>
    <x v="10"/>
    <x v="31"/>
    <x v="9"/>
  </r>
  <r>
    <x v="886"/>
    <x v="43"/>
    <x v="16"/>
    <x v="7"/>
    <x v="59"/>
    <x v="8"/>
    <x v="0"/>
    <x v="76"/>
    <x v="9"/>
  </r>
  <r>
    <x v="887"/>
    <x v="0"/>
    <x v="0"/>
    <x v="5"/>
    <x v="109"/>
    <x v="5"/>
    <x v="6"/>
    <x v="151"/>
    <x v="9"/>
  </r>
  <r>
    <x v="888"/>
    <x v="86"/>
    <x v="6"/>
    <x v="4"/>
    <x v="159"/>
    <x v="8"/>
    <x v="9"/>
    <x v="24"/>
    <x v="9"/>
  </r>
  <r>
    <x v="889"/>
    <x v="95"/>
    <x v="13"/>
    <x v="4"/>
    <x v="68"/>
    <x v="0"/>
    <x v="4"/>
    <x v="17"/>
    <x v="9"/>
  </r>
  <r>
    <x v="890"/>
    <x v="73"/>
    <x v="4"/>
    <x v="3"/>
    <x v="10"/>
    <x v="2"/>
    <x v="3"/>
    <x v="103"/>
    <x v="9"/>
  </r>
  <r>
    <x v="891"/>
    <x v="30"/>
    <x v="0"/>
    <x v="3"/>
    <x v="36"/>
    <x v="11"/>
    <x v="6"/>
    <x v="174"/>
    <x v="9"/>
  </r>
  <r>
    <x v="892"/>
    <x v="61"/>
    <x v="11"/>
    <x v="7"/>
    <x v="44"/>
    <x v="0"/>
    <x v="0"/>
    <x v="212"/>
    <x v="9"/>
  </r>
  <r>
    <x v="893"/>
    <x v="26"/>
    <x v="12"/>
    <x v="6"/>
    <x v="86"/>
    <x v="4"/>
    <x v="3"/>
    <x v="213"/>
    <x v="9"/>
  </r>
  <r>
    <x v="894"/>
    <x v="27"/>
    <x v="14"/>
    <x v="6"/>
    <x v="124"/>
    <x v="14"/>
    <x v="2"/>
    <x v="58"/>
    <x v="9"/>
  </r>
  <r>
    <x v="895"/>
    <x v="3"/>
    <x v="20"/>
    <x v="4"/>
    <x v="99"/>
    <x v="5"/>
    <x v="6"/>
    <x v="166"/>
    <x v="9"/>
  </r>
  <r>
    <x v="896"/>
    <x v="16"/>
    <x v="1"/>
    <x v="7"/>
    <x v="64"/>
    <x v="11"/>
    <x v="1"/>
    <x v="29"/>
    <x v="10"/>
  </r>
  <r>
    <x v="897"/>
    <x v="83"/>
    <x v="9"/>
    <x v="7"/>
    <x v="116"/>
    <x v="8"/>
    <x v="3"/>
    <x v="214"/>
    <x v="10"/>
  </r>
  <r>
    <x v="898"/>
    <x v="46"/>
    <x v="0"/>
    <x v="7"/>
    <x v="30"/>
    <x v="6"/>
    <x v="3"/>
    <x v="111"/>
    <x v="10"/>
  </r>
  <r>
    <x v="899"/>
    <x v="78"/>
    <x v="20"/>
    <x v="5"/>
    <x v="52"/>
    <x v="7"/>
    <x v="7"/>
    <x v="215"/>
    <x v="10"/>
  </r>
  <r>
    <x v="900"/>
    <x v="37"/>
    <x v="16"/>
    <x v="0"/>
    <x v="69"/>
    <x v="8"/>
    <x v="6"/>
    <x v="216"/>
    <x v="10"/>
  </r>
  <r>
    <x v="901"/>
    <x v="30"/>
    <x v="0"/>
    <x v="0"/>
    <x v="149"/>
    <x v="8"/>
    <x v="4"/>
    <x v="44"/>
    <x v="10"/>
  </r>
  <r>
    <x v="902"/>
    <x v="67"/>
    <x v="7"/>
    <x v="5"/>
    <x v="14"/>
    <x v="3"/>
    <x v="10"/>
    <x v="31"/>
    <x v="10"/>
  </r>
  <r>
    <x v="903"/>
    <x v="40"/>
    <x v="11"/>
    <x v="5"/>
    <x v="27"/>
    <x v="11"/>
    <x v="6"/>
    <x v="76"/>
    <x v="10"/>
  </r>
  <r>
    <x v="904"/>
    <x v="48"/>
    <x v="6"/>
    <x v="4"/>
    <x v="22"/>
    <x v="0"/>
    <x v="0"/>
    <x v="1"/>
    <x v="10"/>
  </r>
  <r>
    <x v="905"/>
    <x v="96"/>
    <x v="16"/>
    <x v="4"/>
    <x v="21"/>
    <x v="8"/>
    <x v="0"/>
    <x v="34"/>
    <x v="10"/>
  </r>
  <r>
    <x v="906"/>
    <x v="29"/>
    <x v="5"/>
    <x v="8"/>
    <x v="48"/>
    <x v="11"/>
    <x v="6"/>
    <x v="62"/>
    <x v="10"/>
  </r>
  <r>
    <x v="907"/>
    <x v="22"/>
    <x v="18"/>
    <x v="4"/>
    <x v="105"/>
    <x v="3"/>
    <x v="7"/>
    <x v="34"/>
    <x v="10"/>
  </r>
  <r>
    <x v="908"/>
    <x v="64"/>
    <x v="13"/>
    <x v="9"/>
    <x v="68"/>
    <x v="5"/>
    <x v="10"/>
    <x v="13"/>
    <x v="10"/>
  </r>
  <r>
    <x v="909"/>
    <x v="72"/>
    <x v="0"/>
    <x v="7"/>
    <x v="42"/>
    <x v="1"/>
    <x v="2"/>
    <x v="71"/>
    <x v="10"/>
  </r>
  <r>
    <x v="910"/>
    <x v="33"/>
    <x v="11"/>
    <x v="7"/>
    <x v="134"/>
    <x v="1"/>
    <x v="10"/>
    <x v="4"/>
    <x v="10"/>
  </r>
  <r>
    <x v="911"/>
    <x v="89"/>
    <x v="20"/>
    <x v="4"/>
    <x v="78"/>
    <x v="2"/>
    <x v="3"/>
    <x v="29"/>
    <x v="10"/>
  </r>
  <r>
    <x v="912"/>
    <x v="79"/>
    <x v="9"/>
    <x v="6"/>
    <x v="69"/>
    <x v="2"/>
    <x v="0"/>
    <x v="11"/>
    <x v="10"/>
  </r>
  <r>
    <x v="913"/>
    <x v="35"/>
    <x v="7"/>
    <x v="6"/>
    <x v="151"/>
    <x v="5"/>
    <x v="5"/>
    <x v="30"/>
    <x v="10"/>
  </r>
  <r>
    <x v="914"/>
    <x v="51"/>
    <x v="20"/>
    <x v="4"/>
    <x v="47"/>
    <x v="5"/>
    <x v="0"/>
    <x v="144"/>
    <x v="10"/>
  </r>
  <r>
    <x v="915"/>
    <x v="32"/>
    <x v="11"/>
    <x v="5"/>
    <x v="61"/>
    <x v="0"/>
    <x v="0"/>
    <x v="97"/>
    <x v="10"/>
  </r>
  <r>
    <x v="916"/>
    <x v="26"/>
    <x v="4"/>
    <x v="3"/>
    <x v="31"/>
    <x v="6"/>
    <x v="3"/>
    <x v="131"/>
    <x v="10"/>
  </r>
  <r>
    <x v="917"/>
    <x v="52"/>
    <x v="5"/>
    <x v="13"/>
    <x v="88"/>
    <x v="0"/>
    <x v="4"/>
    <x v="7"/>
    <x v="10"/>
  </r>
  <r>
    <x v="918"/>
    <x v="93"/>
    <x v="1"/>
    <x v="0"/>
    <x v="76"/>
    <x v="2"/>
    <x v="4"/>
    <x v="43"/>
    <x v="10"/>
  </r>
  <r>
    <x v="919"/>
    <x v="88"/>
    <x v="20"/>
    <x v="4"/>
    <x v="68"/>
    <x v="8"/>
    <x v="0"/>
    <x v="72"/>
    <x v="10"/>
  </r>
  <r>
    <x v="920"/>
    <x v="91"/>
    <x v="5"/>
    <x v="12"/>
    <x v="42"/>
    <x v="4"/>
    <x v="3"/>
    <x v="88"/>
    <x v="10"/>
  </r>
  <r>
    <x v="921"/>
    <x v="24"/>
    <x v="6"/>
    <x v="4"/>
    <x v="15"/>
    <x v="0"/>
    <x v="9"/>
    <x v="71"/>
    <x v="10"/>
  </r>
  <r>
    <x v="922"/>
    <x v="98"/>
    <x v="20"/>
    <x v="4"/>
    <x v="12"/>
    <x v="8"/>
    <x v="1"/>
    <x v="22"/>
    <x v="10"/>
  </r>
  <r>
    <x v="923"/>
    <x v="34"/>
    <x v="18"/>
    <x v="5"/>
    <x v="127"/>
    <x v="11"/>
    <x v="5"/>
    <x v="47"/>
    <x v="10"/>
  </r>
  <r>
    <x v="924"/>
    <x v="23"/>
    <x v="0"/>
    <x v="15"/>
    <x v="160"/>
    <x v="3"/>
    <x v="10"/>
    <x v="29"/>
    <x v="10"/>
  </r>
  <r>
    <x v="207"/>
    <x v="44"/>
    <x v="4"/>
    <x v="3"/>
    <x v="149"/>
    <x v="0"/>
    <x v="4"/>
    <x v="39"/>
    <x v="10"/>
  </r>
  <r>
    <x v="925"/>
    <x v="80"/>
    <x v="6"/>
    <x v="4"/>
    <x v="90"/>
    <x v="8"/>
    <x v="9"/>
    <x v="38"/>
    <x v="10"/>
  </r>
  <r>
    <x v="926"/>
    <x v="80"/>
    <x v="6"/>
    <x v="4"/>
    <x v="5"/>
    <x v="11"/>
    <x v="9"/>
    <x v="217"/>
    <x v="10"/>
  </r>
  <r>
    <x v="927"/>
    <x v="60"/>
    <x v="20"/>
    <x v="9"/>
    <x v="12"/>
    <x v="11"/>
    <x v="4"/>
    <x v="87"/>
    <x v="10"/>
  </r>
  <r>
    <x v="928"/>
    <x v="15"/>
    <x v="0"/>
    <x v="12"/>
    <x v="103"/>
    <x v="0"/>
    <x v="3"/>
    <x v="108"/>
    <x v="10"/>
  </r>
  <r>
    <x v="929"/>
    <x v="70"/>
    <x v="15"/>
    <x v="7"/>
    <x v="134"/>
    <x v="2"/>
    <x v="0"/>
    <x v="82"/>
    <x v="10"/>
  </r>
  <r>
    <x v="930"/>
    <x v="47"/>
    <x v="0"/>
    <x v="11"/>
    <x v="60"/>
    <x v="2"/>
    <x v="3"/>
    <x v="103"/>
    <x v="10"/>
  </r>
  <r>
    <x v="931"/>
    <x v="54"/>
    <x v="9"/>
    <x v="6"/>
    <x v="39"/>
    <x v="8"/>
    <x v="6"/>
    <x v="71"/>
    <x v="10"/>
  </r>
  <r>
    <x v="932"/>
    <x v="75"/>
    <x v="1"/>
    <x v="8"/>
    <x v="22"/>
    <x v="11"/>
    <x v="4"/>
    <x v="50"/>
    <x v="10"/>
  </r>
  <r>
    <x v="933"/>
    <x v="25"/>
    <x v="15"/>
    <x v="5"/>
    <x v="144"/>
    <x v="2"/>
    <x v="3"/>
    <x v="101"/>
    <x v="10"/>
  </r>
  <r>
    <x v="934"/>
    <x v="9"/>
    <x v="13"/>
    <x v="5"/>
    <x v="93"/>
    <x v="9"/>
    <x v="7"/>
    <x v="90"/>
    <x v="10"/>
  </r>
  <r>
    <x v="935"/>
    <x v="68"/>
    <x v="13"/>
    <x v="4"/>
    <x v="112"/>
    <x v="2"/>
    <x v="4"/>
    <x v="88"/>
    <x v="10"/>
  </r>
  <r>
    <x v="936"/>
    <x v="21"/>
    <x v="14"/>
    <x v="5"/>
    <x v="18"/>
    <x v="14"/>
    <x v="2"/>
    <x v="12"/>
    <x v="10"/>
  </r>
  <r>
    <x v="937"/>
    <x v="36"/>
    <x v="5"/>
    <x v="8"/>
    <x v="151"/>
    <x v="11"/>
    <x v="5"/>
    <x v="25"/>
    <x v="10"/>
  </r>
  <r>
    <x v="938"/>
    <x v="57"/>
    <x v="5"/>
    <x v="12"/>
    <x v="69"/>
    <x v="11"/>
    <x v="1"/>
    <x v="151"/>
    <x v="10"/>
  </r>
  <r>
    <x v="939"/>
    <x v="42"/>
    <x v="9"/>
    <x v="0"/>
    <x v="124"/>
    <x v="11"/>
    <x v="5"/>
    <x v="83"/>
    <x v="10"/>
  </r>
  <r>
    <x v="940"/>
    <x v="19"/>
    <x v="4"/>
    <x v="13"/>
    <x v="103"/>
    <x v="2"/>
    <x v="3"/>
    <x v="74"/>
    <x v="10"/>
  </r>
  <r>
    <x v="941"/>
    <x v="27"/>
    <x v="5"/>
    <x v="12"/>
    <x v="69"/>
    <x v="8"/>
    <x v="4"/>
    <x v="30"/>
    <x v="10"/>
  </r>
  <r>
    <x v="942"/>
    <x v="1"/>
    <x v="1"/>
    <x v="5"/>
    <x v="74"/>
    <x v="0"/>
    <x v="3"/>
    <x v="124"/>
    <x v="10"/>
  </r>
  <r>
    <x v="943"/>
    <x v="11"/>
    <x v="9"/>
    <x v="3"/>
    <x v="51"/>
    <x v="8"/>
    <x v="9"/>
    <x v="202"/>
    <x v="10"/>
  </r>
  <r>
    <x v="944"/>
    <x v="84"/>
    <x v="9"/>
    <x v="8"/>
    <x v="25"/>
    <x v="2"/>
    <x v="4"/>
    <x v="62"/>
    <x v="10"/>
  </r>
  <r>
    <x v="945"/>
    <x v="82"/>
    <x v="11"/>
    <x v="6"/>
    <x v="104"/>
    <x v="0"/>
    <x v="3"/>
    <x v="11"/>
    <x v="10"/>
  </r>
  <r>
    <x v="946"/>
    <x v="19"/>
    <x v="9"/>
    <x v="8"/>
    <x v="88"/>
    <x v="8"/>
    <x v="9"/>
    <x v="7"/>
    <x v="10"/>
  </r>
  <r>
    <x v="947"/>
    <x v="31"/>
    <x v="4"/>
    <x v="7"/>
    <x v="31"/>
    <x v="0"/>
    <x v="4"/>
    <x v="1"/>
    <x v="10"/>
  </r>
  <r>
    <x v="948"/>
    <x v="45"/>
    <x v="6"/>
    <x v="4"/>
    <x v="158"/>
    <x v="4"/>
    <x v="3"/>
    <x v="1"/>
    <x v="10"/>
  </r>
  <r>
    <x v="767"/>
    <x v="8"/>
    <x v="20"/>
    <x v="3"/>
    <x v="52"/>
    <x v="0"/>
    <x v="9"/>
    <x v="218"/>
    <x v="10"/>
  </r>
  <r>
    <x v="949"/>
    <x v="10"/>
    <x v="4"/>
    <x v="0"/>
    <x v="103"/>
    <x v="0"/>
    <x v="4"/>
    <x v="58"/>
    <x v="10"/>
  </r>
  <r>
    <x v="950"/>
    <x v="69"/>
    <x v="4"/>
    <x v="0"/>
    <x v="70"/>
    <x v="4"/>
    <x v="4"/>
    <x v="87"/>
    <x v="10"/>
  </r>
  <r>
    <x v="951"/>
    <x v="41"/>
    <x v="6"/>
    <x v="5"/>
    <x v="80"/>
    <x v="11"/>
    <x v="5"/>
    <x v="108"/>
    <x v="10"/>
  </r>
  <r>
    <x v="952"/>
    <x v="4"/>
    <x v="13"/>
    <x v="7"/>
    <x v="161"/>
    <x v="5"/>
    <x v="9"/>
    <x v="25"/>
    <x v="10"/>
  </r>
  <r>
    <x v="953"/>
    <x v="65"/>
    <x v="1"/>
    <x v="3"/>
    <x v="85"/>
    <x v="4"/>
    <x v="4"/>
    <x v="4"/>
    <x v="10"/>
  </r>
  <r>
    <x v="954"/>
    <x v="0"/>
    <x v="0"/>
    <x v="3"/>
    <x v="123"/>
    <x v="2"/>
    <x v="0"/>
    <x v="28"/>
    <x v="10"/>
  </r>
  <r>
    <x v="955"/>
    <x v="7"/>
    <x v="11"/>
    <x v="7"/>
    <x v="99"/>
    <x v="0"/>
    <x v="3"/>
    <x v="53"/>
    <x v="10"/>
  </r>
  <r>
    <x v="956"/>
    <x v="66"/>
    <x v="13"/>
    <x v="4"/>
    <x v="57"/>
    <x v="2"/>
    <x v="3"/>
    <x v="83"/>
    <x v="10"/>
  </r>
  <r>
    <x v="957"/>
    <x v="99"/>
    <x v="1"/>
    <x v="6"/>
    <x v="1"/>
    <x v="2"/>
    <x v="0"/>
    <x v="11"/>
    <x v="10"/>
  </r>
  <r>
    <x v="958"/>
    <x v="18"/>
    <x v="15"/>
    <x v="9"/>
    <x v="46"/>
    <x v="11"/>
    <x v="5"/>
    <x v="11"/>
    <x v="10"/>
  </r>
  <r>
    <x v="959"/>
    <x v="14"/>
    <x v="4"/>
    <x v="7"/>
    <x v="0"/>
    <x v="8"/>
    <x v="0"/>
    <x v="99"/>
    <x v="10"/>
  </r>
  <r>
    <x v="960"/>
    <x v="61"/>
    <x v="18"/>
    <x v="6"/>
    <x v="44"/>
    <x v="5"/>
    <x v="6"/>
    <x v="4"/>
    <x v="10"/>
  </r>
  <r>
    <x v="961"/>
    <x v="87"/>
    <x v="6"/>
    <x v="9"/>
    <x v="71"/>
    <x v="8"/>
    <x v="3"/>
    <x v="29"/>
    <x v="10"/>
  </r>
  <r>
    <x v="962"/>
    <x v="20"/>
    <x v="0"/>
    <x v="0"/>
    <x v="156"/>
    <x v="6"/>
    <x v="4"/>
    <x v="17"/>
    <x v="10"/>
  </r>
  <r>
    <x v="963"/>
    <x v="28"/>
    <x v="10"/>
    <x v="3"/>
    <x v="62"/>
    <x v="5"/>
    <x v="4"/>
    <x v="122"/>
    <x v="10"/>
  </r>
  <r>
    <x v="964"/>
    <x v="39"/>
    <x v="1"/>
    <x v="7"/>
    <x v="107"/>
    <x v="5"/>
    <x v="1"/>
    <x v="57"/>
    <x v="10"/>
  </r>
  <r>
    <x v="965"/>
    <x v="95"/>
    <x v="13"/>
    <x v="14"/>
    <x v="40"/>
    <x v="8"/>
    <x v="4"/>
    <x v="104"/>
    <x v="10"/>
  </r>
  <r>
    <x v="966"/>
    <x v="3"/>
    <x v="20"/>
    <x v="5"/>
    <x v="102"/>
    <x v="5"/>
    <x v="6"/>
    <x v="101"/>
    <x v="10"/>
  </r>
  <r>
    <x v="967"/>
    <x v="5"/>
    <x v="18"/>
    <x v="4"/>
    <x v="6"/>
    <x v="2"/>
    <x v="3"/>
    <x v="58"/>
    <x v="10"/>
  </r>
  <r>
    <x v="968"/>
    <x v="13"/>
    <x v="11"/>
    <x v="3"/>
    <x v="83"/>
    <x v="4"/>
    <x v="4"/>
    <x v="6"/>
    <x v="10"/>
  </r>
  <r>
    <x v="969"/>
    <x v="43"/>
    <x v="1"/>
    <x v="7"/>
    <x v="14"/>
    <x v="11"/>
    <x v="5"/>
    <x v="87"/>
    <x v="10"/>
  </r>
  <r>
    <x v="970"/>
    <x v="94"/>
    <x v="4"/>
    <x v="8"/>
    <x v="21"/>
    <x v="8"/>
    <x v="6"/>
    <x v="6"/>
    <x v="10"/>
  </r>
  <r>
    <x v="971"/>
    <x v="55"/>
    <x v="7"/>
    <x v="3"/>
    <x v="36"/>
    <x v="11"/>
    <x v="5"/>
    <x v="41"/>
    <x v="10"/>
  </r>
  <r>
    <x v="972"/>
    <x v="2"/>
    <x v="18"/>
    <x v="4"/>
    <x v="92"/>
    <x v="1"/>
    <x v="10"/>
    <x v="9"/>
    <x v="10"/>
  </r>
  <r>
    <x v="973"/>
    <x v="62"/>
    <x v="18"/>
    <x v="3"/>
    <x v="92"/>
    <x v="2"/>
    <x v="4"/>
    <x v="95"/>
    <x v="10"/>
  </r>
  <r>
    <x v="974"/>
    <x v="71"/>
    <x v="0"/>
    <x v="5"/>
    <x v="39"/>
    <x v="0"/>
    <x v="3"/>
    <x v="173"/>
    <x v="10"/>
  </r>
  <r>
    <x v="975"/>
    <x v="81"/>
    <x v="4"/>
    <x v="3"/>
    <x v="37"/>
    <x v="0"/>
    <x v="1"/>
    <x v="11"/>
    <x v="10"/>
  </r>
  <r>
    <x v="976"/>
    <x v="77"/>
    <x v="13"/>
    <x v="5"/>
    <x v="3"/>
    <x v="2"/>
    <x v="0"/>
    <x v="71"/>
    <x v="10"/>
  </r>
  <r>
    <x v="977"/>
    <x v="85"/>
    <x v="0"/>
    <x v="5"/>
    <x v="36"/>
    <x v="5"/>
    <x v="1"/>
    <x v="62"/>
    <x v="10"/>
  </r>
  <r>
    <x v="978"/>
    <x v="50"/>
    <x v="18"/>
    <x v="6"/>
    <x v="5"/>
    <x v="5"/>
    <x v="1"/>
    <x v="28"/>
    <x v="10"/>
  </r>
  <r>
    <x v="979"/>
    <x v="92"/>
    <x v="0"/>
    <x v="7"/>
    <x v="123"/>
    <x v="4"/>
    <x v="3"/>
    <x v="58"/>
    <x v="10"/>
  </r>
  <r>
    <x v="980"/>
    <x v="58"/>
    <x v="18"/>
    <x v="4"/>
    <x v="159"/>
    <x v="6"/>
    <x v="3"/>
    <x v="90"/>
    <x v="10"/>
  </r>
  <r>
    <x v="981"/>
    <x v="49"/>
    <x v="8"/>
    <x v="7"/>
    <x v="109"/>
    <x v="6"/>
    <x v="3"/>
    <x v="11"/>
    <x v="10"/>
  </r>
  <r>
    <x v="982"/>
    <x v="6"/>
    <x v="11"/>
    <x v="5"/>
    <x v="2"/>
    <x v="6"/>
    <x v="3"/>
    <x v="58"/>
    <x v="10"/>
  </r>
  <r>
    <x v="983"/>
    <x v="45"/>
    <x v="6"/>
    <x v="4"/>
    <x v="159"/>
    <x v="1"/>
    <x v="6"/>
    <x v="219"/>
    <x v="11"/>
  </r>
  <r>
    <x v="984"/>
    <x v="89"/>
    <x v="18"/>
    <x v="6"/>
    <x v="17"/>
    <x v="11"/>
    <x v="1"/>
    <x v="54"/>
    <x v="11"/>
  </r>
  <r>
    <x v="985"/>
    <x v="12"/>
    <x v="9"/>
    <x v="0"/>
    <x v="56"/>
    <x v="2"/>
    <x v="0"/>
    <x v="61"/>
    <x v="11"/>
  </r>
  <r>
    <x v="986"/>
    <x v="49"/>
    <x v="8"/>
    <x v="7"/>
    <x v="98"/>
    <x v="8"/>
    <x v="0"/>
    <x v="62"/>
    <x v="11"/>
  </r>
  <r>
    <x v="987"/>
    <x v="6"/>
    <x v="11"/>
    <x v="3"/>
    <x v="138"/>
    <x v="0"/>
    <x v="3"/>
    <x v="88"/>
    <x v="11"/>
  </r>
  <r>
    <x v="988"/>
    <x v="44"/>
    <x v="4"/>
    <x v="0"/>
    <x v="149"/>
    <x v="5"/>
    <x v="1"/>
    <x v="71"/>
    <x v="11"/>
  </r>
  <r>
    <x v="989"/>
    <x v="40"/>
    <x v="11"/>
    <x v="2"/>
    <x v="93"/>
    <x v="1"/>
    <x v="10"/>
    <x v="2"/>
    <x v="11"/>
  </r>
  <r>
    <x v="990"/>
    <x v="74"/>
    <x v="0"/>
    <x v="0"/>
    <x v="69"/>
    <x v="8"/>
    <x v="1"/>
    <x v="6"/>
    <x v="11"/>
  </r>
  <r>
    <x v="991"/>
    <x v="21"/>
    <x v="4"/>
    <x v="0"/>
    <x v="21"/>
    <x v="5"/>
    <x v="4"/>
    <x v="124"/>
    <x v="11"/>
  </r>
  <r>
    <x v="992"/>
    <x v="33"/>
    <x v="18"/>
    <x v="5"/>
    <x v="143"/>
    <x v="0"/>
    <x v="9"/>
    <x v="207"/>
    <x v="11"/>
  </r>
  <r>
    <x v="993"/>
    <x v="49"/>
    <x v="7"/>
    <x v="6"/>
    <x v="16"/>
    <x v="2"/>
    <x v="3"/>
    <x v="4"/>
    <x v="11"/>
  </r>
  <r>
    <x v="994"/>
    <x v="35"/>
    <x v="0"/>
    <x v="8"/>
    <x v="103"/>
    <x v="8"/>
    <x v="1"/>
    <x v="29"/>
    <x v="11"/>
  </r>
  <r>
    <x v="995"/>
    <x v="99"/>
    <x v="18"/>
    <x v="6"/>
    <x v="53"/>
    <x v="1"/>
    <x v="6"/>
    <x v="76"/>
    <x v="11"/>
  </r>
  <r>
    <x v="996"/>
    <x v="38"/>
    <x v="0"/>
    <x v="0"/>
    <x v="70"/>
    <x v="0"/>
    <x v="3"/>
    <x v="69"/>
    <x v="11"/>
  </r>
  <r>
    <x v="997"/>
    <x v="69"/>
    <x v="9"/>
    <x v="0"/>
    <x v="30"/>
    <x v="18"/>
    <x v="3"/>
    <x v="144"/>
    <x v="11"/>
  </r>
  <r>
    <x v="998"/>
    <x v="93"/>
    <x v="12"/>
    <x v="0"/>
    <x v="69"/>
    <x v="4"/>
    <x v="3"/>
    <x v="220"/>
    <x v="11"/>
  </r>
  <r>
    <x v="999"/>
    <x v="42"/>
    <x v="9"/>
    <x v="12"/>
    <x v="69"/>
    <x v="13"/>
    <x v="3"/>
    <x v="21"/>
    <x v="11"/>
  </r>
  <r>
    <x v="1000"/>
    <x v="25"/>
    <x v="1"/>
    <x v="7"/>
    <x v="22"/>
    <x v="8"/>
    <x v="3"/>
    <x v="137"/>
    <x v="11"/>
  </r>
  <r>
    <x v="1001"/>
    <x v="85"/>
    <x v="0"/>
    <x v="7"/>
    <x v="36"/>
    <x v="8"/>
    <x v="1"/>
    <x v="221"/>
    <x v="11"/>
  </r>
  <r>
    <x v="1002"/>
    <x v="55"/>
    <x v="7"/>
    <x v="7"/>
    <x v="76"/>
    <x v="2"/>
    <x v="4"/>
    <x v="32"/>
    <x v="11"/>
  </r>
  <r>
    <x v="1003"/>
    <x v="14"/>
    <x v="4"/>
    <x v="3"/>
    <x v="10"/>
    <x v="5"/>
    <x v="6"/>
    <x v="101"/>
    <x v="11"/>
  </r>
  <r>
    <x v="1004"/>
    <x v="67"/>
    <x v="0"/>
    <x v="8"/>
    <x v="51"/>
    <x v="13"/>
    <x v="3"/>
    <x v="7"/>
    <x v="11"/>
  </r>
  <r>
    <x v="1005"/>
    <x v="57"/>
    <x v="4"/>
    <x v="7"/>
    <x v="25"/>
    <x v="8"/>
    <x v="3"/>
    <x v="222"/>
    <x v="11"/>
  </r>
  <r>
    <x v="1006"/>
    <x v="23"/>
    <x v="7"/>
    <x v="9"/>
    <x v="150"/>
    <x v="15"/>
    <x v="13"/>
    <x v="16"/>
    <x v="11"/>
  </r>
  <r>
    <x v="1007"/>
    <x v="39"/>
    <x v="1"/>
    <x v="0"/>
    <x v="14"/>
    <x v="11"/>
    <x v="6"/>
    <x v="100"/>
    <x v="11"/>
  </r>
  <r>
    <x v="1008"/>
    <x v="60"/>
    <x v="15"/>
    <x v="5"/>
    <x v="3"/>
    <x v="11"/>
    <x v="3"/>
    <x v="45"/>
    <x v="11"/>
  </r>
  <r>
    <x v="1009"/>
    <x v="78"/>
    <x v="20"/>
    <x v="9"/>
    <x v="46"/>
    <x v="0"/>
    <x v="4"/>
    <x v="10"/>
    <x v="11"/>
  </r>
  <r>
    <x v="1010"/>
    <x v="43"/>
    <x v="4"/>
    <x v="0"/>
    <x v="21"/>
    <x v="9"/>
    <x v="13"/>
    <x v="34"/>
    <x v="11"/>
  </r>
  <r>
    <x v="1011"/>
    <x v="47"/>
    <x v="6"/>
    <x v="3"/>
    <x v="75"/>
    <x v="0"/>
    <x v="4"/>
    <x v="21"/>
    <x v="11"/>
  </r>
  <r>
    <x v="1012"/>
    <x v="92"/>
    <x v="0"/>
    <x v="11"/>
    <x v="162"/>
    <x v="0"/>
    <x v="4"/>
    <x v="46"/>
    <x v="11"/>
  </r>
  <r>
    <x v="1013"/>
    <x v="94"/>
    <x v="5"/>
    <x v="13"/>
    <x v="25"/>
    <x v="8"/>
    <x v="6"/>
    <x v="31"/>
    <x v="11"/>
  </r>
  <r>
    <x v="1014"/>
    <x v="73"/>
    <x v="5"/>
    <x v="0"/>
    <x v="135"/>
    <x v="2"/>
    <x v="4"/>
    <x v="98"/>
    <x v="11"/>
  </r>
  <r>
    <x v="1015"/>
    <x v="86"/>
    <x v="6"/>
    <x v="2"/>
    <x v="145"/>
    <x v="8"/>
    <x v="9"/>
    <x v="50"/>
    <x v="11"/>
  </r>
  <r>
    <x v="1016"/>
    <x v="13"/>
    <x v="11"/>
    <x v="5"/>
    <x v="7"/>
    <x v="0"/>
    <x v="3"/>
    <x v="223"/>
    <x v="11"/>
  </r>
  <r>
    <x v="1017"/>
    <x v="10"/>
    <x v="6"/>
    <x v="5"/>
    <x v="15"/>
    <x v="8"/>
    <x v="9"/>
    <x v="224"/>
    <x v="11"/>
  </r>
  <r>
    <x v="1018"/>
    <x v="97"/>
    <x v="13"/>
    <x v="14"/>
    <x v="108"/>
    <x v="14"/>
    <x v="13"/>
    <x v="111"/>
    <x v="11"/>
  </r>
  <r>
    <x v="1019"/>
    <x v="64"/>
    <x v="15"/>
    <x v="5"/>
    <x v="3"/>
    <x v="3"/>
    <x v="10"/>
    <x v="71"/>
    <x v="11"/>
  </r>
  <r>
    <x v="1020"/>
    <x v="68"/>
    <x v="13"/>
    <x v="2"/>
    <x v="12"/>
    <x v="8"/>
    <x v="4"/>
    <x v="112"/>
    <x v="11"/>
  </r>
  <r>
    <x v="1021"/>
    <x v="11"/>
    <x v="1"/>
    <x v="3"/>
    <x v="43"/>
    <x v="3"/>
    <x v="2"/>
    <x v="17"/>
    <x v="11"/>
  </r>
  <r>
    <x v="1022"/>
    <x v="70"/>
    <x v="1"/>
    <x v="3"/>
    <x v="22"/>
    <x v="5"/>
    <x v="6"/>
    <x v="104"/>
    <x v="11"/>
  </r>
  <r>
    <x v="1023"/>
    <x v="58"/>
    <x v="18"/>
    <x v="6"/>
    <x v="155"/>
    <x v="5"/>
    <x v="6"/>
    <x v="6"/>
    <x v="11"/>
  </r>
  <r>
    <x v="1024"/>
    <x v="57"/>
    <x v="5"/>
    <x v="11"/>
    <x v="21"/>
    <x v="1"/>
    <x v="6"/>
    <x v="81"/>
    <x v="11"/>
  </r>
  <r>
    <x v="1025"/>
    <x v="32"/>
    <x v="11"/>
    <x v="5"/>
    <x v="134"/>
    <x v="11"/>
    <x v="1"/>
    <x v="108"/>
    <x v="11"/>
  </r>
  <r>
    <x v="1026"/>
    <x v="81"/>
    <x v="9"/>
    <x v="12"/>
    <x v="72"/>
    <x v="14"/>
    <x v="13"/>
    <x v="96"/>
    <x v="11"/>
  </r>
  <r>
    <x v="1027"/>
    <x v="26"/>
    <x v="4"/>
    <x v="13"/>
    <x v="21"/>
    <x v="11"/>
    <x v="5"/>
    <x v="112"/>
    <x v="11"/>
  </r>
  <r>
    <x v="1028"/>
    <x v="77"/>
    <x v="13"/>
    <x v="10"/>
    <x v="4"/>
    <x v="8"/>
    <x v="9"/>
    <x v="60"/>
    <x v="11"/>
  </r>
  <r>
    <x v="1029"/>
    <x v="27"/>
    <x v="4"/>
    <x v="8"/>
    <x v="70"/>
    <x v="11"/>
    <x v="9"/>
    <x v="92"/>
    <x v="11"/>
  </r>
  <r>
    <x v="1030"/>
    <x v="24"/>
    <x v="0"/>
    <x v="6"/>
    <x v="109"/>
    <x v="0"/>
    <x v="3"/>
    <x v="57"/>
    <x v="11"/>
  </r>
  <r>
    <x v="1031"/>
    <x v="16"/>
    <x v="20"/>
    <x v="4"/>
    <x v="82"/>
    <x v="11"/>
    <x v="6"/>
    <x v="4"/>
    <x v="11"/>
  </r>
  <r>
    <x v="1032"/>
    <x v="2"/>
    <x v="18"/>
    <x v="3"/>
    <x v="80"/>
    <x v="5"/>
    <x v="10"/>
    <x v="144"/>
    <x v="11"/>
  </r>
  <r>
    <x v="1033"/>
    <x v="76"/>
    <x v="13"/>
    <x v="4"/>
    <x v="112"/>
    <x v="2"/>
    <x v="9"/>
    <x v="225"/>
    <x v="11"/>
  </r>
  <r>
    <x v="1034"/>
    <x v="90"/>
    <x v="18"/>
    <x v="6"/>
    <x v="136"/>
    <x v="1"/>
    <x v="6"/>
    <x v="87"/>
    <x v="11"/>
  </r>
  <r>
    <x v="1035"/>
    <x v="75"/>
    <x v="18"/>
    <x v="9"/>
    <x v="163"/>
    <x v="4"/>
    <x v="4"/>
    <x v="9"/>
    <x v="11"/>
  </r>
  <r>
    <x v="1036"/>
    <x v="41"/>
    <x v="6"/>
    <x v="4"/>
    <x v="90"/>
    <x v="0"/>
    <x v="3"/>
    <x v="226"/>
    <x v="11"/>
  </r>
  <r>
    <x v="1037"/>
    <x v="5"/>
    <x v="1"/>
    <x v="7"/>
    <x v="14"/>
    <x v="8"/>
    <x v="1"/>
    <x v="51"/>
    <x v="11"/>
  </r>
  <r>
    <x v="1038"/>
    <x v="97"/>
    <x v="18"/>
    <x v="5"/>
    <x v="121"/>
    <x v="8"/>
    <x v="3"/>
    <x v="109"/>
    <x v="11"/>
  </r>
  <r>
    <x v="1039"/>
    <x v="20"/>
    <x v="0"/>
    <x v="5"/>
    <x v="19"/>
    <x v="2"/>
    <x v="0"/>
    <x v="103"/>
    <x v="11"/>
  </r>
  <r>
    <x v="1040"/>
    <x v="7"/>
    <x v="11"/>
    <x v="7"/>
    <x v="27"/>
    <x v="2"/>
    <x v="3"/>
    <x v="227"/>
    <x v="11"/>
  </r>
  <r>
    <x v="1041"/>
    <x v="1"/>
    <x v="18"/>
    <x v="3"/>
    <x v="71"/>
    <x v="2"/>
    <x v="4"/>
    <x v="28"/>
    <x v="11"/>
  </r>
  <r>
    <x v="1042"/>
    <x v="56"/>
    <x v="0"/>
    <x v="6"/>
    <x v="116"/>
    <x v="4"/>
    <x v="3"/>
    <x v="88"/>
    <x v="11"/>
  </r>
  <r>
    <x v="1043"/>
    <x v="82"/>
    <x v="20"/>
    <x v="5"/>
    <x v="78"/>
    <x v="11"/>
    <x v="0"/>
    <x v="78"/>
    <x v="11"/>
  </r>
  <r>
    <x v="1044"/>
    <x v="0"/>
    <x v="0"/>
    <x v="5"/>
    <x v="16"/>
    <x v="0"/>
    <x v="0"/>
    <x v="27"/>
    <x v="11"/>
  </r>
  <r>
    <x v="1045"/>
    <x v="36"/>
    <x v="5"/>
    <x v="7"/>
    <x v="42"/>
    <x v="2"/>
    <x v="3"/>
    <x v="228"/>
    <x v="11"/>
  </r>
  <r>
    <x v="1046"/>
    <x v="50"/>
    <x v="13"/>
    <x v="2"/>
    <x v="23"/>
    <x v="5"/>
    <x v="6"/>
    <x v="54"/>
    <x v="11"/>
  </r>
  <r>
    <x v="1047"/>
    <x v="88"/>
    <x v="13"/>
    <x v="9"/>
    <x v="61"/>
    <x v="0"/>
    <x v="3"/>
    <x v="118"/>
    <x v="11"/>
  </r>
  <r>
    <x v="1048"/>
    <x v="31"/>
    <x v="4"/>
    <x v="0"/>
    <x v="156"/>
    <x v="1"/>
    <x v="10"/>
    <x v="131"/>
    <x v="11"/>
  </r>
  <r>
    <x v="1049"/>
    <x v="59"/>
    <x v="14"/>
    <x v="3"/>
    <x v="107"/>
    <x v="3"/>
    <x v="5"/>
    <x v="190"/>
    <x v="11"/>
  </r>
  <r>
    <x v="1050"/>
    <x v="19"/>
    <x v="1"/>
    <x v="7"/>
    <x v="9"/>
    <x v="2"/>
    <x v="3"/>
    <x v="136"/>
    <x v="11"/>
  </r>
  <r>
    <x v="1051"/>
    <x v="91"/>
    <x v="4"/>
    <x v="12"/>
    <x v="89"/>
    <x v="0"/>
    <x v="0"/>
    <x v="107"/>
    <x v="11"/>
  </r>
  <r>
    <x v="1052"/>
    <x v="72"/>
    <x v="7"/>
    <x v="5"/>
    <x v="43"/>
    <x v="17"/>
    <x v="17"/>
    <x v="83"/>
    <x v="11"/>
  </r>
  <r>
    <x v="1053"/>
    <x v="96"/>
    <x v="16"/>
    <x v="0"/>
    <x v="51"/>
    <x v="5"/>
    <x v="5"/>
    <x v="116"/>
    <x v="11"/>
  </r>
  <r>
    <x v="1054"/>
    <x v="8"/>
    <x v="20"/>
    <x v="5"/>
    <x v="46"/>
    <x v="13"/>
    <x v="3"/>
    <x v="18"/>
    <x v="11"/>
  </r>
  <r>
    <x v="1055"/>
    <x v="10"/>
    <x v="1"/>
    <x v="0"/>
    <x v="1"/>
    <x v="0"/>
    <x v="3"/>
    <x v="41"/>
    <x v="11"/>
  </r>
  <r>
    <x v="1056"/>
    <x v="98"/>
    <x v="13"/>
    <x v="9"/>
    <x v="47"/>
    <x v="11"/>
    <x v="6"/>
    <x v="17"/>
    <x v="11"/>
  </r>
  <r>
    <x v="1057"/>
    <x v="17"/>
    <x v="1"/>
    <x v="6"/>
    <x v="35"/>
    <x v="5"/>
    <x v="1"/>
    <x v="229"/>
    <x v="11"/>
  </r>
  <r>
    <x v="1058"/>
    <x v="53"/>
    <x v="13"/>
    <x v="9"/>
    <x v="40"/>
    <x v="1"/>
    <x v="10"/>
    <x v="42"/>
    <x v="11"/>
  </r>
  <r>
    <x v="1059"/>
    <x v="22"/>
    <x v="11"/>
    <x v="5"/>
    <x v="47"/>
    <x v="1"/>
    <x v="5"/>
    <x v="230"/>
    <x v="11"/>
  </r>
  <r>
    <x v="1060"/>
    <x v="71"/>
    <x v="0"/>
    <x v="4"/>
    <x v="35"/>
    <x v="0"/>
    <x v="4"/>
    <x v="231"/>
    <x v="11"/>
  </r>
  <r>
    <x v="1061"/>
    <x v="65"/>
    <x v="5"/>
    <x v="12"/>
    <x v="114"/>
    <x v="2"/>
    <x v="0"/>
    <x v="18"/>
    <x v="11"/>
  </r>
  <r>
    <x v="1062"/>
    <x v="84"/>
    <x v="4"/>
    <x v="3"/>
    <x v="51"/>
    <x v="8"/>
    <x v="4"/>
    <x v="27"/>
    <x v="11"/>
  </r>
  <r>
    <x v="1063"/>
    <x v="52"/>
    <x v="12"/>
    <x v="7"/>
    <x v="25"/>
    <x v="0"/>
    <x v="3"/>
    <x v="159"/>
    <x v="11"/>
  </r>
  <r>
    <x v="1064"/>
    <x v="9"/>
    <x v="13"/>
    <x v="9"/>
    <x v="3"/>
    <x v="0"/>
    <x v="3"/>
    <x v="123"/>
    <x v="11"/>
  </r>
  <r>
    <x v="1065"/>
    <x v="93"/>
    <x v="5"/>
    <x v="11"/>
    <x v="116"/>
    <x v="4"/>
    <x v="3"/>
    <x v="2"/>
    <x v="11"/>
  </r>
  <r>
    <x v="1066"/>
    <x v="38"/>
    <x v="8"/>
    <x v="3"/>
    <x v="10"/>
    <x v="0"/>
    <x v="9"/>
    <x v="147"/>
    <x v="11"/>
  </r>
  <r>
    <x v="1067"/>
    <x v="54"/>
    <x v="9"/>
    <x v="8"/>
    <x v="24"/>
    <x v="11"/>
    <x v="6"/>
    <x v="47"/>
    <x v="11"/>
  </r>
  <r>
    <x v="1068"/>
    <x v="18"/>
    <x v="1"/>
    <x v="5"/>
    <x v="35"/>
    <x v="2"/>
    <x v="3"/>
    <x v="148"/>
    <x v="11"/>
  </r>
  <r>
    <x v="1069"/>
    <x v="28"/>
    <x v="4"/>
    <x v="3"/>
    <x v="51"/>
    <x v="0"/>
    <x v="9"/>
    <x v="57"/>
    <x v="11"/>
  </r>
  <r>
    <x v="1070"/>
    <x v="34"/>
    <x v="11"/>
    <x v="3"/>
    <x v="144"/>
    <x v="13"/>
    <x v="3"/>
    <x v="157"/>
    <x v="11"/>
  </r>
  <r>
    <x v="1071"/>
    <x v="42"/>
    <x v="5"/>
    <x v="0"/>
    <x v="43"/>
    <x v="8"/>
    <x v="4"/>
    <x v="57"/>
    <x v="11"/>
  </r>
  <r>
    <x v="1072"/>
    <x v="86"/>
    <x v="6"/>
    <x v="2"/>
    <x v="49"/>
    <x v="2"/>
    <x v="3"/>
    <x v="96"/>
    <x v="11"/>
  </r>
  <r>
    <x v="1073"/>
    <x v="30"/>
    <x v="0"/>
    <x v="12"/>
    <x v="21"/>
    <x v="13"/>
    <x v="3"/>
    <x v="88"/>
    <x v="11"/>
  </r>
  <r>
    <x v="1074"/>
    <x v="83"/>
    <x v="9"/>
    <x v="8"/>
    <x v="54"/>
    <x v="13"/>
    <x v="1"/>
    <x v="13"/>
    <x v="11"/>
  </r>
  <r>
    <x v="1075"/>
    <x v="13"/>
    <x v="11"/>
    <x v="6"/>
    <x v="164"/>
    <x v="5"/>
    <x v="5"/>
    <x v="71"/>
    <x v="12"/>
  </r>
  <r>
    <x v="1076"/>
    <x v="57"/>
    <x v="4"/>
    <x v="7"/>
    <x v="165"/>
    <x v="5"/>
    <x v="6"/>
    <x v="10"/>
    <x v="12"/>
  </r>
  <r>
    <x v="1077"/>
    <x v="28"/>
    <x v="10"/>
    <x v="7"/>
    <x v="166"/>
    <x v="1"/>
    <x v="5"/>
    <x v="191"/>
    <x v="12"/>
  </r>
  <r>
    <x v="1078"/>
    <x v="7"/>
    <x v="11"/>
    <x v="5"/>
    <x v="167"/>
    <x v="5"/>
    <x v="9"/>
    <x v="211"/>
    <x v="12"/>
  </r>
  <r>
    <x v="1079"/>
    <x v="87"/>
    <x v="6"/>
    <x v="9"/>
    <x v="168"/>
    <x v="0"/>
    <x v="4"/>
    <x v="95"/>
    <x v="12"/>
  </r>
  <r>
    <x v="1080"/>
    <x v="90"/>
    <x v="20"/>
    <x v="4"/>
    <x v="169"/>
    <x v="1"/>
    <x v="4"/>
    <x v="45"/>
    <x v="12"/>
  </r>
  <r>
    <x v="1081"/>
    <x v="82"/>
    <x v="20"/>
    <x v="9"/>
    <x v="164"/>
    <x v="11"/>
    <x v="4"/>
    <x v="18"/>
    <x v="12"/>
  </r>
  <r>
    <x v="1082"/>
    <x v="90"/>
    <x v="5"/>
    <x v="0"/>
    <x v="170"/>
    <x v="11"/>
    <x v="0"/>
    <x v="70"/>
    <x v="12"/>
  </r>
  <r>
    <x v="1083"/>
    <x v="16"/>
    <x v="18"/>
    <x v="6"/>
    <x v="171"/>
    <x v="0"/>
    <x v="9"/>
    <x v="24"/>
    <x v="12"/>
  </r>
  <r>
    <x v="1084"/>
    <x v="72"/>
    <x v="0"/>
    <x v="0"/>
    <x v="172"/>
    <x v="4"/>
    <x v="4"/>
    <x v="20"/>
    <x v="12"/>
  </r>
  <r>
    <x v="1085"/>
    <x v="73"/>
    <x v="9"/>
    <x v="0"/>
    <x v="173"/>
    <x v="4"/>
    <x v="3"/>
    <x v="44"/>
    <x v="12"/>
  </r>
  <r>
    <x v="1086"/>
    <x v="68"/>
    <x v="20"/>
    <x v="6"/>
    <x v="174"/>
    <x v="11"/>
    <x v="4"/>
    <x v="131"/>
    <x v="12"/>
  </r>
  <r>
    <x v="1087"/>
    <x v="3"/>
    <x v="13"/>
    <x v="5"/>
    <x v="169"/>
    <x v="2"/>
    <x v="0"/>
    <x v="11"/>
    <x v="12"/>
  </r>
  <r>
    <x v="1088"/>
    <x v="75"/>
    <x v="14"/>
    <x v="5"/>
    <x v="175"/>
    <x v="0"/>
    <x v="4"/>
    <x v="28"/>
    <x v="12"/>
  </r>
  <r>
    <x v="1089"/>
    <x v="60"/>
    <x v="11"/>
    <x v="5"/>
    <x v="164"/>
    <x v="0"/>
    <x v="9"/>
    <x v="62"/>
    <x v="12"/>
  </r>
  <r>
    <x v="1090"/>
    <x v="53"/>
    <x v="13"/>
    <x v="9"/>
    <x v="176"/>
    <x v="2"/>
    <x v="4"/>
    <x v="32"/>
    <x v="12"/>
  </r>
  <r>
    <x v="1091"/>
    <x v="14"/>
    <x v="9"/>
    <x v="3"/>
    <x v="177"/>
    <x v="2"/>
    <x v="0"/>
    <x v="22"/>
    <x v="12"/>
  </r>
  <r>
    <x v="1092"/>
    <x v="89"/>
    <x v="1"/>
    <x v="6"/>
    <x v="178"/>
    <x v="2"/>
    <x v="4"/>
    <x v="145"/>
    <x v="12"/>
  </r>
  <r>
    <x v="1093"/>
    <x v="74"/>
    <x v="0"/>
    <x v="8"/>
    <x v="179"/>
    <x v="4"/>
    <x v="3"/>
    <x v="10"/>
    <x v="12"/>
  </r>
  <r>
    <x v="1094"/>
    <x v="90"/>
    <x v="12"/>
    <x v="12"/>
    <x v="180"/>
    <x v="0"/>
    <x v="3"/>
    <x v="69"/>
    <x v="12"/>
  </r>
  <r>
    <x v="1095"/>
    <x v="59"/>
    <x v="1"/>
    <x v="3"/>
    <x v="181"/>
    <x v="0"/>
    <x v="9"/>
    <x v="53"/>
    <x v="12"/>
  </r>
  <r>
    <x v="1096"/>
    <x v="81"/>
    <x v="4"/>
    <x v="12"/>
    <x v="180"/>
    <x v="5"/>
    <x v="5"/>
    <x v="108"/>
    <x v="12"/>
  </r>
  <r>
    <x v="1097"/>
    <x v="24"/>
    <x v="0"/>
    <x v="0"/>
    <x v="172"/>
    <x v="3"/>
    <x v="10"/>
    <x v="18"/>
    <x v="12"/>
  </r>
  <r>
    <x v="1098"/>
    <x v="30"/>
    <x v="0"/>
    <x v="12"/>
    <x v="172"/>
    <x v="0"/>
    <x v="3"/>
    <x v="163"/>
    <x v="12"/>
  </r>
  <r>
    <x v="1099"/>
    <x v="79"/>
    <x v="9"/>
    <x v="8"/>
    <x v="182"/>
    <x v="2"/>
    <x v="4"/>
    <x v="88"/>
    <x v="12"/>
  </r>
  <r>
    <x v="1100"/>
    <x v="31"/>
    <x v="4"/>
    <x v="8"/>
    <x v="177"/>
    <x v="5"/>
    <x v="10"/>
    <x v="101"/>
    <x v="12"/>
  </r>
  <r>
    <x v="1101"/>
    <x v="46"/>
    <x v="6"/>
    <x v="5"/>
    <x v="183"/>
    <x v="0"/>
    <x v="0"/>
    <x v="110"/>
    <x v="12"/>
  </r>
  <r>
    <x v="1102"/>
    <x v="10"/>
    <x v="9"/>
    <x v="7"/>
    <x v="170"/>
    <x v="8"/>
    <x v="3"/>
    <x v="44"/>
    <x v="12"/>
  </r>
  <r>
    <x v="1103"/>
    <x v="29"/>
    <x v="5"/>
    <x v="3"/>
    <x v="184"/>
    <x v="0"/>
    <x v="0"/>
    <x v="168"/>
    <x v="12"/>
  </r>
  <r>
    <x v="1104"/>
    <x v="90"/>
    <x v="11"/>
    <x v="3"/>
    <x v="185"/>
    <x v="3"/>
    <x v="5"/>
    <x v="44"/>
    <x v="12"/>
  </r>
  <r>
    <x v="1105"/>
    <x v="37"/>
    <x v="0"/>
    <x v="3"/>
    <x v="170"/>
    <x v="8"/>
    <x v="4"/>
    <x v="31"/>
    <x v="12"/>
  </r>
  <r>
    <x v="1106"/>
    <x v="90"/>
    <x v="1"/>
    <x v="0"/>
    <x v="186"/>
    <x v="0"/>
    <x v="9"/>
    <x v="22"/>
    <x v="12"/>
  </r>
  <r>
    <x v="1107"/>
    <x v="55"/>
    <x v="7"/>
    <x v="7"/>
    <x v="187"/>
    <x v="3"/>
    <x v="6"/>
    <x v="171"/>
    <x v="12"/>
  </r>
  <r>
    <x v="1108"/>
    <x v="90"/>
    <x v="6"/>
    <x v="14"/>
    <x v="188"/>
    <x v="2"/>
    <x v="3"/>
    <x v="0"/>
    <x v="12"/>
  </r>
  <r>
    <x v="1109"/>
    <x v="18"/>
    <x v="1"/>
    <x v="7"/>
    <x v="188"/>
    <x v="8"/>
    <x v="1"/>
    <x v="20"/>
    <x v="12"/>
  </r>
  <r>
    <x v="1110"/>
    <x v="91"/>
    <x v="4"/>
    <x v="7"/>
    <x v="165"/>
    <x v="0"/>
    <x v="3"/>
    <x v="39"/>
    <x v="12"/>
  </r>
  <r>
    <x v="1111"/>
    <x v="56"/>
    <x v="7"/>
    <x v="7"/>
    <x v="184"/>
    <x v="6"/>
    <x v="3"/>
    <x v="20"/>
    <x v="12"/>
  </r>
  <r>
    <x v="1112"/>
    <x v="21"/>
    <x v="1"/>
    <x v="0"/>
    <x v="184"/>
    <x v="0"/>
    <x v="0"/>
    <x v="28"/>
    <x v="12"/>
  </r>
  <r>
    <x v="1113"/>
    <x v="8"/>
    <x v="15"/>
    <x v="6"/>
    <x v="174"/>
    <x v="0"/>
    <x v="0"/>
    <x v="5"/>
    <x v="12"/>
  </r>
  <r>
    <x v="1114"/>
    <x v="49"/>
    <x v="4"/>
    <x v="0"/>
    <x v="189"/>
    <x v="3"/>
    <x v="10"/>
    <x v="92"/>
    <x v="12"/>
  </r>
  <r>
    <x v="1115"/>
    <x v="11"/>
    <x v="4"/>
    <x v="13"/>
    <x v="190"/>
    <x v="11"/>
    <x v="6"/>
    <x v="232"/>
    <x v="12"/>
  </r>
  <r>
    <x v="1116"/>
    <x v="92"/>
    <x v="7"/>
    <x v="2"/>
    <x v="191"/>
    <x v="0"/>
    <x v="3"/>
    <x v="233"/>
    <x v="12"/>
  </r>
  <r>
    <x v="1117"/>
    <x v="50"/>
    <x v="15"/>
    <x v="5"/>
    <x v="192"/>
    <x v="9"/>
    <x v="10"/>
    <x v="117"/>
    <x v="12"/>
  </r>
  <r>
    <x v="1118"/>
    <x v="9"/>
    <x v="20"/>
    <x v="6"/>
    <x v="193"/>
    <x v="2"/>
    <x v="9"/>
    <x v="234"/>
    <x v="12"/>
  </r>
  <r>
    <x v="1119"/>
    <x v="98"/>
    <x v="13"/>
    <x v="6"/>
    <x v="194"/>
    <x v="7"/>
    <x v="7"/>
    <x v="95"/>
    <x v="12"/>
  </r>
  <r>
    <x v="1120"/>
    <x v="64"/>
    <x v="13"/>
    <x v="14"/>
    <x v="195"/>
    <x v="9"/>
    <x v="2"/>
    <x v="59"/>
    <x v="12"/>
  </r>
  <r>
    <x v="1121"/>
    <x v="61"/>
    <x v="11"/>
    <x v="5"/>
    <x v="193"/>
    <x v="0"/>
    <x v="3"/>
    <x v="71"/>
    <x v="12"/>
  </r>
  <r>
    <x v="1122"/>
    <x v="1"/>
    <x v="1"/>
    <x v="3"/>
    <x v="188"/>
    <x v="1"/>
    <x v="2"/>
    <x v="227"/>
    <x v="12"/>
  </r>
  <r>
    <x v="1123"/>
    <x v="69"/>
    <x v="9"/>
    <x v="13"/>
    <x v="196"/>
    <x v="1"/>
    <x v="2"/>
    <x v="168"/>
    <x v="12"/>
  </r>
  <r>
    <x v="1124"/>
    <x v="47"/>
    <x v="0"/>
    <x v="8"/>
    <x v="177"/>
    <x v="13"/>
    <x v="3"/>
    <x v="40"/>
    <x v="12"/>
  </r>
  <r>
    <x v="1125"/>
    <x v="26"/>
    <x v="5"/>
    <x v="12"/>
    <x v="172"/>
    <x v="1"/>
    <x v="5"/>
    <x v="167"/>
    <x v="12"/>
  </r>
  <r>
    <x v="1126"/>
    <x v="71"/>
    <x v="0"/>
    <x v="0"/>
    <x v="187"/>
    <x v="11"/>
    <x v="1"/>
    <x v="6"/>
    <x v="12"/>
  </r>
  <r>
    <x v="1127"/>
    <x v="63"/>
    <x v="0"/>
    <x v="8"/>
    <x v="173"/>
    <x v="3"/>
    <x v="9"/>
    <x v="94"/>
    <x v="12"/>
  </r>
  <r>
    <x v="1128"/>
    <x v="35"/>
    <x v="0"/>
    <x v="0"/>
    <x v="190"/>
    <x v="2"/>
    <x v="4"/>
    <x v="57"/>
    <x v="12"/>
  </r>
  <r>
    <x v="1129"/>
    <x v="66"/>
    <x v="13"/>
    <x v="2"/>
    <x v="197"/>
    <x v="8"/>
    <x v="9"/>
    <x v="83"/>
    <x v="12"/>
  </r>
  <r>
    <x v="1130"/>
    <x v="83"/>
    <x v="4"/>
    <x v="16"/>
    <x v="198"/>
    <x v="13"/>
    <x v="9"/>
    <x v="235"/>
    <x v="12"/>
  </r>
  <r>
    <x v="1131"/>
    <x v="51"/>
    <x v="20"/>
    <x v="9"/>
    <x v="174"/>
    <x v="7"/>
    <x v="7"/>
    <x v="6"/>
    <x v="12"/>
  </r>
  <r>
    <x v="1132"/>
    <x v="62"/>
    <x v="1"/>
    <x v="6"/>
    <x v="181"/>
    <x v="2"/>
    <x v="3"/>
    <x v="236"/>
    <x v="12"/>
  </r>
  <r>
    <x v="1133"/>
    <x v="6"/>
    <x v="18"/>
    <x v="9"/>
    <x v="199"/>
    <x v="7"/>
    <x v="6"/>
    <x v="211"/>
    <x v="12"/>
  </r>
  <r>
    <x v="1134"/>
    <x v="2"/>
    <x v="18"/>
    <x v="5"/>
    <x v="166"/>
    <x v="2"/>
    <x v="3"/>
    <x v="13"/>
    <x v="12"/>
  </r>
  <r>
    <x v="1135"/>
    <x v="12"/>
    <x v="5"/>
    <x v="11"/>
    <x v="172"/>
    <x v="4"/>
    <x v="4"/>
    <x v="127"/>
    <x v="12"/>
  </r>
  <r>
    <x v="1136"/>
    <x v="78"/>
    <x v="20"/>
    <x v="5"/>
    <x v="200"/>
    <x v="2"/>
    <x v="3"/>
    <x v="99"/>
    <x v="12"/>
  </r>
  <r>
    <x v="1137"/>
    <x v="58"/>
    <x v="11"/>
    <x v="6"/>
    <x v="197"/>
    <x v="8"/>
    <x v="6"/>
    <x v="71"/>
    <x v="12"/>
  </r>
  <r>
    <x v="1138"/>
    <x v="84"/>
    <x v="9"/>
    <x v="8"/>
    <x v="182"/>
    <x v="8"/>
    <x v="0"/>
    <x v="184"/>
    <x v="12"/>
  </r>
  <r>
    <x v="1139"/>
    <x v="86"/>
    <x v="6"/>
    <x v="4"/>
    <x v="201"/>
    <x v="11"/>
    <x v="4"/>
    <x v="237"/>
    <x v="12"/>
  </r>
  <r>
    <x v="1140"/>
    <x v="96"/>
    <x v="5"/>
    <x v="7"/>
    <x v="202"/>
    <x v="2"/>
    <x v="3"/>
    <x v="71"/>
    <x v="12"/>
  </r>
  <r>
    <x v="1141"/>
    <x v="90"/>
    <x v="20"/>
    <x v="6"/>
    <x v="200"/>
    <x v="4"/>
    <x v="3"/>
    <x v="58"/>
    <x v="12"/>
  </r>
  <r>
    <x v="1142"/>
    <x v="48"/>
    <x v="6"/>
    <x v="4"/>
    <x v="181"/>
    <x v="0"/>
    <x v="3"/>
    <x v="205"/>
    <x v="12"/>
  </r>
  <r>
    <x v="1143"/>
    <x v="25"/>
    <x v="18"/>
    <x v="6"/>
    <x v="203"/>
    <x v="5"/>
    <x v="4"/>
    <x v="171"/>
    <x v="12"/>
  </r>
  <r>
    <x v="1144"/>
    <x v="97"/>
    <x v="15"/>
    <x v="5"/>
    <x v="193"/>
    <x v="1"/>
    <x v="5"/>
    <x v="152"/>
    <x v="12"/>
  </r>
  <r>
    <x v="1145"/>
    <x v="20"/>
    <x v="0"/>
    <x v="8"/>
    <x v="172"/>
    <x v="8"/>
    <x v="5"/>
    <x v="6"/>
    <x v="12"/>
  </r>
  <r>
    <x v="1146"/>
    <x v="77"/>
    <x v="20"/>
    <x v="5"/>
    <x v="164"/>
    <x v="1"/>
    <x v="10"/>
    <x v="91"/>
    <x v="12"/>
  </r>
  <r>
    <x v="1147"/>
    <x v="80"/>
    <x v="0"/>
    <x v="4"/>
    <x v="184"/>
    <x v="11"/>
    <x v="6"/>
    <x v="71"/>
    <x v="12"/>
  </r>
  <r>
    <x v="1148"/>
    <x v="38"/>
    <x v="8"/>
    <x v="8"/>
    <x v="204"/>
    <x v="11"/>
    <x v="1"/>
    <x v="101"/>
    <x v="12"/>
  </r>
  <r>
    <x v="1149"/>
    <x v="32"/>
    <x v="18"/>
    <x v="5"/>
    <x v="199"/>
    <x v="0"/>
    <x v="0"/>
    <x v="31"/>
    <x v="12"/>
  </r>
  <r>
    <x v="1150"/>
    <x v="52"/>
    <x v="4"/>
    <x v="6"/>
    <x v="182"/>
    <x v="0"/>
    <x v="4"/>
    <x v="52"/>
    <x v="12"/>
  </r>
  <r>
    <x v="1151"/>
    <x v="28"/>
    <x v="4"/>
    <x v="7"/>
    <x v="205"/>
    <x v="5"/>
    <x v="9"/>
    <x v="28"/>
    <x v="12"/>
  </r>
  <r>
    <x v="1152"/>
    <x v="22"/>
    <x v="18"/>
    <x v="9"/>
    <x v="206"/>
    <x v="8"/>
    <x v="1"/>
    <x v="131"/>
    <x v="12"/>
  </r>
  <r>
    <x v="1153"/>
    <x v="15"/>
    <x v="6"/>
    <x v="9"/>
    <x v="191"/>
    <x v="9"/>
    <x v="2"/>
    <x v="101"/>
    <x v="12"/>
  </r>
  <r>
    <x v="1154"/>
    <x v="5"/>
    <x v="18"/>
    <x v="3"/>
    <x v="207"/>
    <x v="0"/>
    <x v="4"/>
    <x v="10"/>
    <x v="12"/>
  </r>
  <r>
    <x v="1155"/>
    <x v="34"/>
    <x v="18"/>
    <x v="4"/>
    <x v="171"/>
    <x v="8"/>
    <x v="0"/>
    <x v="51"/>
    <x v="12"/>
  </r>
  <r>
    <x v="1156"/>
    <x v="76"/>
    <x v="15"/>
    <x v="4"/>
    <x v="208"/>
    <x v="1"/>
    <x v="4"/>
    <x v="145"/>
    <x v="12"/>
  </r>
  <r>
    <x v="1157"/>
    <x v="41"/>
    <x v="6"/>
    <x v="9"/>
    <x v="188"/>
    <x v="4"/>
    <x v="3"/>
    <x v="215"/>
    <x v="12"/>
  </r>
  <r>
    <x v="1158"/>
    <x v="70"/>
    <x v="20"/>
    <x v="6"/>
    <x v="197"/>
    <x v="3"/>
    <x v="7"/>
    <x v="11"/>
    <x v="12"/>
  </r>
  <r>
    <x v="1159"/>
    <x v="90"/>
    <x v="1"/>
    <x v="7"/>
    <x v="188"/>
    <x v="13"/>
    <x v="3"/>
    <x v="238"/>
    <x v="12"/>
  </r>
  <r>
    <x v="1160"/>
    <x v="43"/>
    <x v="16"/>
    <x v="7"/>
    <x v="184"/>
    <x v="14"/>
    <x v="7"/>
    <x v="58"/>
    <x v="12"/>
  </r>
  <r>
    <x v="1161"/>
    <x v="0"/>
    <x v="7"/>
    <x v="4"/>
    <x v="175"/>
    <x v="3"/>
    <x v="10"/>
    <x v="37"/>
    <x v="12"/>
  </r>
  <r>
    <x v="1162"/>
    <x v="99"/>
    <x v="1"/>
    <x v="0"/>
    <x v="202"/>
    <x v="2"/>
    <x v="3"/>
    <x v="4"/>
    <x v="12"/>
  </r>
  <r>
    <x v="1163"/>
    <x v="90"/>
    <x v="5"/>
    <x v="0"/>
    <x v="209"/>
    <x v="1"/>
    <x v="5"/>
    <x v="22"/>
    <x v="12"/>
  </r>
  <r>
    <x v="1164"/>
    <x v="33"/>
    <x v="18"/>
    <x v="6"/>
    <x v="210"/>
    <x v="11"/>
    <x v="4"/>
    <x v="138"/>
    <x v="12"/>
  </r>
  <r>
    <x v="1165"/>
    <x v="40"/>
    <x v="18"/>
    <x v="4"/>
    <x v="211"/>
    <x v="2"/>
    <x v="0"/>
    <x v="6"/>
    <x v="12"/>
  </r>
  <r>
    <x v="1166"/>
    <x v="8"/>
    <x v="13"/>
    <x v="2"/>
    <x v="52"/>
    <x v="0"/>
    <x v="9"/>
    <x v="239"/>
    <x v="13"/>
  </r>
  <r>
    <x v="1167"/>
    <x v="43"/>
    <x v="16"/>
    <x v="6"/>
    <x v="13"/>
    <x v="15"/>
    <x v="13"/>
    <x v="69"/>
    <x v="13"/>
  </r>
  <r>
    <x v="1168"/>
    <x v="33"/>
    <x v="18"/>
    <x v="5"/>
    <x v="105"/>
    <x v="8"/>
    <x v="6"/>
    <x v="138"/>
    <x v="13"/>
  </r>
  <r>
    <x v="1169"/>
    <x v="78"/>
    <x v="13"/>
    <x v="14"/>
    <x v="99"/>
    <x v="0"/>
    <x v="4"/>
    <x v="210"/>
    <x v="13"/>
  </r>
  <r>
    <x v="1170"/>
    <x v="13"/>
    <x v="18"/>
    <x v="5"/>
    <x v="6"/>
    <x v="1"/>
    <x v="5"/>
    <x v="205"/>
    <x v="13"/>
  </r>
  <r>
    <x v="1171"/>
    <x v="27"/>
    <x v="9"/>
    <x v="6"/>
    <x v="24"/>
    <x v="2"/>
    <x v="3"/>
    <x v="240"/>
    <x v="13"/>
  </r>
  <r>
    <x v="1172"/>
    <x v="82"/>
    <x v="15"/>
    <x v="6"/>
    <x v="57"/>
    <x v="0"/>
    <x v="0"/>
    <x v="18"/>
    <x v="13"/>
  </r>
  <r>
    <x v="1173"/>
    <x v="57"/>
    <x v="4"/>
    <x v="0"/>
    <x v="10"/>
    <x v="2"/>
    <x v="3"/>
    <x v="3"/>
    <x v="13"/>
  </r>
  <r>
    <x v="1174"/>
    <x v="61"/>
    <x v="11"/>
    <x v="5"/>
    <x v="212"/>
    <x v="2"/>
    <x v="4"/>
    <x v="145"/>
    <x v="13"/>
  </r>
  <r>
    <x v="1175"/>
    <x v="1"/>
    <x v="1"/>
    <x v="7"/>
    <x v="38"/>
    <x v="3"/>
    <x v="6"/>
    <x v="58"/>
    <x v="13"/>
  </r>
  <r>
    <x v="1176"/>
    <x v="58"/>
    <x v="11"/>
    <x v="6"/>
    <x v="8"/>
    <x v="8"/>
    <x v="4"/>
    <x v="82"/>
    <x v="13"/>
  </r>
  <r>
    <x v="283"/>
    <x v="49"/>
    <x v="4"/>
    <x v="8"/>
    <x v="25"/>
    <x v="1"/>
    <x v="10"/>
    <x v="111"/>
    <x v="13"/>
  </r>
  <r>
    <x v="1177"/>
    <x v="81"/>
    <x v="4"/>
    <x v="7"/>
    <x v="51"/>
    <x v="11"/>
    <x v="0"/>
    <x v="181"/>
    <x v="13"/>
  </r>
  <r>
    <x v="1178"/>
    <x v="41"/>
    <x v="0"/>
    <x v="3"/>
    <x v="19"/>
    <x v="11"/>
    <x v="5"/>
    <x v="6"/>
    <x v="13"/>
  </r>
  <r>
    <x v="1179"/>
    <x v="62"/>
    <x v="11"/>
    <x v="5"/>
    <x v="146"/>
    <x v="13"/>
    <x v="3"/>
    <x v="241"/>
    <x v="13"/>
  </r>
  <r>
    <x v="1180"/>
    <x v="80"/>
    <x v="6"/>
    <x v="2"/>
    <x v="105"/>
    <x v="11"/>
    <x v="9"/>
    <x v="69"/>
    <x v="13"/>
  </r>
  <r>
    <x v="1181"/>
    <x v="70"/>
    <x v="1"/>
    <x v="6"/>
    <x v="62"/>
    <x v="4"/>
    <x v="3"/>
    <x v="11"/>
    <x v="13"/>
  </r>
  <r>
    <x v="1182"/>
    <x v="53"/>
    <x v="13"/>
    <x v="5"/>
    <x v="91"/>
    <x v="3"/>
    <x v="1"/>
    <x v="54"/>
    <x v="13"/>
  </r>
  <r>
    <x v="1183"/>
    <x v="56"/>
    <x v="1"/>
    <x v="6"/>
    <x v="9"/>
    <x v="0"/>
    <x v="4"/>
    <x v="11"/>
    <x v="13"/>
  </r>
  <r>
    <x v="1184"/>
    <x v="14"/>
    <x v="9"/>
    <x v="7"/>
    <x v="124"/>
    <x v="2"/>
    <x v="9"/>
    <x v="111"/>
    <x v="13"/>
  </r>
  <r>
    <x v="1185"/>
    <x v="91"/>
    <x v="5"/>
    <x v="8"/>
    <x v="13"/>
    <x v="13"/>
    <x v="3"/>
    <x v="76"/>
    <x v="13"/>
  </r>
  <r>
    <x v="1186"/>
    <x v="67"/>
    <x v="4"/>
    <x v="3"/>
    <x v="51"/>
    <x v="2"/>
    <x v="0"/>
    <x v="71"/>
    <x v="13"/>
  </r>
  <r>
    <x v="1187"/>
    <x v="71"/>
    <x v="7"/>
    <x v="6"/>
    <x v="124"/>
    <x v="8"/>
    <x v="4"/>
    <x v="86"/>
    <x v="13"/>
  </r>
  <r>
    <x v="1188"/>
    <x v="26"/>
    <x v="5"/>
    <x v="0"/>
    <x v="36"/>
    <x v="0"/>
    <x v="0"/>
    <x v="34"/>
    <x v="13"/>
  </r>
  <r>
    <x v="1189"/>
    <x v="63"/>
    <x v="0"/>
    <x v="7"/>
    <x v="43"/>
    <x v="0"/>
    <x v="3"/>
    <x v="140"/>
    <x v="13"/>
  </r>
  <r>
    <x v="1190"/>
    <x v="94"/>
    <x v="5"/>
    <x v="0"/>
    <x v="1"/>
    <x v="5"/>
    <x v="10"/>
    <x v="6"/>
    <x v="13"/>
  </r>
  <r>
    <x v="1191"/>
    <x v="7"/>
    <x v="15"/>
    <x v="6"/>
    <x v="213"/>
    <x v="8"/>
    <x v="3"/>
    <x v="57"/>
    <x v="13"/>
  </r>
  <r>
    <x v="1192"/>
    <x v="5"/>
    <x v="11"/>
    <x v="6"/>
    <x v="91"/>
    <x v="2"/>
    <x v="9"/>
    <x v="2"/>
    <x v="13"/>
  </r>
  <r>
    <x v="1193"/>
    <x v="51"/>
    <x v="20"/>
    <x v="4"/>
    <x v="41"/>
    <x v="0"/>
    <x v="4"/>
    <x v="137"/>
    <x v="13"/>
  </r>
  <r>
    <x v="1194"/>
    <x v="45"/>
    <x v="0"/>
    <x v="6"/>
    <x v="43"/>
    <x v="0"/>
    <x v="4"/>
    <x v="51"/>
    <x v="13"/>
  </r>
  <r>
    <x v="1195"/>
    <x v="10"/>
    <x v="6"/>
    <x v="4"/>
    <x v="145"/>
    <x v="2"/>
    <x v="3"/>
    <x v="18"/>
    <x v="13"/>
  </r>
  <r>
    <x v="1196"/>
    <x v="16"/>
    <x v="18"/>
    <x v="6"/>
    <x v="71"/>
    <x v="5"/>
    <x v="2"/>
    <x v="76"/>
    <x v="13"/>
  </r>
  <r>
    <x v="1197"/>
    <x v="56"/>
    <x v="0"/>
    <x v="7"/>
    <x v="24"/>
    <x v="2"/>
    <x v="3"/>
    <x v="42"/>
    <x v="13"/>
  </r>
  <r>
    <x v="1198"/>
    <x v="32"/>
    <x v="11"/>
    <x v="3"/>
    <x v="144"/>
    <x v="8"/>
    <x v="0"/>
    <x v="58"/>
    <x v="13"/>
  </r>
  <r>
    <x v="1199"/>
    <x v="37"/>
    <x v="0"/>
    <x v="7"/>
    <x v="149"/>
    <x v="11"/>
    <x v="6"/>
    <x v="109"/>
    <x v="13"/>
  </r>
  <r>
    <x v="1200"/>
    <x v="74"/>
    <x v="8"/>
    <x v="8"/>
    <x v="110"/>
    <x v="13"/>
    <x v="3"/>
    <x v="29"/>
    <x v="13"/>
  </r>
  <r>
    <x v="1201"/>
    <x v="25"/>
    <x v="1"/>
    <x v="6"/>
    <x v="150"/>
    <x v="11"/>
    <x v="1"/>
    <x v="137"/>
    <x v="13"/>
  </r>
  <r>
    <x v="1202"/>
    <x v="40"/>
    <x v="18"/>
    <x v="4"/>
    <x v="79"/>
    <x v="0"/>
    <x v="4"/>
    <x v="35"/>
    <x v="13"/>
  </r>
  <r>
    <x v="1203"/>
    <x v="31"/>
    <x v="4"/>
    <x v="6"/>
    <x v="21"/>
    <x v="14"/>
    <x v="10"/>
    <x v="75"/>
    <x v="13"/>
  </r>
  <r>
    <x v="1204"/>
    <x v="35"/>
    <x v="7"/>
    <x v="7"/>
    <x v="43"/>
    <x v="5"/>
    <x v="1"/>
    <x v="43"/>
    <x v="13"/>
  </r>
  <r>
    <x v="1205"/>
    <x v="42"/>
    <x v="1"/>
    <x v="6"/>
    <x v="62"/>
    <x v="0"/>
    <x v="3"/>
    <x v="47"/>
    <x v="13"/>
  </r>
  <r>
    <x v="1206"/>
    <x v="99"/>
    <x v="1"/>
    <x v="0"/>
    <x v="66"/>
    <x v="0"/>
    <x v="3"/>
    <x v="39"/>
    <x v="13"/>
  </r>
  <r>
    <x v="1207"/>
    <x v="19"/>
    <x v="6"/>
    <x v="5"/>
    <x v="146"/>
    <x v="2"/>
    <x v="3"/>
    <x v="42"/>
    <x v="13"/>
  </r>
  <r>
    <x v="1208"/>
    <x v="98"/>
    <x v="11"/>
    <x v="6"/>
    <x v="68"/>
    <x v="0"/>
    <x v="1"/>
    <x v="12"/>
    <x v="13"/>
  </r>
  <r>
    <x v="1209"/>
    <x v="65"/>
    <x v="9"/>
    <x v="3"/>
    <x v="30"/>
    <x v="11"/>
    <x v="5"/>
    <x v="6"/>
    <x v="13"/>
  </r>
  <r>
    <x v="1210"/>
    <x v="49"/>
    <x v="0"/>
    <x v="7"/>
    <x v="149"/>
    <x v="13"/>
    <x v="3"/>
    <x v="199"/>
    <x v="13"/>
  </r>
  <r>
    <x v="1211"/>
    <x v="21"/>
    <x v="1"/>
    <x v="3"/>
    <x v="35"/>
    <x v="0"/>
    <x v="3"/>
    <x v="110"/>
    <x v="13"/>
  </r>
  <r>
    <x v="1212"/>
    <x v="90"/>
    <x v="1"/>
    <x v="3"/>
    <x v="55"/>
    <x v="8"/>
    <x v="1"/>
    <x v="32"/>
    <x v="13"/>
  </r>
  <r>
    <x v="1213"/>
    <x v="60"/>
    <x v="15"/>
    <x v="6"/>
    <x v="40"/>
    <x v="0"/>
    <x v="9"/>
    <x v="92"/>
    <x v="13"/>
  </r>
  <r>
    <x v="1214"/>
    <x v="74"/>
    <x v="4"/>
    <x v="7"/>
    <x v="70"/>
    <x v="4"/>
    <x v="4"/>
    <x v="145"/>
    <x v="13"/>
  </r>
  <r>
    <x v="1215"/>
    <x v="36"/>
    <x v="9"/>
    <x v="5"/>
    <x v="36"/>
    <x v="1"/>
    <x v="2"/>
    <x v="41"/>
    <x v="13"/>
  </r>
  <r>
    <x v="1216"/>
    <x v="48"/>
    <x v="0"/>
    <x v="3"/>
    <x v="0"/>
    <x v="2"/>
    <x v="0"/>
    <x v="58"/>
    <x v="13"/>
  </r>
  <r>
    <x v="1217"/>
    <x v="22"/>
    <x v="18"/>
    <x v="6"/>
    <x v="92"/>
    <x v="7"/>
    <x v="7"/>
    <x v="95"/>
    <x v="13"/>
  </r>
  <r>
    <x v="1218"/>
    <x v="72"/>
    <x v="4"/>
    <x v="12"/>
    <x v="51"/>
    <x v="11"/>
    <x v="5"/>
    <x v="28"/>
    <x v="13"/>
  </r>
  <r>
    <x v="1219"/>
    <x v="4"/>
    <x v="15"/>
    <x v="6"/>
    <x v="83"/>
    <x v="13"/>
    <x v="3"/>
    <x v="57"/>
    <x v="13"/>
  </r>
  <r>
    <x v="1220"/>
    <x v="95"/>
    <x v="20"/>
    <x v="5"/>
    <x v="47"/>
    <x v="9"/>
    <x v="7"/>
    <x v="4"/>
    <x v="13"/>
  </r>
  <r>
    <x v="1221"/>
    <x v="68"/>
    <x v="20"/>
    <x v="4"/>
    <x v="68"/>
    <x v="0"/>
    <x v="1"/>
    <x v="10"/>
    <x v="13"/>
  </r>
  <r>
    <x v="1222"/>
    <x v="30"/>
    <x v="6"/>
    <x v="4"/>
    <x v="107"/>
    <x v="0"/>
    <x v="0"/>
    <x v="28"/>
    <x v="13"/>
  </r>
  <r>
    <x v="1223"/>
    <x v="39"/>
    <x v="14"/>
    <x v="3"/>
    <x v="100"/>
    <x v="12"/>
    <x v="12"/>
    <x v="6"/>
    <x v="13"/>
  </r>
  <r>
    <x v="1224"/>
    <x v="84"/>
    <x v="4"/>
    <x v="7"/>
    <x v="37"/>
    <x v="2"/>
    <x v="3"/>
    <x v="145"/>
    <x v="13"/>
  </r>
  <r>
    <x v="1225"/>
    <x v="29"/>
    <x v="9"/>
    <x v="5"/>
    <x v="24"/>
    <x v="4"/>
    <x v="4"/>
    <x v="34"/>
    <x v="13"/>
  </r>
  <r>
    <x v="1226"/>
    <x v="73"/>
    <x v="10"/>
    <x v="3"/>
    <x v="64"/>
    <x v="11"/>
    <x v="1"/>
    <x v="105"/>
    <x v="13"/>
  </r>
  <r>
    <x v="1227"/>
    <x v="6"/>
    <x v="11"/>
    <x v="3"/>
    <x v="44"/>
    <x v="2"/>
    <x v="4"/>
    <x v="7"/>
    <x v="13"/>
  </r>
  <r>
    <x v="1228"/>
    <x v="0"/>
    <x v="1"/>
    <x v="6"/>
    <x v="15"/>
    <x v="2"/>
    <x v="4"/>
    <x v="10"/>
    <x v="13"/>
  </r>
  <r>
    <x v="1229"/>
    <x v="69"/>
    <x v="5"/>
    <x v="0"/>
    <x v="124"/>
    <x v="8"/>
    <x v="1"/>
    <x v="168"/>
    <x v="13"/>
  </r>
  <r>
    <x v="1230"/>
    <x v="55"/>
    <x v="7"/>
    <x v="3"/>
    <x v="107"/>
    <x v="3"/>
    <x v="10"/>
    <x v="131"/>
    <x v="13"/>
  </r>
  <r>
    <x v="1231"/>
    <x v="59"/>
    <x v="10"/>
    <x v="0"/>
    <x v="77"/>
    <x v="8"/>
    <x v="9"/>
    <x v="44"/>
    <x v="13"/>
  </r>
  <r>
    <x v="1232"/>
    <x v="34"/>
    <x v="11"/>
    <x v="4"/>
    <x v="108"/>
    <x v="2"/>
    <x v="3"/>
    <x v="22"/>
    <x v="13"/>
  </r>
  <r>
    <x v="1233"/>
    <x v="38"/>
    <x v="0"/>
    <x v="7"/>
    <x v="156"/>
    <x v="13"/>
    <x v="3"/>
    <x v="84"/>
    <x v="13"/>
  </r>
  <r>
    <x v="1234"/>
    <x v="20"/>
    <x v="7"/>
    <x v="6"/>
    <x v="19"/>
    <x v="1"/>
    <x v="6"/>
    <x v="118"/>
    <x v="13"/>
  </r>
  <r>
    <x v="1235"/>
    <x v="24"/>
    <x v="6"/>
    <x v="4"/>
    <x v="145"/>
    <x v="11"/>
    <x v="6"/>
    <x v="51"/>
    <x v="13"/>
  </r>
  <r>
    <x v="1236"/>
    <x v="12"/>
    <x v="5"/>
    <x v="13"/>
    <x v="65"/>
    <x v="13"/>
    <x v="3"/>
    <x v="33"/>
    <x v="13"/>
  </r>
  <r>
    <x v="1237"/>
    <x v="76"/>
    <x v="13"/>
    <x v="4"/>
    <x v="61"/>
    <x v="0"/>
    <x v="3"/>
    <x v="242"/>
    <x v="13"/>
  </r>
  <r>
    <x v="1238"/>
    <x v="86"/>
    <x v="0"/>
    <x v="3"/>
    <x v="43"/>
    <x v="2"/>
    <x v="9"/>
    <x v="35"/>
    <x v="13"/>
  </r>
  <r>
    <x v="1239"/>
    <x v="97"/>
    <x v="3"/>
    <x v="9"/>
    <x v="23"/>
    <x v="6"/>
    <x v="3"/>
    <x v="99"/>
    <x v="13"/>
  </r>
  <r>
    <x v="1240"/>
    <x v="3"/>
    <x v="13"/>
    <x v="4"/>
    <x v="52"/>
    <x v="9"/>
    <x v="12"/>
    <x v="27"/>
    <x v="13"/>
  </r>
  <r>
    <x v="1241"/>
    <x v="87"/>
    <x v="6"/>
    <x v="4"/>
    <x v="17"/>
    <x v="5"/>
    <x v="5"/>
    <x v="22"/>
    <x v="13"/>
  </r>
  <r>
    <x v="1242"/>
    <x v="64"/>
    <x v="13"/>
    <x v="9"/>
    <x v="12"/>
    <x v="8"/>
    <x v="0"/>
    <x v="29"/>
    <x v="13"/>
  </r>
  <r>
    <x v="1243"/>
    <x v="89"/>
    <x v="18"/>
    <x v="6"/>
    <x v="101"/>
    <x v="13"/>
    <x v="3"/>
    <x v="61"/>
    <x v="13"/>
  </r>
  <r>
    <x v="1244"/>
    <x v="11"/>
    <x v="4"/>
    <x v="3"/>
    <x v="0"/>
    <x v="4"/>
    <x v="3"/>
    <x v="27"/>
    <x v="13"/>
  </r>
  <r>
    <x v="1245"/>
    <x v="28"/>
    <x v="9"/>
    <x v="6"/>
    <x v="110"/>
    <x v="4"/>
    <x v="3"/>
    <x v="40"/>
    <x v="13"/>
  </r>
  <r>
    <x v="1246"/>
    <x v="46"/>
    <x v="0"/>
    <x v="7"/>
    <x v="51"/>
    <x v="2"/>
    <x v="3"/>
    <x v="184"/>
    <x v="13"/>
  </r>
  <r>
    <x v="1247"/>
    <x v="18"/>
    <x v="1"/>
    <x v="5"/>
    <x v="63"/>
    <x v="11"/>
    <x v="6"/>
    <x v="95"/>
    <x v="13"/>
  </r>
  <r>
    <x v="1248"/>
    <x v="85"/>
    <x v="0"/>
    <x v="4"/>
    <x v="42"/>
    <x v="2"/>
    <x v="9"/>
    <x v="29"/>
    <x v="13"/>
  </r>
  <r>
    <x v="1249"/>
    <x v="77"/>
    <x v="13"/>
    <x v="14"/>
    <x v="45"/>
    <x v="4"/>
    <x v="3"/>
    <x v="243"/>
    <x v="13"/>
  </r>
  <r>
    <x v="1250"/>
    <x v="47"/>
    <x v="0"/>
    <x v="8"/>
    <x v="54"/>
    <x v="11"/>
    <x v="6"/>
    <x v="39"/>
    <x v="13"/>
  </r>
  <r>
    <x v="1251"/>
    <x v="2"/>
    <x v="18"/>
    <x v="6"/>
    <x v="45"/>
    <x v="1"/>
    <x v="5"/>
    <x v="41"/>
    <x v="13"/>
  </r>
  <r>
    <x v="1252"/>
    <x v="75"/>
    <x v="18"/>
    <x v="5"/>
    <x v="71"/>
    <x v="2"/>
    <x v="3"/>
    <x v="140"/>
    <x v="13"/>
  </r>
  <r>
    <x v="1253"/>
    <x v="38"/>
    <x v="9"/>
    <x v="0"/>
    <x v="123"/>
    <x v="5"/>
    <x v="1"/>
    <x v="47"/>
    <x v="13"/>
  </r>
  <r>
    <x v="1254"/>
    <x v="52"/>
    <x v="4"/>
    <x v="5"/>
    <x v="37"/>
    <x v="2"/>
    <x v="4"/>
    <x v="105"/>
    <x v="13"/>
  </r>
  <r>
    <x v="1255"/>
    <x v="34"/>
    <x v="2"/>
    <x v="6"/>
    <x v="8"/>
    <x v="0"/>
    <x v="0"/>
    <x v="22"/>
    <x v="14"/>
  </r>
  <r>
    <x v="1256"/>
    <x v="17"/>
    <x v="17"/>
    <x v="5"/>
    <x v="75"/>
    <x v="2"/>
    <x v="3"/>
    <x v="71"/>
    <x v="14"/>
  </r>
  <r>
    <x v="1257"/>
    <x v="53"/>
    <x v="13"/>
    <x v="4"/>
    <x v="8"/>
    <x v="11"/>
    <x v="1"/>
    <x v="32"/>
    <x v="14"/>
  </r>
  <r>
    <x v="1258"/>
    <x v="44"/>
    <x v="4"/>
    <x v="7"/>
    <x v="149"/>
    <x v="11"/>
    <x v="1"/>
    <x v="36"/>
    <x v="14"/>
  </r>
  <r>
    <x v="1259"/>
    <x v="78"/>
    <x v="13"/>
    <x v="9"/>
    <x v="73"/>
    <x v="11"/>
    <x v="9"/>
    <x v="0"/>
    <x v="14"/>
  </r>
  <r>
    <x v="1260"/>
    <x v="91"/>
    <x v="4"/>
    <x v="12"/>
    <x v="21"/>
    <x v="2"/>
    <x v="0"/>
    <x v="84"/>
    <x v="14"/>
  </r>
  <r>
    <x v="1261"/>
    <x v="47"/>
    <x v="10"/>
    <x v="6"/>
    <x v="105"/>
    <x v="11"/>
    <x v="1"/>
    <x v="32"/>
    <x v="14"/>
  </r>
  <r>
    <x v="1262"/>
    <x v="59"/>
    <x v="14"/>
    <x v="3"/>
    <x v="14"/>
    <x v="8"/>
    <x v="0"/>
    <x v="244"/>
    <x v="14"/>
  </r>
  <r>
    <x v="1263"/>
    <x v="98"/>
    <x v="13"/>
    <x v="4"/>
    <x v="8"/>
    <x v="7"/>
    <x v="5"/>
    <x v="61"/>
    <x v="14"/>
  </r>
  <r>
    <x v="1264"/>
    <x v="93"/>
    <x v="17"/>
    <x v="6"/>
    <x v="62"/>
    <x v="4"/>
    <x v="3"/>
    <x v="58"/>
    <x v="14"/>
  </r>
  <r>
    <x v="1265"/>
    <x v="81"/>
    <x v="5"/>
    <x v="12"/>
    <x v="109"/>
    <x v="11"/>
    <x v="6"/>
    <x v="88"/>
    <x v="14"/>
  </r>
  <r>
    <x v="1266"/>
    <x v="7"/>
    <x v="20"/>
    <x v="9"/>
    <x v="84"/>
    <x v="1"/>
    <x v="0"/>
    <x v="28"/>
    <x v="14"/>
  </r>
  <r>
    <x v="1267"/>
    <x v="16"/>
    <x v="1"/>
    <x v="6"/>
    <x v="62"/>
    <x v="2"/>
    <x v="4"/>
    <x v="6"/>
    <x v="14"/>
  </r>
  <r>
    <x v="1268"/>
    <x v="18"/>
    <x v="17"/>
    <x v="5"/>
    <x v="28"/>
    <x v="11"/>
    <x v="6"/>
    <x v="31"/>
    <x v="14"/>
  </r>
  <r>
    <x v="1269"/>
    <x v="85"/>
    <x v="0"/>
    <x v="3"/>
    <x v="24"/>
    <x v="0"/>
    <x v="0"/>
    <x v="76"/>
    <x v="14"/>
  </r>
  <r>
    <x v="1270"/>
    <x v="50"/>
    <x v="3"/>
    <x v="4"/>
    <x v="47"/>
    <x v="15"/>
    <x v="11"/>
    <x v="207"/>
    <x v="14"/>
  </r>
  <r>
    <x v="1271"/>
    <x v="70"/>
    <x v="17"/>
    <x v="5"/>
    <x v="158"/>
    <x v="0"/>
    <x v="4"/>
    <x v="6"/>
    <x v="14"/>
  </r>
  <r>
    <x v="1272"/>
    <x v="65"/>
    <x v="5"/>
    <x v="8"/>
    <x v="19"/>
    <x v="0"/>
    <x v="4"/>
    <x v="97"/>
    <x v="14"/>
  </r>
  <r>
    <x v="1273"/>
    <x v="88"/>
    <x v="15"/>
    <x v="5"/>
    <x v="47"/>
    <x v="0"/>
    <x v="0"/>
    <x v="11"/>
    <x v="14"/>
  </r>
  <r>
    <x v="1274"/>
    <x v="26"/>
    <x v="4"/>
    <x v="8"/>
    <x v="86"/>
    <x v="1"/>
    <x v="2"/>
    <x v="73"/>
    <x v="14"/>
  </r>
  <r>
    <x v="1275"/>
    <x v="37"/>
    <x v="0"/>
    <x v="7"/>
    <x v="21"/>
    <x v="2"/>
    <x v="3"/>
    <x v="178"/>
    <x v="14"/>
  </r>
  <r>
    <x v="1276"/>
    <x v="86"/>
    <x v="6"/>
    <x v="5"/>
    <x v="15"/>
    <x v="4"/>
    <x v="3"/>
    <x v="7"/>
    <x v="14"/>
  </r>
  <r>
    <x v="1277"/>
    <x v="35"/>
    <x v="0"/>
    <x v="3"/>
    <x v="36"/>
    <x v="11"/>
    <x v="0"/>
    <x v="171"/>
    <x v="14"/>
  </r>
  <r>
    <x v="1278"/>
    <x v="76"/>
    <x v="20"/>
    <x v="9"/>
    <x v="12"/>
    <x v="3"/>
    <x v="10"/>
    <x v="28"/>
    <x v="14"/>
  </r>
  <r>
    <x v="1279"/>
    <x v="52"/>
    <x v="5"/>
    <x v="7"/>
    <x v="36"/>
    <x v="3"/>
    <x v="2"/>
    <x v="18"/>
    <x v="14"/>
  </r>
  <r>
    <x v="1280"/>
    <x v="43"/>
    <x v="17"/>
    <x v="4"/>
    <x v="75"/>
    <x v="3"/>
    <x v="6"/>
    <x v="137"/>
    <x v="14"/>
  </r>
  <r>
    <x v="1281"/>
    <x v="99"/>
    <x v="19"/>
    <x v="5"/>
    <x v="5"/>
    <x v="8"/>
    <x v="4"/>
    <x v="245"/>
    <x v="14"/>
  </r>
  <r>
    <x v="1282"/>
    <x v="95"/>
    <x v="13"/>
    <x v="9"/>
    <x v="93"/>
    <x v="13"/>
    <x v="3"/>
    <x v="246"/>
    <x v="14"/>
  </r>
  <r>
    <x v="1283"/>
    <x v="74"/>
    <x v="0"/>
    <x v="13"/>
    <x v="162"/>
    <x v="2"/>
    <x v="0"/>
    <x v="10"/>
    <x v="14"/>
  </r>
  <r>
    <x v="1284"/>
    <x v="33"/>
    <x v="2"/>
    <x v="4"/>
    <x v="93"/>
    <x v="8"/>
    <x v="4"/>
    <x v="247"/>
    <x v="14"/>
  </r>
  <r>
    <x v="1285"/>
    <x v="2"/>
    <x v="18"/>
    <x v="6"/>
    <x v="27"/>
    <x v="2"/>
    <x v="3"/>
    <x v="18"/>
    <x v="14"/>
  </r>
  <r>
    <x v="1286"/>
    <x v="31"/>
    <x v="4"/>
    <x v="12"/>
    <x v="70"/>
    <x v="0"/>
    <x v="3"/>
    <x v="18"/>
    <x v="14"/>
  </r>
  <r>
    <x v="1287"/>
    <x v="23"/>
    <x v="0"/>
    <x v="0"/>
    <x v="51"/>
    <x v="8"/>
    <x v="4"/>
    <x v="84"/>
    <x v="14"/>
  </r>
  <r>
    <x v="1288"/>
    <x v="79"/>
    <x v="9"/>
    <x v="12"/>
    <x v="72"/>
    <x v="12"/>
    <x v="15"/>
    <x v="71"/>
    <x v="14"/>
  </r>
  <r>
    <x v="1289"/>
    <x v="20"/>
    <x v="0"/>
    <x v="7"/>
    <x v="86"/>
    <x v="2"/>
    <x v="0"/>
    <x v="71"/>
    <x v="14"/>
  </r>
  <r>
    <x v="1290"/>
    <x v="21"/>
    <x v="19"/>
    <x v="3"/>
    <x v="38"/>
    <x v="5"/>
    <x v="6"/>
    <x v="35"/>
    <x v="14"/>
  </r>
  <r>
    <x v="1291"/>
    <x v="80"/>
    <x v="0"/>
    <x v="3"/>
    <x v="51"/>
    <x v="13"/>
    <x v="3"/>
    <x v="12"/>
    <x v="14"/>
  </r>
  <r>
    <x v="1292"/>
    <x v="27"/>
    <x v="9"/>
    <x v="7"/>
    <x v="10"/>
    <x v="4"/>
    <x v="4"/>
    <x v="42"/>
    <x v="14"/>
  </r>
  <r>
    <x v="1293"/>
    <x v="0"/>
    <x v="7"/>
    <x v="3"/>
    <x v="31"/>
    <x v="21"/>
    <x v="2"/>
    <x v="14"/>
    <x v="14"/>
  </r>
  <r>
    <x v="1294"/>
    <x v="51"/>
    <x v="20"/>
    <x v="9"/>
    <x v="40"/>
    <x v="8"/>
    <x v="9"/>
    <x v="37"/>
    <x v="14"/>
  </r>
  <r>
    <x v="1295"/>
    <x v="6"/>
    <x v="11"/>
    <x v="0"/>
    <x v="45"/>
    <x v="5"/>
    <x v="5"/>
    <x v="140"/>
    <x v="14"/>
  </r>
  <r>
    <x v="1296"/>
    <x v="13"/>
    <x v="18"/>
    <x v="6"/>
    <x v="87"/>
    <x v="8"/>
    <x v="1"/>
    <x v="6"/>
    <x v="14"/>
  </r>
  <r>
    <x v="1297"/>
    <x v="22"/>
    <x v="18"/>
    <x v="4"/>
    <x v="105"/>
    <x v="11"/>
    <x v="9"/>
    <x v="30"/>
    <x v="14"/>
  </r>
  <r>
    <x v="1298"/>
    <x v="84"/>
    <x v="4"/>
    <x v="0"/>
    <x v="21"/>
    <x v="11"/>
    <x v="9"/>
    <x v="146"/>
    <x v="14"/>
  </r>
  <r>
    <x v="1299"/>
    <x v="83"/>
    <x v="9"/>
    <x v="12"/>
    <x v="13"/>
    <x v="8"/>
    <x v="0"/>
    <x v="32"/>
    <x v="14"/>
  </r>
  <r>
    <x v="1300"/>
    <x v="38"/>
    <x v="16"/>
    <x v="7"/>
    <x v="116"/>
    <x v="14"/>
    <x v="11"/>
    <x v="74"/>
    <x v="14"/>
  </r>
  <r>
    <x v="1301"/>
    <x v="36"/>
    <x v="4"/>
    <x v="8"/>
    <x v="51"/>
    <x v="2"/>
    <x v="3"/>
    <x v="38"/>
    <x v="14"/>
  </r>
  <r>
    <x v="1302"/>
    <x v="42"/>
    <x v="19"/>
    <x v="3"/>
    <x v="15"/>
    <x v="13"/>
    <x v="3"/>
    <x v="27"/>
    <x v="14"/>
  </r>
  <r>
    <x v="1303"/>
    <x v="84"/>
    <x v="5"/>
    <x v="8"/>
    <x v="103"/>
    <x v="13"/>
    <x v="3"/>
    <x v="231"/>
    <x v="14"/>
  </r>
  <r>
    <x v="1304"/>
    <x v="96"/>
    <x v="8"/>
    <x v="6"/>
    <x v="31"/>
    <x v="9"/>
    <x v="7"/>
    <x v="77"/>
    <x v="14"/>
  </r>
  <r>
    <x v="1305"/>
    <x v="73"/>
    <x v="4"/>
    <x v="12"/>
    <x v="72"/>
    <x v="4"/>
    <x v="3"/>
    <x v="147"/>
    <x v="14"/>
  </r>
  <r>
    <x v="1306"/>
    <x v="3"/>
    <x v="20"/>
    <x v="6"/>
    <x v="52"/>
    <x v="2"/>
    <x v="4"/>
    <x v="176"/>
    <x v="14"/>
  </r>
  <r>
    <x v="1307"/>
    <x v="89"/>
    <x v="20"/>
    <x v="6"/>
    <x v="47"/>
    <x v="2"/>
    <x v="0"/>
    <x v="3"/>
    <x v="14"/>
  </r>
  <r>
    <x v="1308"/>
    <x v="66"/>
    <x v="20"/>
    <x v="4"/>
    <x v="93"/>
    <x v="13"/>
    <x v="3"/>
    <x v="77"/>
    <x v="14"/>
  </r>
  <r>
    <x v="1309"/>
    <x v="37"/>
    <x v="4"/>
    <x v="7"/>
    <x v="0"/>
    <x v="0"/>
    <x v="0"/>
    <x v="35"/>
    <x v="14"/>
  </r>
  <r>
    <x v="1310"/>
    <x v="41"/>
    <x v="6"/>
    <x v="4"/>
    <x v="136"/>
    <x v="0"/>
    <x v="0"/>
    <x v="97"/>
    <x v="14"/>
  </r>
  <r>
    <x v="1311"/>
    <x v="10"/>
    <x v="6"/>
    <x v="4"/>
    <x v="15"/>
    <x v="13"/>
    <x v="3"/>
    <x v="31"/>
    <x v="14"/>
  </r>
  <r>
    <x v="1312"/>
    <x v="58"/>
    <x v="17"/>
    <x v="5"/>
    <x v="15"/>
    <x v="3"/>
    <x v="4"/>
    <x v="149"/>
    <x v="14"/>
  </r>
  <r>
    <x v="1313"/>
    <x v="45"/>
    <x v="0"/>
    <x v="5"/>
    <x v="30"/>
    <x v="1"/>
    <x v="6"/>
    <x v="61"/>
    <x v="14"/>
  </r>
  <r>
    <x v="1314"/>
    <x v="61"/>
    <x v="2"/>
    <x v="6"/>
    <x v="161"/>
    <x v="9"/>
    <x v="10"/>
    <x v="152"/>
    <x v="14"/>
  </r>
  <r>
    <x v="1315"/>
    <x v="30"/>
    <x v="0"/>
    <x v="0"/>
    <x v="0"/>
    <x v="11"/>
    <x v="0"/>
    <x v="21"/>
    <x v="14"/>
  </r>
  <r>
    <x v="1316"/>
    <x v="69"/>
    <x v="9"/>
    <x v="7"/>
    <x v="65"/>
    <x v="11"/>
    <x v="0"/>
    <x v="62"/>
    <x v="14"/>
  </r>
  <r>
    <x v="1317"/>
    <x v="62"/>
    <x v="17"/>
    <x v="3"/>
    <x v="14"/>
    <x v="8"/>
    <x v="1"/>
    <x v="215"/>
    <x v="14"/>
  </r>
  <r>
    <x v="1318"/>
    <x v="68"/>
    <x v="20"/>
    <x v="4"/>
    <x v="115"/>
    <x v="5"/>
    <x v="1"/>
    <x v="59"/>
    <x v="14"/>
  </r>
  <r>
    <x v="1319"/>
    <x v="55"/>
    <x v="7"/>
    <x v="3"/>
    <x v="13"/>
    <x v="11"/>
    <x v="0"/>
    <x v="95"/>
    <x v="14"/>
  </r>
  <r>
    <x v="1320"/>
    <x v="15"/>
    <x v="6"/>
    <x v="4"/>
    <x v="49"/>
    <x v="1"/>
    <x v="6"/>
    <x v="248"/>
    <x v="14"/>
  </r>
  <r>
    <x v="1321"/>
    <x v="14"/>
    <x v="9"/>
    <x v="3"/>
    <x v="13"/>
    <x v="1"/>
    <x v="10"/>
    <x v="83"/>
    <x v="14"/>
  </r>
  <r>
    <x v="1322"/>
    <x v="19"/>
    <x v="19"/>
    <x v="3"/>
    <x v="62"/>
    <x v="1"/>
    <x v="1"/>
    <x v="65"/>
    <x v="14"/>
  </r>
  <r>
    <x v="1323"/>
    <x v="1"/>
    <x v="18"/>
    <x v="5"/>
    <x v="8"/>
    <x v="8"/>
    <x v="9"/>
    <x v="131"/>
    <x v="14"/>
  </r>
  <r>
    <x v="1324"/>
    <x v="57"/>
    <x v="9"/>
    <x v="7"/>
    <x v="32"/>
    <x v="4"/>
    <x v="4"/>
    <x v="32"/>
    <x v="14"/>
  </r>
  <r>
    <x v="1325"/>
    <x v="28"/>
    <x v="19"/>
    <x v="6"/>
    <x v="14"/>
    <x v="8"/>
    <x v="0"/>
    <x v="84"/>
    <x v="14"/>
  </r>
  <r>
    <x v="1326"/>
    <x v="72"/>
    <x v="4"/>
    <x v="3"/>
    <x v="13"/>
    <x v="4"/>
    <x v="4"/>
    <x v="71"/>
    <x v="14"/>
  </r>
  <r>
    <x v="1327"/>
    <x v="56"/>
    <x v="0"/>
    <x v="5"/>
    <x v="151"/>
    <x v="11"/>
    <x v="6"/>
    <x v="21"/>
    <x v="14"/>
  </r>
  <r>
    <x v="1328"/>
    <x v="87"/>
    <x v="6"/>
    <x v="9"/>
    <x v="120"/>
    <x v="7"/>
    <x v="10"/>
    <x v="106"/>
    <x v="14"/>
  </r>
  <r>
    <x v="1329"/>
    <x v="9"/>
    <x v="13"/>
    <x v="9"/>
    <x v="47"/>
    <x v="11"/>
    <x v="9"/>
    <x v="0"/>
    <x v="14"/>
  </r>
  <r>
    <x v="1330"/>
    <x v="12"/>
    <x v="9"/>
    <x v="8"/>
    <x v="0"/>
    <x v="4"/>
    <x v="3"/>
    <x v="58"/>
    <x v="14"/>
  </r>
  <r>
    <x v="1331"/>
    <x v="25"/>
    <x v="3"/>
    <x v="4"/>
    <x v="12"/>
    <x v="7"/>
    <x v="7"/>
    <x v="37"/>
    <x v="14"/>
  </r>
  <r>
    <x v="1332"/>
    <x v="32"/>
    <x v="2"/>
    <x v="9"/>
    <x v="52"/>
    <x v="0"/>
    <x v="3"/>
    <x v="50"/>
    <x v="14"/>
  </r>
  <r>
    <x v="1333"/>
    <x v="71"/>
    <x v="0"/>
    <x v="7"/>
    <x v="42"/>
    <x v="13"/>
    <x v="3"/>
    <x v="74"/>
    <x v="14"/>
  </r>
  <r>
    <x v="1334"/>
    <x v="75"/>
    <x v="19"/>
    <x v="7"/>
    <x v="64"/>
    <x v="0"/>
    <x v="9"/>
    <x v="35"/>
    <x v="14"/>
  </r>
  <r>
    <x v="1335"/>
    <x v="71"/>
    <x v="16"/>
    <x v="3"/>
    <x v="42"/>
    <x v="5"/>
    <x v="9"/>
    <x v="184"/>
    <x v="14"/>
  </r>
  <r>
    <x v="1336"/>
    <x v="92"/>
    <x v="0"/>
    <x v="12"/>
    <x v="89"/>
    <x v="2"/>
    <x v="3"/>
    <x v="132"/>
    <x v="14"/>
  </r>
  <r>
    <x v="1337"/>
    <x v="8"/>
    <x v="15"/>
    <x v="4"/>
    <x v="8"/>
    <x v="0"/>
    <x v="3"/>
    <x v="82"/>
    <x v="14"/>
  </r>
  <r>
    <x v="1338"/>
    <x v="40"/>
    <x v="2"/>
    <x v="7"/>
    <x v="27"/>
    <x v="3"/>
    <x v="1"/>
    <x v="41"/>
    <x v="14"/>
  </r>
  <r>
    <x v="1339"/>
    <x v="54"/>
    <x v="5"/>
    <x v="12"/>
    <x v="43"/>
    <x v="4"/>
    <x v="4"/>
    <x v="20"/>
    <x v="14"/>
  </r>
  <r>
    <x v="1340"/>
    <x v="94"/>
    <x v="4"/>
    <x v="13"/>
    <x v="37"/>
    <x v="9"/>
    <x v="2"/>
    <x v="38"/>
    <x v="14"/>
  </r>
  <r>
    <x v="1341"/>
    <x v="24"/>
    <x v="6"/>
    <x v="5"/>
    <x v="14"/>
    <x v="0"/>
    <x v="3"/>
    <x v="128"/>
    <x v="14"/>
  </r>
  <r>
    <x v="1342"/>
    <x v="63"/>
    <x v="0"/>
    <x v="6"/>
    <x v="116"/>
    <x v="4"/>
    <x v="9"/>
    <x v="17"/>
    <x v="14"/>
  </r>
  <r>
    <x v="1343"/>
    <x v="49"/>
    <x v="7"/>
    <x v="8"/>
    <x v="36"/>
    <x v="15"/>
    <x v="13"/>
    <x v="18"/>
    <x v="14"/>
  </r>
  <r>
    <x v="1344"/>
    <x v="10"/>
    <x v="19"/>
    <x v="6"/>
    <x v="22"/>
    <x v="0"/>
    <x v="3"/>
    <x v="127"/>
    <x v="14"/>
  </r>
  <r>
    <x v="1345"/>
    <x v="91"/>
    <x v="1"/>
    <x v="6"/>
    <x v="77"/>
    <x v="5"/>
    <x v="5"/>
    <x v="76"/>
    <x v="15"/>
  </r>
  <r>
    <x v="1346"/>
    <x v="58"/>
    <x v="18"/>
    <x v="4"/>
    <x v="148"/>
    <x v="0"/>
    <x v="4"/>
    <x v="8"/>
    <x v="15"/>
  </r>
  <r>
    <x v="1347"/>
    <x v="18"/>
    <x v="1"/>
    <x v="0"/>
    <x v="107"/>
    <x v="2"/>
    <x v="4"/>
    <x v="111"/>
    <x v="15"/>
  </r>
  <r>
    <x v="1348"/>
    <x v="31"/>
    <x v="5"/>
    <x v="0"/>
    <x v="0"/>
    <x v="0"/>
    <x v="3"/>
    <x v="5"/>
    <x v="15"/>
  </r>
  <r>
    <x v="1349"/>
    <x v="71"/>
    <x v="0"/>
    <x v="0"/>
    <x v="56"/>
    <x v="8"/>
    <x v="4"/>
    <x v="200"/>
    <x v="15"/>
  </r>
  <r>
    <x v="1350"/>
    <x v="20"/>
    <x v="7"/>
    <x v="7"/>
    <x v="32"/>
    <x v="11"/>
    <x v="1"/>
    <x v="111"/>
    <x v="15"/>
  </r>
  <r>
    <x v="1351"/>
    <x v="19"/>
    <x v="1"/>
    <x v="3"/>
    <x v="26"/>
    <x v="5"/>
    <x v="6"/>
    <x v="37"/>
    <x v="15"/>
  </r>
  <r>
    <x v="1352"/>
    <x v="73"/>
    <x v="4"/>
    <x v="8"/>
    <x v="56"/>
    <x v="2"/>
    <x v="3"/>
    <x v="148"/>
    <x v="15"/>
  </r>
  <r>
    <x v="1353"/>
    <x v="92"/>
    <x v="7"/>
    <x v="5"/>
    <x v="19"/>
    <x v="5"/>
    <x v="6"/>
    <x v="149"/>
    <x v="15"/>
  </r>
  <r>
    <x v="1354"/>
    <x v="35"/>
    <x v="9"/>
    <x v="0"/>
    <x v="0"/>
    <x v="0"/>
    <x v="4"/>
    <x v="2"/>
    <x v="15"/>
  </r>
  <r>
    <x v="1355"/>
    <x v="22"/>
    <x v="18"/>
    <x v="4"/>
    <x v="213"/>
    <x v="9"/>
    <x v="13"/>
    <x v="11"/>
    <x v="15"/>
  </r>
  <r>
    <x v="1356"/>
    <x v="82"/>
    <x v="15"/>
    <x v="6"/>
    <x v="52"/>
    <x v="8"/>
    <x v="1"/>
    <x v="21"/>
    <x v="15"/>
  </r>
  <r>
    <x v="1357"/>
    <x v="72"/>
    <x v="17"/>
    <x v="4"/>
    <x v="5"/>
    <x v="8"/>
    <x v="1"/>
    <x v="41"/>
    <x v="15"/>
  </r>
  <r>
    <x v="1358"/>
    <x v="17"/>
    <x v="10"/>
    <x v="7"/>
    <x v="107"/>
    <x v="11"/>
    <x v="1"/>
    <x v="10"/>
    <x v="15"/>
  </r>
  <r>
    <x v="1359"/>
    <x v="87"/>
    <x v="0"/>
    <x v="7"/>
    <x v="69"/>
    <x v="0"/>
    <x v="0"/>
    <x v="18"/>
    <x v="15"/>
  </r>
  <r>
    <x v="1360"/>
    <x v="55"/>
    <x v="0"/>
    <x v="5"/>
    <x v="24"/>
    <x v="8"/>
    <x v="6"/>
    <x v="11"/>
    <x v="15"/>
  </r>
  <r>
    <x v="1361"/>
    <x v="88"/>
    <x v="18"/>
    <x v="4"/>
    <x v="20"/>
    <x v="11"/>
    <x v="1"/>
    <x v="231"/>
    <x v="15"/>
  </r>
  <r>
    <x v="1362"/>
    <x v="32"/>
    <x v="18"/>
    <x v="6"/>
    <x v="8"/>
    <x v="8"/>
    <x v="0"/>
    <x v="6"/>
    <x v="15"/>
  </r>
  <r>
    <x v="1363"/>
    <x v="21"/>
    <x v="14"/>
    <x v="7"/>
    <x v="15"/>
    <x v="1"/>
    <x v="4"/>
    <x v="4"/>
    <x v="15"/>
  </r>
  <r>
    <x v="1364"/>
    <x v="28"/>
    <x v="1"/>
    <x v="7"/>
    <x v="75"/>
    <x v="5"/>
    <x v="5"/>
    <x v="76"/>
    <x v="15"/>
  </r>
  <r>
    <x v="1365"/>
    <x v="51"/>
    <x v="13"/>
    <x v="2"/>
    <x v="52"/>
    <x v="1"/>
    <x v="10"/>
    <x v="6"/>
    <x v="15"/>
  </r>
  <r>
    <x v="1366"/>
    <x v="10"/>
    <x v="6"/>
    <x v="5"/>
    <x v="14"/>
    <x v="0"/>
    <x v="3"/>
    <x v="91"/>
    <x v="15"/>
  </r>
  <r>
    <x v="1367"/>
    <x v="43"/>
    <x v="9"/>
    <x v="7"/>
    <x v="42"/>
    <x v="8"/>
    <x v="6"/>
    <x v="32"/>
    <x v="15"/>
  </r>
  <r>
    <x v="1368"/>
    <x v="4"/>
    <x v="13"/>
    <x v="14"/>
    <x v="4"/>
    <x v="0"/>
    <x v="3"/>
    <x v="54"/>
    <x v="15"/>
  </r>
  <r>
    <x v="1369"/>
    <x v="49"/>
    <x v="16"/>
    <x v="3"/>
    <x v="36"/>
    <x v="8"/>
    <x v="0"/>
    <x v="162"/>
    <x v="15"/>
  </r>
  <r>
    <x v="1370"/>
    <x v="37"/>
    <x v="6"/>
    <x v="5"/>
    <x v="14"/>
    <x v="1"/>
    <x v="5"/>
    <x v="28"/>
    <x v="15"/>
  </r>
  <r>
    <x v="1371"/>
    <x v="31"/>
    <x v="4"/>
    <x v="7"/>
    <x v="21"/>
    <x v="8"/>
    <x v="4"/>
    <x v="98"/>
    <x v="15"/>
  </r>
  <r>
    <x v="1372"/>
    <x v="42"/>
    <x v="6"/>
    <x v="6"/>
    <x v="5"/>
    <x v="0"/>
    <x v="3"/>
    <x v="233"/>
    <x v="15"/>
  </r>
  <r>
    <x v="1373"/>
    <x v="85"/>
    <x v="7"/>
    <x v="5"/>
    <x v="110"/>
    <x v="5"/>
    <x v="10"/>
    <x v="69"/>
    <x v="15"/>
  </r>
  <r>
    <x v="1374"/>
    <x v="24"/>
    <x v="6"/>
    <x v="5"/>
    <x v="80"/>
    <x v="1"/>
    <x v="1"/>
    <x v="234"/>
    <x v="15"/>
  </r>
  <r>
    <x v="1375"/>
    <x v="99"/>
    <x v="1"/>
    <x v="0"/>
    <x v="14"/>
    <x v="11"/>
    <x v="6"/>
    <x v="71"/>
    <x v="15"/>
  </r>
  <r>
    <x v="1376"/>
    <x v="70"/>
    <x v="17"/>
    <x v="6"/>
    <x v="5"/>
    <x v="5"/>
    <x v="5"/>
    <x v="97"/>
    <x v="15"/>
  </r>
  <r>
    <x v="1377"/>
    <x v="52"/>
    <x v="9"/>
    <x v="7"/>
    <x v="109"/>
    <x v="11"/>
    <x v="1"/>
    <x v="83"/>
    <x v="15"/>
  </r>
  <r>
    <x v="1378"/>
    <x v="33"/>
    <x v="18"/>
    <x v="3"/>
    <x v="83"/>
    <x v="5"/>
    <x v="0"/>
    <x v="151"/>
    <x v="15"/>
  </r>
  <r>
    <x v="1379"/>
    <x v="48"/>
    <x v="6"/>
    <x v="4"/>
    <x v="145"/>
    <x v="8"/>
    <x v="1"/>
    <x v="35"/>
    <x v="15"/>
  </r>
  <r>
    <x v="1380"/>
    <x v="62"/>
    <x v="17"/>
    <x v="7"/>
    <x v="55"/>
    <x v="2"/>
    <x v="3"/>
    <x v="249"/>
    <x v="15"/>
  </r>
  <r>
    <x v="1381"/>
    <x v="54"/>
    <x v="9"/>
    <x v="8"/>
    <x v="59"/>
    <x v="0"/>
    <x v="0"/>
    <x v="3"/>
    <x v="15"/>
  </r>
  <r>
    <x v="1382"/>
    <x v="26"/>
    <x v="4"/>
    <x v="12"/>
    <x v="59"/>
    <x v="8"/>
    <x v="6"/>
    <x v="12"/>
    <x v="15"/>
  </r>
  <r>
    <x v="1383"/>
    <x v="6"/>
    <x v="18"/>
    <x v="2"/>
    <x v="214"/>
    <x v="6"/>
    <x v="3"/>
    <x v="28"/>
    <x v="15"/>
  </r>
  <r>
    <x v="1384"/>
    <x v="73"/>
    <x v="5"/>
    <x v="0"/>
    <x v="42"/>
    <x v="5"/>
    <x v="0"/>
    <x v="87"/>
    <x v="15"/>
  </r>
  <r>
    <x v="1385"/>
    <x v="97"/>
    <x v="20"/>
    <x v="5"/>
    <x v="41"/>
    <x v="8"/>
    <x v="0"/>
    <x v="6"/>
    <x v="15"/>
  </r>
  <r>
    <x v="1386"/>
    <x v="84"/>
    <x v="4"/>
    <x v="8"/>
    <x v="125"/>
    <x v="0"/>
    <x v="4"/>
    <x v="22"/>
    <x v="15"/>
  </r>
  <r>
    <x v="1387"/>
    <x v="78"/>
    <x v="20"/>
    <x v="9"/>
    <x v="108"/>
    <x v="2"/>
    <x v="3"/>
    <x v="13"/>
    <x v="15"/>
  </r>
  <r>
    <x v="1388"/>
    <x v="65"/>
    <x v="5"/>
    <x v="12"/>
    <x v="30"/>
    <x v="4"/>
    <x v="4"/>
    <x v="105"/>
    <x v="15"/>
  </r>
  <r>
    <x v="1293"/>
    <x v="86"/>
    <x v="0"/>
    <x v="8"/>
    <x v="129"/>
    <x v="4"/>
    <x v="3"/>
    <x v="99"/>
    <x v="15"/>
  </r>
  <r>
    <x v="1389"/>
    <x v="14"/>
    <x v="9"/>
    <x v="7"/>
    <x v="125"/>
    <x v="6"/>
    <x v="3"/>
    <x v="53"/>
    <x v="15"/>
  </r>
  <r>
    <x v="1390"/>
    <x v="41"/>
    <x v="0"/>
    <x v="12"/>
    <x v="51"/>
    <x v="8"/>
    <x v="4"/>
    <x v="250"/>
    <x v="15"/>
  </r>
  <r>
    <x v="1391"/>
    <x v="64"/>
    <x v="20"/>
    <x v="9"/>
    <x v="57"/>
    <x v="0"/>
    <x v="4"/>
    <x v="4"/>
    <x v="15"/>
  </r>
  <r>
    <x v="1392"/>
    <x v="11"/>
    <x v="4"/>
    <x v="8"/>
    <x v="98"/>
    <x v="8"/>
    <x v="3"/>
    <x v="0"/>
    <x v="15"/>
  </r>
  <r>
    <x v="1393"/>
    <x v="9"/>
    <x v="15"/>
    <x v="4"/>
    <x v="3"/>
    <x v="0"/>
    <x v="4"/>
    <x v="47"/>
    <x v="15"/>
  </r>
  <r>
    <x v="1394"/>
    <x v="75"/>
    <x v="11"/>
    <x v="3"/>
    <x v="4"/>
    <x v="4"/>
    <x v="4"/>
    <x v="31"/>
    <x v="15"/>
  </r>
  <r>
    <x v="1395"/>
    <x v="81"/>
    <x v="4"/>
    <x v="6"/>
    <x v="42"/>
    <x v="2"/>
    <x v="4"/>
    <x v="100"/>
    <x v="15"/>
  </r>
  <r>
    <x v="1396"/>
    <x v="15"/>
    <x v="6"/>
    <x v="5"/>
    <x v="101"/>
    <x v="4"/>
    <x v="3"/>
    <x v="101"/>
    <x v="15"/>
  </r>
  <r>
    <x v="1397"/>
    <x v="44"/>
    <x v="9"/>
    <x v="8"/>
    <x v="34"/>
    <x v="11"/>
    <x v="1"/>
    <x v="140"/>
    <x v="15"/>
  </r>
  <r>
    <x v="1398"/>
    <x v="66"/>
    <x v="13"/>
    <x v="2"/>
    <x v="215"/>
    <x v="11"/>
    <x v="0"/>
    <x v="35"/>
    <x v="15"/>
  </r>
  <r>
    <x v="1399"/>
    <x v="53"/>
    <x v="20"/>
    <x v="5"/>
    <x v="115"/>
    <x v="2"/>
    <x v="3"/>
    <x v="68"/>
    <x v="15"/>
  </r>
  <r>
    <x v="1400"/>
    <x v="74"/>
    <x v="4"/>
    <x v="7"/>
    <x v="24"/>
    <x v="2"/>
    <x v="0"/>
    <x v="6"/>
    <x v="15"/>
  </r>
  <r>
    <x v="1401"/>
    <x v="40"/>
    <x v="17"/>
    <x v="5"/>
    <x v="26"/>
    <x v="0"/>
    <x v="0"/>
    <x v="4"/>
    <x v="15"/>
  </r>
  <r>
    <x v="1402"/>
    <x v="34"/>
    <x v="17"/>
    <x v="5"/>
    <x v="105"/>
    <x v="5"/>
    <x v="10"/>
    <x v="4"/>
    <x v="15"/>
  </r>
  <r>
    <x v="1403"/>
    <x v="2"/>
    <x v="18"/>
    <x v="6"/>
    <x v="93"/>
    <x v="0"/>
    <x v="4"/>
    <x v="82"/>
    <x v="15"/>
  </r>
  <r>
    <x v="1404"/>
    <x v="29"/>
    <x v="4"/>
    <x v="3"/>
    <x v="13"/>
    <x v="11"/>
    <x v="1"/>
    <x v="10"/>
    <x v="15"/>
  </r>
  <r>
    <x v="1405"/>
    <x v="27"/>
    <x v="4"/>
    <x v="8"/>
    <x v="37"/>
    <x v="0"/>
    <x v="4"/>
    <x v="59"/>
    <x v="15"/>
  </r>
  <r>
    <x v="1406"/>
    <x v="13"/>
    <x v="18"/>
    <x v="6"/>
    <x v="216"/>
    <x v="4"/>
    <x v="3"/>
    <x v="145"/>
    <x v="15"/>
  </r>
  <r>
    <x v="1407"/>
    <x v="89"/>
    <x v="17"/>
    <x v="6"/>
    <x v="15"/>
    <x v="8"/>
    <x v="1"/>
    <x v="62"/>
    <x v="15"/>
  </r>
  <r>
    <x v="1408"/>
    <x v="38"/>
    <x v="8"/>
    <x v="0"/>
    <x v="21"/>
    <x v="2"/>
    <x v="4"/>
    <x v="168"/>
    <x v="15"/>
  </r>
  <r>
    <x v="1409"/>
    <x v="61"/>
    <x v="11"/>
    <x v="3"/>
    <x v="96"/>
    <x v="8"/>
    <x v="0"/>
    <x v="61"/>
    <x v="15"/>
  </r>
  <r>
    <x v="1410"/>
    <x v="47"/>
    <x v="0"/>
    <x v="13"/>
    <x v="160"/>
    <x v="2"/>
    <x v="3"/>
    <x v="118"/>
    <x v="15"/>
  </r>
  <r>
    <x v="1411"/>
    <x v="25"/>
    <x v="1"/>
    <x v="6"/>
    <x v="75"/>
    <x v="8"/>
    <x v="4"/>
    <x v="251"/>
    <x v="15"/>
  </r>
  <r>
    <x v="1412"/>
    <x v="36"/>
    <x v="4"/>
    <x v="6"/>
    <x v="69"/>
    <x v="0"/>
    <x v="0"/>
    <x v="252"/>
    <x v="15"/>
  </r>
  <r>
    <x v="1413"/>
    <x v="3"/>
    <x v="15"/>
    <x v="4"/>
    <x v="46"/>
    <x v="11"/>
    <x v="6"/>
    <x v="22"/>
    <x v="15"/>
  </r>
  <r>
    <x v="1414"/>
    <x v="0"/>
    <x v="0"/>
    <x v="11"/>
    <x v="103"/>
    <x v="5"/>
    <x v="5"/>
    <x v="129"/>
    <x v="15"/>
  </r>
  <r>
    <x v="1415"/>
    <x v="59"/>
    <x v="5"/>
    <x v="8"/>
    <x v="151"/>
    <x v="11"/>
    <x v="9"/>
    <x v="253"/>
    <x v="15"/>
  </r>
  <r>
    <x v="1416"/>
    <x v="96"/>
    <x v="0"/>
    <x v="6"/>
    <x v="65"/>
    <x v="5"/>
    <x v="5"/>
    <x v="47"/>
    <x v="15"/>
  </r>
  <r>
    <x v="1417"/>
    <x v="39"/>
    <x v="1"/>
    <x v="8"/>
    <x v="22"/>
    <x v="2"/>
    <x v="3"/>
    <x v="39"/>
    <x v="15"/>
  </r>
  <r>
    <x v="1418"/>
    <x v="63"/>
    <x v="8"/>
    <x v="13"/>
    <x v="0"/>
    <x v="8"/>
    <x v="1"/>
    <x v="58"/>
    <x v="15"/>
  </r>
  <r>
    <x v="1419"/>
    <x v="5"/>
    <x v="13"/>
    <x v="4"/>
    <x v="96"/>
    <x v="6"/>
    <x v="4"/>
    <x v="2"/>
    <x v="15"/>
  </r>
  <r>
    <x v="1420"/>
    <x v="95"/>
    <x v="13"/>
    <x v="10"/>
    <x v="82"/>
    <x v="5"/>
    <x v="0"/>
    <x v="22"/>
    <x v="15"/>
  </r>
  <r>
    <x v="1421"/>
    <x v="63"/>
    <x v="4"/>
    <x v="7"/>
    <x v="0"/>
    <x v="0"/>
    <x v="4"/>
    <x v="71"/>
    <x v="15"/>
  </r>
  <r>
    <x v="1422"/>
    <x v="56"/>
    <x v="0"/>
    <x v="0"/>
    <x v="13"/>
    <x v="4"/>
    <x v="4"/>
    <x v="27"/>
    <x v="15"/>
  </r>
  <r>
    <x v="1423"/>
    <x v="77"/>
    <x v="20"/>
    <x v="9"/>
    <x v="115"/>
    <x v="8"/>
    <x v="0"/>
    <x v="145"/>
    <x v="15"/>
  </r>
  <r>
    <x v="1424"/>
    <x v="35"/>
    <x v="0"/>
    <x v="6"/>
    <x v="124"/>
    <x v="0"/>
    <x v="3"/>
    <x v="74"/>
    <x v="15"/>
  </r>
  <r>
    <x v="1425"/>
    <x v="12"/>
    <x v="5"/>
    <x v="13"/>
    <x v="69"/>
    <x v="2"/>
    <x v="0"/>
    <x v="62"/>
    <x v="15"/>
  </r>
  <r>
    <x v="1426"/>
    <x v="60"/>
    <x v="2"/>
    <x v="7"/>
    <x v="93"/>
    <x v="2"/>
    <x v="3"/>
    <x v="74"/>
    <x v="15"/>
  </r>
  <r>
    <x v="1427"/>
    <x v="98"/>
    <x v="20"/>
    <x v="9"/>
    <x v="161"/>
    <x v="3"/>
    <x v="10"/>
    <x v="54"/>
    <x v="15"/>
  </r>
  <r>
    <x v="1428"/>
    <x v="94"/>
    <x v="9"/>
    <x v="7"/>
    <x v="109"/>
    <x v="5"/>
    <x v="6"/>
    <x v="44"/>
    <x v="15"/>
  </r>
  <r>
    <x v="1429"/>
    <x v="57"/>
    <x v="5"/>
    <x v="0"/>
    <x v="35"/>
    <x v="5"/>
    <x v="5"/>
    <x v="57"/>
    <x v="15"/>
  </r>
  <r>
    <x v="1430"/>
    <x v="46"/>
    <x v="0"/>
    <x v="7"/>
    <x v="103"/>
    <x v="6"/>
    <x v="3"/>
    <x v="71"/>
    <x v="15"/>
  </r>
  <r>
    <x v="1431"/>
    <x v="1"/>
    <x v="1"/>
    <x v="7"/>
    <x v="22"/>
    <x v="11"/>
    <x v="1"/>
    <x v="144"/>
    <x v="15"/>
  </r>
  <r>
    <x v="1432"/>
    <x v="80"/>
    <x v="6"/>
    <x v="4"/>
    <x v="105"/>
    <x v="2"/>
    <x v="4"/>
    <x v="4"/>
    <x v="15"/>
  </r>
  <r>
    <x v="1433"/>
    <x v="30"/>
    <x v="6"/>
    <x v="5"/>
    <x v="26"/>
    <x v="8"/>
    <x v="9"/>
    <x v="254"/>
    <x v="15"/>
  </r>
  <r>
    <x v="1434"/>
    <x v="48"/>
    <x v="6"/>
    <x v="6"/>
    <x v="5"/>
    <x v="7"/>
    <x v="6"/>
    <x v="12"/>
    <x v="16"/>
  </r>
  <r>
    <x v="1435"/>
    <x v="59"/>
    <x v="6"/>
    <x v="10"/>
    <x v="105"/>
    <x v="2"/>
    <x v="3"/>
    <x v="137"/>
    <x v="16"/>
  </r>
  <r>
    <x v="1436"/>
    <x v="22"/>
    <x v="18"/>
    <x v="9"/>
    <x v="163"/>
    <x v="2"/>
    <x v="3"/>
    <x v="42"/>
    <x v="16"/>
  </r>
  <r>
    <x v="1437"/>
    <x v="45"/>
    <x v="0"/>
    <x v="0"/>
    <x v="21"/>
    <x v="11"/>
    <x v="9"/>
    <x v="84"/>
    <x v="16"/>
  </r>
  <r>
    <x v="1438"/>
    <x v="81"/>
    <x v="5"/>
    <x v="0"/>
    <x v="64"/>
    <x v="8"/>
    <x v="6"/>
    <x v="10"/>
    <x v="16"/>
  </r>
  <r>
    <x v="1439"/>
    <x v="27"/>
    <x v="1"/>
    <x v="5"/>
    <x v="105"/>
    <x v="2"/>
    <x v="3"/>
    <x v="88"/>
    <x v="16"/>
  </r>
  <r>
    <x v="1440"/>
    <x v="11"/>
    <x v="9"/>
    <x v="7"/>
    <x v="24"/>
    <x v="6"/>
    <x v="3"/>
    <x v="35"/>
    <x v="16"/>
  </r>
  <r>
    <x v="1441"/>
    <x v="29"/>
    <x v="9"/>
    <x v="0"/>
    <x v="123"/>
    <x v="8"/>
    <x v="0"/>
    <x v="24"/>
    <x v="16"/>
  </r>
  <r>
    <x v="1442"/>
    <x v="46"/>
    <x v="0"/>
    <x v="7"/>
    <x v="129"/>
    <x v="1"/>
    <x v="1"/>
    <x v="125"/>
    <x v="16"/>
  </r>
  <r>
    <x v="1443"/>
    <x v="51"/>
    <x v="20"/>
    <x v="4"/>
    <x v="47"/>
    <x v="0"/>
    <x v="0"/>
    <x v="28"/>
    <x v="16"/>
  </r>
  <r>
    <x v="1444"/>
    <x v="14"/>
    <x v="5"/>
    <x v="12"/>
    <x v="21"/>
    <x v="5"/>
    <x v="5"/>
    <x v="80"/>
    <x v="16"/>
  </r>
  <r>
    <x v="1445"/>
    <x v="26"/>
    <x v="5"/>
    <x v="7"/>
    <x v="135"/>
    <x v="2"/>
    <x v="4"/>
    <x v="16"/>
    <x v="16"/>
  </r>
  <r>
    <x v="1446"/>
    <x v="21"/>
    <x v="1"/>
    <x v="4"/>
    <x v="9"/>
    <x v="0"/>
    <x v="0"/>
    <x v="10"/>
    <x v="16"/>
  </r>
  <r>
    <x v="1447"/>
    <x v="36"/>
    <x v="4"/>
    <x v="7"/>
    <x v="86"/>
    <x v="1"/>
    <x v="5"/>
    <x v="96"/>
    <x v="16"/>
  </r>
  <r>
    <x v="1448"/>
    <x v="52"/>
    <x v="5"/>
    <x v="0"/>
    <x v="85"/>
    <x v="6"/>
    <x v="3"/>
    <x v="73"/>
    <x v="16"/>
  </r>
  <r>
    <x v="1449"/>
    <x v="94"/>
    <x v="9"/>
    <x v="0"/>
    <x v="10"/>
    <x v="2"/>
    <x v="3"/>
    <x v="145"/>
    <x v="16"/>
  </r>
  <r>
    <x v="1450"/>
    <x v="89"/>
    <x v="1"/>
    <x v="6"/>
    <x v="38"/>
    <x v="8"/>
    <x v="0"/>
    <x v="52"/>
    <x v="16"/>
  </r>
  <r>
    <x v="1451"/>
    <x v="10"/>
    <x v="1"/>
    <x v="7"/>
    <x v="14"/>
    <x v="8"/>
    <x v="0"/>
    <x v="62"/>
    <x v="16"/>
  </r>
  <r>
    <x v="1452"/>
    <x v="88"/>
    <x v="13"/>
    <x v="9"/>
    <x v="41"/>
    <x v="5"/>
    <x v="6"/>
    <x v="88"/>
    <x v="16"/>
  </r>
  <r>
    <x v="1453"/>
    <x v="61"/>
    <x v="2"/>
    <x v="6"/>
    <x v="118"/>
    <x v="0"/>
    <x v="3"/>
    <x v="0"/>
    <x v="16"/>
  </r>
  <r>
    <x v="1454"/>
    <x v="14"/>
    <x v="4"/>
    <x v="13"/>
    <x v="129"/>
    <x v="0"/>
    <x v="0"/>
    <x v="204"/>
    <x v="16"/>
  </r>
  <r>
    <x v="1455"/>
    <x v="90"/>
    <x v="0"/>
    <x v="6"/>
    <x v="123"/>
    <x v="11"/>
    <x v="4"/>
    <x v="89"/>
    <x v="16"/>
  </r>
  <r>
    <x v="1456"/>
    <x v="3"/>
    <x v="3"/>
    <x v="5"/>
    <x v="12"/>
    <x v="7"/>
    <x v="6"/>
    <x v="0"/>
    <x v="16"/>
  </r>
  <r>
    <x v="1457"/>
    <x v="3"/>
    <x v="2"/>
    <x v="6"/>
    <x v="217"/>
    <x v="2"/>
    <x v="3"/>
    <x v="34"/>
    <x v="16"/>
  </r>
  <r>
    <x v="1458"/>
    <x v="77"/>
    <x v="11"/>
    <x v="3"/>
    <x v="218"/>
    <x v="9"/>
    <x v="7"/>
    <x v="150"/>
    <x v="16"/>
  </r>
  <r>
    <x v="1459"/>
    <x v="83"/>
    <x v="4"/>
    <x v="6"/>
    <x v="132"/>
    <x v="0"/>
    <x v="3"/>
    <x v="11"/>
    <x v="16"/>
  </r>
  <r>
    <x v="1460"/>
    <x v="78"/>
    <x v="20"/>
    <x v="5"/>
    <x v="68"/>
    <x v="4"/>
    <x v="3"/>
    <x v="20"/>
    <x v="16"/>
  </r>
  <r>
    <x v="1461"/>
    <x v="53"/>
    <x v="3"/>
    <x v="5"/>
    <x v="4"/>
    <x v="7"/>
    <x v="2"/>
    <x v="108"/>
    <x v="16"/>
  </r>
  <r>
    <x v="1462"/>
    <x v="65"/>
    <x v="12"/>
    <x v="7"/>
    <x v="58"/>
    <x v="18"/>
    <x v="3"/>
    <x v="11"/>
    <x v="16"/>
  </r>
  <r>
    <x v="1463"/>
    <x v="15"/>
    <x v="0"/>
    <x v="3"/>
    <x v="25"/>
    <x v="1"/>
    <x v="1"/>
    <x v="71"/>
    <x v="16"/>
  </r>
  <r>
    <x v="1464"/>
    <x v="19"/>
    <x v="17"/>
    <x v="6"/>
    <x v="90"/>
    <x v="0"/>
    <x v="3"/>
    <x v="20"/>
    <x v="16"/>
  </r>
  <r>
    <x v="1465"/>
    <x v="23"/>
    <x v="8"/>
    <x v="3"/>
    <x v="13"/>
    <x v="16"/>
    <x v="15"/>
    <x v="73"/>
    <x v="16"/>
  </r>
  <r>
    <x v="1466"/>
    <x v="98"/>
    <x v="3"/>
    <x v="5"/>
    <x v="46"/>
    <x v="7"/>
    <x v="2"/>
    <x v="76"/>
    <x v="16"/>
  </r>
  <r>
    <x v="1467"/>
    <x v="4"/>
    <x v="15"/>
    <x v="9"/>
    <x v="215"/>
    <x v="11"/>
    <x v="6"/>
    <x v="137"/>
    <x v="16"/>
  </r>
  <r>
    <x v="1468"/>
    <x v="44"/>
    <x v="4"/>
    <x v="7"/>
    <x v="60"/>
    <x v="2"/>
    <x v="3"/>
    <x v="1"/>
    <x v="16"/>
  </r>
  <r>
    <x v="1469"/>
    <x v="71"/>
    <x v="16"/>
    <x v="7"/>
    <x v="32"/>
    <x v="8"/>
    <x v="1"/>
    <x v="255"/>
    <x v="16"/>
  </r>
  <r>
    <x v="1470"/>
    <x v="7"/>
    <x v="3"/>
    <x v="5"/>
    <x v="12"/>
    <x v="7"/>
    <x v="2"/>
    <x v="43"/>
    <x v="16"/>
  </r>
  <r>
    <x v="1471"/>
    <x v="63"/>
    <x v="0"/>
    <x v="5"/>
    <x v="54"/>
    <x v="1"/>
    <x v="5"/>
    <x v="56"/>
    <x v="16"/>
  </r>
  <r>
    <x v="1472"/>
    <x v="97"/>
    <x v="13"/>
    <x v="5"/>
    <x v="45"/>
    <x v="11"/>
    <x v="1"/>
    <x v="256"/>
    <x v="16"/>
  </r>
  <r>
    <x v="1473"/>
    <x v="36"/>
    <x v="10"/>
    <x v="3"/>
    <x v="18"/>
    <x v="2"/>
    <x v="3"/>
    <x v="58"/>
    <x v="16"/>
  </r>
  <r>
    <x v="1474"/>
    <x v="60"/>
    <x v="3"/>
    <x v="9"/>
    <x v="41"/>
    <x v="0"/>
    <x v="9"/>
    <x v="98"/>
    <x v="16"/>
  </r>
  <r>
    <x v="1475"/>
    <x v="59"/>
    <x v="1"/>
    <x v="7"/>
    <x v="133"/>
    <x v="8"/>
    <x v="4"/>
    <x v="6"/>
    <x v="16"/>
  </r>
  <r>
    <x v="1476"/>
    <x v="50"/>
    <x v="2"/>
    <x v="5"/>
    <x v="12"/>
    <x v="6"/>
    <x v="3"/>
    <x v="28"/>
    <x v="16"/>
  </r>
  <r>
    <x v="1477"/>
    <x v="57"/>
    <x v="4"/>
    <x v="12"/>
    <x v="51"/>
    <x v="0"/>
    <x v="0"/>
    <x v="7"/>
    <x v="16"/>
  </r>
  <r>
    <x v="1478"/>
    <x v="2"/>
    <x v="18"/>
    <x v="4"/>
    <x v="143"/>
    <x v="11"/>
    <x v="6"/>
    <x v="6"/>
    <x v="16"/>
  </r>
  <r>
    <x v="1479"/>
    <x v="79"/>
    <x v="4"/>
    <x v="8"/>
    <x v="37"/>
    <x v="11"/>
    <x v="5"/>
    <x v="27"/>
    <x v="16"/>
  </r>
  <r>
    <x v="1480"/>
    <x v="26"/>
    <x v="4"/>
    <x v="7"/>
    <x v="125"/>
    <x v="8"/>
    <x v="4"/>
    <x v="44"/>
    <x v="16"/>
  </r>
  <r>
    <x v="1481"/>
    <x v="86"/>
    <x v="0"/>
    <x v="13"/>
    <x v="37"/>
    <x v="11"/>
    <x v="6"/>
    <x v="55"/>
    <x v="16"/>
  </r>
  <r>
    <x v="1482"/>
    <x v="35"/>
    <x v="0"/>
    <x v="9"/>
    <x v="43"/>
    <x v="0"/>
    <x v="0"/>
    <x v="32"/>
    <x v="16"/>
  </r>
  <r>
    <x v="1483"/>
    <x v="96"/>
    <x v="7"/>
    <x v="4"/>
    <x v="22"/>
    <x v="8"/>
    <x v="1"/>
    <x v="98"/>
    <x v="16"/>
  </r>
  <r>
    <x v="1484"/>
    <x v="5"/>
    <x v="14"/>
    <x v="7"/>
    <x v="5"/>
    <x v="9"/>
    <x v="10"/>
    <x v="35"/>
    <x v="16"/>
  </r>
  <r>
    <x v="1485"/>
    <x v="25"/>
    <x v="1"/>
    <x v="4"/>
    <x v="53"/>
    <x v="8"/>
    <x v="4"/>
    <x v="257"/>
    <x v="16"/>
  </r>
  <r>
    <x v="1486"/>
    <x v="6"/>
    <x v="2"/>
    <x v="5"/>
    <x v="219"/>
    <x v="0"/>
    <x v="1"/>
    <x v="41"/>
    <x v="16"/>
  </r>
  <r>
    <x v="1487"/>
    <x v="68"/>
    <x v="20"/>
    <x v="5"/>
    <x v="12"/>
    <x v="8"/>
    <x v="0"/>
    <x v="2"/>
    <x v="16"/>
  </r>
  <r>
    <x v="1488"/>
    <x v="69"/>
    <x v="9"/>
    <x v="8"/>
    <x v="51"/>
    <x v="0"/>
    <x v="1"/>
    <x v="4"/>
    <x v="16"/>
  </r>
  <r>
    <x v="1489"/>
    <x v="75"/>
    <x v="1"/>
    <x v="3"/>
    <x v="77"/>
    <x v="1"/>
    <x v="10"/>
    <x v="51"/>
    <x v="16"/>
  </r>
  <r>
    <x v="1490"/>
    <x v="76"/>
    <x v="13"/>
    <x v="10"/>
    <x v="52"/>
    <x v="13"/>
    <x v="3"/>
    <x v="211"/>
    <x v="16"/>
  </r>
  <r>
    <x v="1491"/>
    <x v="42"/>
    <x v="1"/>
    <x v="3"/>
    <x v="64"/>
    <x v="4"/>
    <x v="3"/>
    <x v="42"/>
    <x v="16"/>
  </r>
  <r>
    <x v="1492"/>
    <x v="8"/>
    <x v="3"/>
    <x v="2"/>
    <x v="96"/>
    <x v="2"/>
    <x v="3"/>
    <x v="20"/>
    <x v="16"/>
  </r>
  <r>
    <x v="1493"/>
    <x v="31"/>
    <x v="9"/>
    <x v="0"/>
    <x v="31"/>
    <x v="2"/>
    <x v="0"/>
    <x v="71"/>
    <x v="16"/>
  </r>
  <r>
    <x v="1494"/>
    <x v="42"/>
    <x v="6"/>
    <x v="6"/>
    <x v="35"/>
    <x v="0"/>
    <x v="3"/>
    <x v="133"/>
    <x v="16"/>
  </r>
  <r>
    <x v="1495"/>
    <x v="32"/>
    <x v="2"/>
    <x v="6"/>
    <x v="83"/>
    <x v="11"/>
    <x v="9"/>
    <x v="95"/>
    <x v="16"/>
  </r>
  <r>
    <x v="1496"/>
    <x v="41"/>
    <x v="6"/>
    <x v="4"/>
    <x v="71"/>
    <x v="11"/>
    <x v="4"/>
    <x v="77"/>
    <x v="16"/>
  </r>
  <r>
    <x v="1497"/>
    <x v="95"/>
    <x v="13"/>
    <x v="2"/>
    <x v="81"/>
    <x v="6"/>
    <x v="3"/>
    <x v="71"/>
    <x v="16"/>
  </r>
  <r>
    <x v="1498"/>
    <x v="1"/>
    <x v="1"/>
    <x v="6"/>
    <x v="62"/>
    <x v="4"/>
    <x v="4"/>
    <x v="62"/>
    <x v="16"/>
  </r>
  <r>
    <x v="1499"/>
    <x v="9"/>
    <x v="13"/>
    <x v="2"/>
    <x v="215"/>
    <x v="8"/>
    <x v="0"/>
    <x v="123"/>
    <x v="16"/>
  </r>
  <r>
    <x v="1500"/>
    <x v="91"/>
    <x v="5"/>
    <x v="0"/>
    <x v="149"/>
    <x v="8"/>
    <x v="9"/>
    <x v="211"/>
    <x v="16"/>
  </r>
  <r>
    <x v="1501"/>
    <x v="87"/>
    <x v="0"/>
    <x v="12"/>
    <x v="58"/>
    <x v="11"/>
    <x v="9"/>
    <x v="20"/>
    <x v="16"/>
  </r>
  <r>
    <x v="1502"/>
    <x v="66"/>
    <x v="3"/>
    <x v="4"/>
    <x v="82"/>
    <x v="2"/>
    <x v="3"/>
    <x v="59"/>
    <x v="16"/>
  </r>
  <r>
    <x v="1503"/>
    <x v="54"/>
    <x v="4"/>
    <x v="7"/>
    <x v="86"/>
    <x v="2"/>
    <x v="4"/>
    <x v="12"/>
    <x v="16"/>
  </r>
  <r>
    <x v="1504"/>
    <x v="71"/>
    <x v="0"/>
    <x v="11"/>
    <x v="37"/>
    <x v="6"/>
    <x v="3"/>
    <x v="145"/>
    <x v="16"/>
  </r>
  <r>
    <x v="1505"/>
    <x v="34"/>
    <x v="1"/>
    <x v="6"/>
    <x v="15"/>
    <x v="0"/>
    <x v="4"/>
    <x v="108"/>
    <x v="16"/>
  </r>
  <r>
    <x v="1506"/>
    <x v="47"/>
    <x v="6"/>
    <x v="4"/>
    <x v="150"/>
    <x v="5"/>
    <x v="5"/>
    <x v="47"/>
    <x v="16"/>
  </r>
  <r>
    <x v="1507"/>
    <x v="49"/>
    <x v="0"/>
    <x v="12"/>
    <x v="25"/>
    <x v="3"/>
    <x v="10"/>
    <x v="58"/>
    <x v="16"/>
  </r>
  <r>
    <x v="1508"/>
    <x v="30"/>
    <x v="0"/>
    <x v="6"/>
    <x v="116"/>
    <x v="11"/>
    <x v="4"/>
    <x v="43"/>
    <x v="16"/>
  </r>
  <r>
    <x v="1509"/>
    <x v="24"/>
    <x v="0"/>
    <x v="7"/>
    <x v="65"/>
    <x v="8"/>
    <x v="1"/>
    <x v="17"/>
    <x v="16"/>
  </r>
  <r>
    <x v="1510"/>
    <x v="58"/>
    <x v="1"/>
    <x v="2"/>
    <x v="15"/>
    <x v="0"/>
    <x v="4"/>
    <x v="173"/>
    <x v="16"/>
  </r>
  <r>
    <x v="1511"/>
    <x v="72"/>
    <x v="7"/>
    <x v="7"/>
    <x v="110"/>
    <x v="14"/>
    <x v="12"/>
    <x v="101"/>
    <x v="16"/>
  </r>
  <r>
    <x v="1512"/>
    <x v="43"/>
    <x v="1"/>
    <x v="4"/>
    <x v="136"/>
    <x v="6"/>
    <x v="3"/>
    <x v="2"/>
    <x v="16"/>
  </r>
  <r>
    <x v="1513"/>
    <x v="64"/>
    <x v="13"/>
    <x v="4"/>
    <x v="47"/>
    <x v="2"/>
    <x v="0"/>
    <x v="62"/>
    <x v="16"/>
  </r>
  <r>
    <x v="1514"/>
    <x v="84"/>
    <x v="9"/>
    <x v="7"/>
    <x v="25"/>
    <x v="0"/>
    <x v="3"/>
    <x v="5"/>
    <x v="16"/>
  </r>
  <r>
    <x v="1515"/>
    <x v="37"/>
    <x v="0"/>
    <x v="5"/>
    <x v="30"/>
    <x v="0"/>
    <x v="9"/>
    <x v="243"/>
    <x v="16"/>
  </r>
  <r>
    <x v="1516"/>
    <x v="80"/>
    <x v="0"/>
    <x v="0"/>
    <x v="86"/>
    <x v="2"/>
    <x v="4"/>
    <x v="76"/>
    <x v="16"/>
  </r>
  <r>
    <x v="1517"/>
    <x v="18"/>
    <x v="1"/>
    <x v="4"/>
    <x v="138"/>
    <x v="1"/>
    <x v="10"/>
    <x v="53"/>
    <x v="16"/>
  </r>
  <r>
    <x v="1518"/>
    <x v="92"/>
    <x v="7"/>
    <x v="4"/>
    <x v="19"/>
    <x v="5"/>
    <x v="0"/>
    <x v="69"/>
    <x v="16"/>
  </r>
  <r>
    <x v="1519"/>
    <x v="94"/>
    <x v="5"/>
    <x v="8"/>
    <x v="36"/>
    <x v="0"/>
    <x v="9"/>
    <x v="20"/>
    <x v="16"/>
  </r>
  <r>
    <x v="1520"/>
    <x v="91"/>
    <x v="4"/>
    <x v="8"/>
    <x v="21"/>
    <x v="8"/>
    <x v="4"/>
    <x v="258"/>
    <x v="16"/>
  </r>
  <r>
    <x v="1521"/>
    <x v="40"/>
    <x v="2"/>
    <x v="4"/>
    <x v="144"/>
    <x v="1"/>
    <x v="2"/>
    <x v="27"/>
    <x v="16"/>
  </r>
  <r>
    <x v="1522"/>
    <x v="52"/>
    <x v="4"/>
    <x v="0"/>
    <x v="51"/>
    <x v="8"/>
    <x v="4"/>
    <x v="39"/>
    <x v="16"/>
  </r>
  <r>
    <x v="1523"/>
    <x v="70"/>
    <x v="1"/>
    <x v="5"/>
    <x v="146"/>
    <x v="8"/>
    <x v="1"/>
    <x v="171"/>
    <x v="16"/>
  </r>
  <r>
    <x v="1524"/>
    <x v="17"/>
    <x v="6"/>
    <x v="4"/>
    <x v="49"/>
    <x v="6"/>
    <x v="3"/>
    <x v="5"/>
    <x v="16"/>
  </r>
  <r>
    <x v="1525"/>
    <x v="6"/>
    <x v="2"/>
    <x v="6"/>
    <x v="90"/>
    <x v="12"/>
    <x v="12"/>
    <x v="259"/>
    <x v="17"/>
  </r>
  <r>
    <x v="1526"/>
    <x v="49"/>
    <x v="7"/>
    <x v="6"/>
    <x v="42"/>
    <x v="11"/>
    <x v="1"/>
    <x v="92"/>
    <x v="17"/>
  </r>
  <r>
    <x v="1527"/>
    <x v="57"/>
    <x v="5"/>
    <x v="8"/>
    <x v="30"/>
    <x v="0"/>
    <x v="9"/>
    <x v="54"/>
    <x v="17"/>
  </r>
  <r>
    <x v="1528"/>
    <x v="73"/>
    <x v="12"/>
    <x v="12"/>
    <x v="56"/>
    <x v="0"/>
    <x v="4"/>
    <x v="24"/>
    <x v="17"/>
  </r>
  <r>
    <x v="1529"/>
    <x v="47"/>
    <x v="6"/>
    <x v="9"/>
    <x v="63"/>
    <x v="3"/>
    <x v="5"/>
    <x v="260"/>
    <x v="17"/>
  </r>
  <r>
    <x v="1530"/>
    <x v="24"/>
    <x v="0"/>
    <x v="12"/>
    <x v="56"/>
    <x v="1"/>
    <x v="6"/>
    <x v="56"/>
    <x v="17"/>
  </r>
  <r>
    <x v="1531"/>
    <x v="22"/>
    <x v="2"/>
    <x v="6"/>
    <x v="2"/>
    <x v="0"/>
    <x v="0"/>
    <x v="54"/>
    <x v="17"/>
  </r>
  <r>
    <x v="1532"/>
    <x v="16"/>
    <x v="2"/>
    <x v="6"/>
    <x v="40"/>
    <x v="4"/>
    <x v="3"/>
    <x v="51"/>
    <x v="17"/>
  </r>
  <r>
    <x v="1533"/>
    <x v="51"/>
    <x v="3"/>
    <x v="9"/>
    <x v="47"/>
    <x v="9"/>
    <x v="10"/>
    <x v="97"/>
    <x v="17"/>
  </r>
  <r>
    <x v="1534"/>
    <x v="96"/>
    <x v="12"/>
    <x v="8"/>
    <x v="24"/>
    <x v="7"/>
    <x v="7"/>
    <x v="73"/>
    <x v="17"/>
  </r>
  <r>
    <x v="1535"/>
    <x v="41"/>
    <x v="6"/>
    <x v="9"/>
    <x v="136"/>
    <x v="1"/>
    <x v="6"/>
    <x v="2"/>
    <x v="17"/>
  </r>
  <r>
    <x v="1536"/>
    <x v="65"/>
    <x v="5"/>
    <x v="12"/>
    <x v="36"/>
    <x v="14"/>
    <x v="11"/>
    <x v="137"/>
    <x v="17"/>
  </r>
  <r>
    <x v="1537"/>
    <x v="71"/>
    <x v="0"/>
    <x v="3"/>
    <x v="43"/>
    <x v="0"/>
    <x v="9"/>
    <x v="40"/>
    <x v="17"/>
  </r>
  <r>
    <x v="1538"/>
    <x v="8"/>
    <x v="3"/>
    <x v="6"/>
    <x v="52"/>
    <x v="7"/>
    <x v="2"/>
    <x v="34"/>
    <x v="17"/>
  </r>
  <r>
    <x v="1539"/>
    <x v="70"/>
    <x v="1"/>
    <x v="7"/>
    <x v="77"/>
    <x v="11"/>
    <x v="1"/>
    <x v="52"/>
    <x v="17"/>
  </r>
  <r>
    <x v="1540"/>
    <x v="32"/>
    <x v="2"/>
    <x v="3"/>
    <x v="12"/>
    <x v="5"/>
    <x v="10"/>
    <x v="137"/>
    <x v="17"/>
  </r>
  <r>
    <x v="1541"/>
    <x v="92"/>
    <x v="0"/>
    <x v="5"/>
    <x v="36"/>
    <x v="2"/>
    <x v="4"/>
    <x v="28"/>
    <x v="17"/>
  </r>
  <r>
    <x v="1542"/>
    <x v="46"/>
    <x v="0"/>
    <x v="6"/>
    <x v="24"/>
    <x v="3"/>
    <x v="2"/>
    <x v="62"/>
    <x v="17"/>
  </r>
  <r>
    <x v="1543"/>
    <x v="37"/>
    <x v="0"/>
    <x v="12"/>
    <x v="72"/>
    <x v="1"/>
    <x v="7"/>
    <x v="105"/>
    <x v="17"/>
  </r>
  <r>
    <x v="1544"/>
    <x v="98"/>
    <x v="3"/>
    <x v="9"/>
    <x v="4"/>
    <x v="0"/>
    <x v="3"/>
    <x v="22"/>
    <x v="17"/>
  </r>
  <r>
    <x v="1545"/>
    <x v="13"/>
    <x v="2"/>
    <x v="6"/>
    <x v="4"/>
    <x v="4"/>
    <x v="3"/>
    <x v="137"/>
    <x v="17"/>
  </r>
  <r>
    <x v="1546"/>
    <x v="56"/>
    <x v="0"/>
    <x v="8"/>
    <x v="34"/>
    <x v="8"/>
    <x v="4"/>
    <x v="163"/>
    <x v="17"/>
  </r>
  <r>
    <x v="1547"/>
    <x v="63"/>
    <x v="1"/>
    <x v="7"/>
    <x v="35"/>
    <x v="8"/>
    <x v="6"/>
    <x v="125"/>
    <x v="17"/>
  </r>
  <r>
    <x v="1548"/>
    <x v="53"/>
    <x v="3"/>
    <x v="4"/>
    <x v="108"/>
    <x v="2"/>
    <x v="3"/>
    <x v="11"/>
    <x v="17"/>
  </r>
  <r>
    <x v="1549"/>
    <x v="55"/>
    <x v="0"/>
    <x v="12"/>
    <x v="70"/>
    <x v="3"/>
    <x v="2"/>
    <x v="108"/>
    <x v="17"/>
  </r>
  <r>
    <x v="1550"/>
    <x v="38"/>
    <x v="7"/>
    <x v="5"/>
    <x v="14"/>
    <x v="3"/>
    <x v="10"/>
    <x v="150"/>
    <x v="17"/>
  </r>
  <r>
    <x v="1551"/>
    <x v="61"/>
    <x v="2"/>
    <x v="7"/>
    <x v="83"/>
    <x v="0"/>
    <x v="9"/>
    <x v="36"/>
    <x v="17"/>
  </r>
  <r>
    <x v="1552"/>
    <x v="45"/>
    <x v="0"/>
    <x v="0"/>
    <x v="25"/>
    <x v="13"/>
    <x v="3"/>
    <x v="24"/>
    <x v="17"/>
  </r>
  <r>
    <x v="1553"/>
    <x v="67"/>
    <x v="8"/>
    <x v="0"/>
    <x v="72"/>
    <x v="1"/>
    <x v="10"/>
    <x v="7"/>
    <x v="17"/>
  </r>
  <r>
    <x v="1554"/>
    <x v="44"/>
    <x v="12"/>
    <x v="8"/>
    <x v="86"/>
    <x v="13"/>
    <x v="3"/>
    <x v="168"/>
    <x v="17"/>
  </r>
  <r>
    <x v="1555"/>
    <x v="81"/>
    <x v="5"/>
    <x v="0"/>
    <x v="107"/>
    <x v="11"/>
    <x v="6"/>
    <x v="2"/>
    <x v="17"/>
  </r>
  <r>
    <x v="1556"/>
    <x v="62"/>
    <x v="3"/>
    <x v="5"/>
    <x v="73"/>
    <x v="6"/>
    <x v="3"/>
    <x v="47"/>
    <x v="17"/>
  </r>
  <r>
    <x v="1557"/>
    <x v="33"/>
    <x v="2"/>
    <x v="5"/>
    <x v="220"/>
    <x v="8"/>
    <x v="6"/>
    <x v="27"/>
    <x v="17"/>
  </r>
  <r>
    <x v="1558"/>
    <x v="87"/>
    <x v="6"/>
    <x v="5"/>
    <x v="62"/>
    <x v="0"/>
    <x v="3"/>
    <x v="92"/>
    <x v="17"/>
  </r>
  <r>
    <x v="1559"/>
    <x v="89"/>
    <x v="2"/>
    <x v="6"/>
    <x v="120"/>
    <x v="8"/>
    <x v="0"/>
    <x v="76"/>
    <x v="17"/>
  </r>
  <r>
    <x v="1560"/>
    <x v="1"/>
    <x v="1"/>
    <x v="3"/>
    <x v="22"/>
    <x v="1"/>
    <x v="10"/>
    <x v="19"/>
    <x v="17"/>
  </r>
  <r>
    <x v="1561"/>
    <x v="91"/>
    <x v="2"/>
    <x v="8"/>
    <x v="15"/>
    <x v="13"/>
    <x v="3"/>
    <x v="118"/>
    <x v="17"/>
  </r>
  <r>
    <x v="1562"/>
    <x v="19"/>
    <x v="1"/>
    <x v="7"/>
    <x v="14"/>
    <x v="0"/>
    <x v="3"/>
    <x v="53"/>
    <x v="17"/>
  </r>
  <r>
    <x v="1563"/>
    <x v="10"/>
    <x v="1"/>
    <x v="7"/>
    <x v="114"/>
    <x v="6"/>
    <x v="3"/>
    <x v="71"/>
    <x v="17"/>
  </r>
  <r>
    <x v="1564"/>
    <x v="58"/>
    <x v="2"/>
    <x v="5"/>
    <x v="127"/>
    <x v="11"/>
    <x v="0"/>
    <x v="127"/>
    <x v="17"/>
  </r>
  <r>
    <x v="1565"/>
    <x v="66"/>
    <x v="3"/>
    <x v="14"/>
    <x v="41"/>
    <x v="8"/>
    <x v="0"/>
    <x v="20"/>
    <x v="17"/>
  </r>
  <r>
    <x v="1566"/>
    <x v="42"/>
    <x v="1"/>
    <x v="3"/>
    <x v="66"/>
    <x v="3"/>
    <x v="2"/>
    <x v="210"/>
    <x v="17"/>
  </r>
  <r>
    <x v="1567"/>
    <x v="50"/>
    <x v="2"/>
    <x v="3"/>
    <x v="8"/>
    <x v="13"/>
    <x v="3"/>
    <x v="4"/>
    <x v="17"/>
  </r>
  <r>
    <x v="1568"/>
    <x v="85"/>
    <x v="7"/>
    <x v="6"/>
    <x v="110"/>
    <x v="3"/>
    <x v="1"/>
    <x v="51"/>
    <x v="17"/>
  </r>
  <r>
    <x v="1569"/>
    <x v="77"/>
    <x v="3"/>
    <x v="4"/>
    <x v="152"/>
    <x v="11"/>
    <x v="1"/>
    <x v="261"/>
    <x v="17"/>
  </r>
  <r>
    <x v="1570"/>
    <x v="18"/>
    <x v="2"/>
    <x v="3"/>
    <x v="146"/>
    <x v="15"/>
    <x v="15"/>
    <x v="54"/>
    <x v="17"/>
  </r>
  <r>
    <x v="1571"/>
    <x v="27"/>
    <x v="10"/>
    <x v="7"/>
    <x v="107"/>
    <x v="3"/>
    <x v="10"/>
    <x v="137"/>
    <x v="17"/>
  </r>
  <r>
    <x v="1572"/>
    <x v="99"/>
    <x v="2"/>
    <x v="6"/>
    <x v="90"/>
    <x v="1"/>
    <x v="10"/>
    <x v="62"/>
    <x v="17"/>
  </r>
  <r>
    <x v="1573"/>
    <x v="80"/>
    <x v="0"/>
    <x v="7"/>
    <x v="34"/>
    <x v="2"/>
    <x v="3"/>
    <x v="2"/>
    <x v="17"/>
  </r>
  <r>
    <x v="1574"/>
    <x v="0"/>
    <x v="16"/>
    <x v="8"/>
    <x v="65"/>
    <x v="7"/>
    <x v="6"/>
    <x v="6"/>
    <x v="17"/>
  </r>
  <r>
    <x v="1575"/>
    <x v="23"/>
    <x v="6"/>
    <x v="6"/>
    <x v="15"/>
    <x v="4"/>
    <x v="4"/>
    <x v="108"/>
    <x v="17"/>
  </r>
  <r>
    <x v="1576"/>
    <x v="52"/>
    <x v="12"/>
    <x v="12"/>
    <x v="0"/>
    <x v="5"/>
    <x v="5"/>
    <x v="35"/>
    <x v="17"/>
  </r>
  <r>
    <x v="1577"/>
    <x v="5"/>
    <x v="1"/>
    <x v="3"/>
    <x v="14"/>
    <x v="3"/>
    <x v="7"/>
    <x v="35"/>
    <x v="17"/>
  </r>
  <r>
    <x v="1578"/>
    <x v="2"/>
    <x v="2"/>
    <x v="3"/>
    <x v="215"/>
    <x v="0"/>
    <x v="4"/>
    <x v="16"/>
    <x v="17"/>
  </r>
  <r>
    <x v="1579"/>
    <x v="72"/>
    <x v="5"/>
    <x v="0"/>
    <x v="30"/>
    <x v="11"/>
    <x v="5"/>
    <x v="151"/>
    <x v="17"/>
  </r>
  <r>
    <x v="1580"/>
    <x v="84"/>
    <x v="12"/>
    <x v="6"/>
    <x v="51"/>
    <x v="13"/>
    <x v="3"/>
    <x v="163"/>
    <x v="17"/>
  </r>
  <r>
    <x v="1581"/>
    <x v="7"/>
    <x v="3"/>
    <x v="6"/>
    <x v="47"/>
    <x v="7"/>
    <x v="5"/>
    <x v="12"/>
    <x v="17"/>
  </r>
  <r>
    <x v="1582"/>
    <x v="48"/>
    <x v="0"/>
    <x v="8"/>
    <x v="56"/>
    <x v="4"/>
    <x v="3"/>
    <x v="71"/>
    <x v="17"/>
  </r>
  <r>
    <x v="1583"/>
    <x v="20"/>
    <x v="7"/>
    <x v="5"/>
    <x v="19"/>
    <x v="2"/>
    <x v="4"/>
    <x v="51"/>
    <x v="17"/>
  </r>
  <r>
    <x v="1584"/>
    <x v="35"/>
    <x v="0"/>
    <x v="7"/>
    <x v="0"/>
    <x v="3"/>
    <x v="10"/>
    <x v="88"/>
    <x v="17"/>
  </r>
  <r>
    <x v="1585"/>
    <x v="79"/>
    <x v="12"/>
    <x v="0"/>
    <x v="123"/>
    <x v="1"/>
    <x v="5"/>
    <x v="7"/>
    <x v="17"/>
  </r>
  <r>
    <x v="1586"/>
    <x v="88"/>
    <x v="3"/>
    <x v="6"/>
    <x v="61"/>
    <x v="0"/>
    <x v="4"/>
    <x v="38"/>
    <x v="17"/>
  </r>
  <r>
    <x v="1587"/>
    <x v="26"/>
    <x v="12"/>
    <x v="8"/>
    <x v="34"/>
    <x v="1"/>
    <x v="10"/>
    <x v="52"/>
    <x v="17"/>
  </r>
  <r>
    <x v="1588"/>
    <x v="94"/>
    <x v="12"/>
    <x v="8"/>
    <x v="65"/>
    <x v="3"/>
    <x v="2"/>
    <x v="105"/>
    <x v="17"/>
  </r>
  <r>
    <x v="1589"/>
    <x v="78"/>
    <x v="2"/>
    <x v="4"/>
    <x v="137"/>
    <x v="13"/>
    <x v="3"/>
    <x v="211"/>
    <x v="17"/>
  </r>
  <r>
    <x v="1590"/>
    <x v="3"/>
    <x v="3"/>
    <x v="4"/>
    <x v="68"/>
    <x v="7"/>
    <x v="2"/>
    <x v="47"/>
    <x v="17"/>
  </r>
  <r>
    <x v="1591"/>
    <x v="54"/>
    <x v="5"/>
    <x v="8"/>
    <x v="24"/>
    <x v="1"/>
    <x v="1"/>
    <x v="18"/>
    <x v="17"/>
  </r>
  <r>
    <x v="1592"/>
    <x v="17"/>
    <x v="2"/>
    <x v="3"/>
    <x v="49"/>
    <x v="5"/>
    <x v="6"/>
    <x v="58"/>
    <x v="17"/>
  </r>
  <r>
    <x v="1593"/>
    <x v="11"/>
    <x v="12"/>
    <x v="8"/>
    <x v="42"/>
    <x v="5"/>
    <x v="1"/>
    <x v="262"/>
    <x v="17"/>
  </r>
  <r>
    <x v="1594"/>
    <x v="14"/>
    <x v="5"/>
    <x v="12"/>
    <x v="135"/>
    <x v="4"/>
    <x v="3"/>
    <x v="76"/>
    <x v="17"/>
  </r>
  <r>
    <x v="1595"/>
    <x v="25"/>
    <x v="1"/>
    <x v="0"/>
    <x v="133"/>
    <x v="7"/>
    <x v="7"/>
    <x v="83"/>
    <x v="17"/>
  </r>
  <r>
    <x v="1596"/>
    <x v="43"/>
    <x v="12"/>
    <x v="8"/>
    <x v="149"/>
    <x v="2"/>
    <x v="3"/>
    <x v="24"/>
    <x v="17"/>
  </r>
  <r>
    <x v="1597"/>
    <x v="28"/>
    <x v="10"/>
    <x v="3"/>
    <x v="5"/>
    <x v="7"/>
    <x v="9"/>
    <x v="121"/>
    <x v="17"/>
  </r>
  <r>
    <x v="1598"/>
    <x v="75"/>
    <x v="3"/>
    <x v="6"/>
    <x v="12"/>
    <x v="5"/>
    <x v="6"/>
    <x v="7"/>
    <x v="17"/>
  </r>
  <r>
    <x v="1599"/>
    <x v="30"/>
    <x v="6"/>
    <x v="9"/>
    <x v="141"/>
    <x v="4"/>
    <x v="3"/>
    <x v="105"/>
    <x v="17"/>
  </r>
  <r>
    <x v="1600"/>
    <x v="39"/>
    <x v="1"/>
    <x v="7"/>
    <x v="22"/>
    <x v="5"/>
    <x v="5"/>
    <x v="30"/>
    <x v="17"/>
  </r>
  <r>
    <x v="1601"/>
    <x v="34"/>
    <x v="2"/>
    <x v="4"/>
    <x v="5"/>
    <x v="1"/>
    <x v="5"/>
    <x v="226"/>
    <x v="17"/>
  </r>
  <r>
    <x v="1602"/>
    <x v="9"/>
    <x v="3"/>
    <x v="9"/>
    <x v="118"/>
    <x v="8"/>
    <x v="1"/>
    <x v="56"/>
    <x v="17"/>
  </r>
  <r>
    <x v="1603"/>
    <x v="21"/>
    <x v="6"/>
    <x v="4"/>
    <x v="17"/>
    <x v="1"/>
    <x v="1"/>
    <x v="127"/>
    <x v="17"/>
  </r>
  <r>
    <x v="1604"/>
    <x v="36"/>
    <x v="12"/>
    <x v="12"/>
    <x v="30"/>
    <x v="11"/>
    <x v="1"/>
    <x v="6"/>
    <x v="17"/>
  </r>
  <r>
    <x v="1605"/>
    <x v="74"/>
    <x v="12"/>
    <x v="8"/>
    <x v="21"/>
    <x v="11"/>
    <x v="6"/>
    <x v="48"/>
    <x v="17"/>
  </r>
  <r>
    <x v="1606"/>
    <x v="95"/>
    <x v="3"/>
    <x v="4"/>
    <x v="45"/>
    <x v="11"/>
    <x v="9"/>
    <x v="56"/>
    <x v="17"/>
  </r>
  <r>
    <x v="1607"/>
    <x v="31"/>
    <x v="12"/>
    <x v="8"/>
    <x v="0"/>
    <x v="11"/>
    <x v="6"/>
    <x v="20"/>
    <x v="17"/>
  </r>
  <r>
    <x v="1608"/>
    <x v="29"/>
    <x v="12"/>
    <x v="7"/>
    <x v="51"/>
    <x v="6"/>
    <x v="3"/>
    <x v="11"/>
    <x v="17"/>
  </r>
  <r>
    <x v="1609"/>
    <x v="83"/>
    <x v="12"/>
    <x v="12"/>
    <x v="24"/>
    <x v="11"/>
    <x v="6"/>
    <x v="68"/>
    <x v="17"/>
  </r>
  <r>
    <x v="1610"/>
    <x v="64"/>
    <x v="3"/>
    <x v="4"/>
    <x v="112"/>
    <x v="5"/>
    <x v="10"/>
    <x v="140"/>
    <x v="17"/>
  </r>
  <r>
    <x v="1611"/>
    <x v="97"/>
    <x v="3"/>
    <x v="4"/>
    <x v="82"/>
    <x v="0"/>
    <x v="9"/>
    <x v="97"/>
    <x v="17"/>
  </r>
  <r>
    <x v="1612"/>
    <x v="12"/>
    <x v="1"/>
    <x v="3"/>
    <x v="22"/>
    <x v="2"/>
    <x v="4"/>
    <x v="54"/>
    <x v="17"/>
  </r>
  <r>
    <x v="1613"/>
    <x v="15"/>
    <x v="0"/>
    <x v="0"/>
    <x v="10"/>
    <x v="2"/>
    <x v="9"/>
    <x v="51"/>
    <x v="17"/>
  </r>
  <r>
    <x v="1614"/>
    <x v="59"/>
    <x v="14"/>
    <x v="12"/>
    <x v="75"/>
    <x v="21"/>
    <x v="15"/>
    <x v="24"/>
    <x v="17"/>
  </r>
  <r>
    <x v="1615"/>
    <x v="69"/>
    <x v="12"/>
    <x v="7"/>
    <x v="50"/>
    <x v="11"/>
    <x v="6"/>
    <x v="83"/>
    <x v="17"/>
  </r>
  <r>
    <x v="1616"/>
    <x v="62"/>
    <x v="1"/>
    <x v="3"/>
    <x v="1"/>
    <x v="7"/>
    <x v="5"/>
    <x v="191"/>
    <x v="18"/>
  </r>
  <r>
    <x v="1617"/>
    <x v="84"/>
    <x v="0"/>
    <x v="12"/>
    <x v="21"/>
    <x v="5"/>
    <x v="5"/>
    <x v="14"/>
    <x v="18"/>
  </r>
  <r>
    <x v="542"/>
    <x v="27"/>
    <x v="18"/>
    <x v="4"/>
    <x v="106"/>
    <x v="8"/>
    <x v="1"/>
    <x v="145"/>
    <x v="18"/>
  </r>
  <r>
    <x v="1618"/>
    <x v="13"/>
    <x v="2"/>
    <x v="6"/>
    <x v="46"/>
    <x v="4"/>
    <x v="3"/>
    <x v="39"/>
    <x v="18"/>
  </r>
  <r>
    <x v="1619"/>
    <x v="26"/>
    <x v="5"/>
    <x v="8"/>
    <x v="43"/>
    <x v="8"/>
    <x v="0"/>
    <x v="77"/>
    <x v="18"/>
  </r>
  <r>
    <x v="1620"/>
    <x v="41"/>
    <x v="6"/>
    <x v="9"/>
    <x v="43"/>
    <x v="5"/>
    <x v="5"/>
    <x v="263"/>
    <x v="18"/>
  </r>
  <r>
    <x v="1621"/>
    <x v="86"/>
    <x v="0"/>
    <x v="3"/>
    <x v="36"/>
    <x v="4"/>
    <x v="3"/>
    <x v="4"/>
    <x v="18"/>
  </r>
  <r>
    <x v="1622"/>
    <x v="64"/>
    <x v="3"/>
    <x v="9"/>
    <x v="46"/>
    <x v="0"/>
    <x v="0"/>
    <x v="264"/>
    <x v="18"/>
  </r>
  <r>
    <x v="1623"/>
    <x v="49"/>
    <x v="7"/>
    <x v="3"/>
    <x v="36"/>
    <x v="1"/>
    <x v="5"/>
    <x v="35"/>
    <x v="18"/>
  </r>
  <r>
    <x v="1624"/>
    <x v="16"/>
    <x v="17"/>
    <x v="5"/>
    <x v="105"/>
    <x v="8"/>
    <x v="4"/>
    <x v="6"/>
    <x v="18"/>
  </r>
  <r>
    <x v="1625"/>
    <x v="21"/>
    <x v="6"/>
    <x v="4"/>
    <x v="64"/>
    <x v="13"/>
    <x v="3"/>
    <x v="41"/>
    <x v="18"/>
  </r>
  <r>
    <x v="1626"/>
    <x v="22"/>
    <x v="11"/>
    <x v="3"/>
    <x v="52"/>
    <x v="1"/>
    <x v="2"/>
    <x v="32"/>
    <x v="18"/>
  </r>
  <r>
    <x v="1627"/>
    <x v="57"/>
    <x v="4"/>
    <x v="0"/>
    <x v="21"/>
    <x v="4"/>
    <x v="3"/>
    <x v="22"/>
    <x v="18"/>
  </r>
  <r>
    <x v="1628"/>
    <x v="12"/>
    <x v="4"/>
    <x v="7"/>
    <x v="51"/>
    <x v="4"/>
    <x v="4"/>
    <x v="62"/>
    <x v="18"/>
  </r>
  <r>
    <x v="1629"/>
    <x v="17"/>
    <x v="18"/>
    <x v="6"/>
    <x v="146"/>
    <x v="2"/>
    <x v="0"/>
    <x v="11"/>
    <x v="18"/>
  </r>
  <r>
    <x v="1630"/>
    <x v="44"/>
    <x v="9"/>
    <x v="0"/>
    <x v="124"/>
    <x v="4"/>
    <x v="4"/>
    <x v="100"/>
    <x v="18"/>
  </r>
  <r>
    <x v="1631"/>
    <x v="36"/>
    <x v="4"/>
    <x v="13"/>
    <x v="221"/>
    <x v="8"/>
    <x v="0"/>
    <x v="168"/>
    <x v="18"/>
  </r>
  <r>
    <x v="1632"/>
    <x v="29"/>
    <x v="5"/>
    <x v="12"/>
    <x v="76"/>
    <x v="6"/>
    <x v="3"/>
    <x v="140"/>
    <x v="18"/>
  </r>
  <r>
    <x v="1633"/>
    <x v="23"/>
    <x v="16"/>
    <x v="4"/>
    <x v="22"/>
    <x v="5"/>
    <x v="6"/>
    <x v="131"/>
    <x v="18"/>
  </r>
  <r>
    <x v="1634"/>
    <x v="48"/>
    <x v="0"/>
    <x v="3"/>
    <x v="109"/>
    <x v="8"/>
    <x v="9"/>
    <x v="238"/>
    <x v="18"/>
  </r>
  <r>
    <x v="1635"/>
    <x v="14"/>
    <x v="5"/>
    <x v="8"/>
    <x v="86"/>
    <x v="8"/>
    <x v="4"/>
    <x v="40"/>
    <x v="18"/>
  </r>
  <r>
    <x v="1636"/>
    <x v="79"/>
    <x v="12"/>
    <x v="8"/>
    <x v="37"/>
    <x v="11"/>
    <x v="0"/>
    <x v="118"/>
    <x v="18"/>
  </r>
  <r>
    <x v="1637"/>
    <x v="7"/>
    <x v="13"/>
    <x v="5"/>
    <x v="215"/>
    <x v="0"/>
    <x v="9"/>
    <x v="35"/>
    <x v="18"/>
  </r>
  <r>
    <x v="1638"/>
    <x v="14"/>
    <x v="12"/>
    <x v="7"/>
    <x v="156"/>
    <x v="8"/>
    <x v="3"/>
    <x v="72"/>
    <x v="18"/>
  </r>
  <r>
    <x v="1639"/>
    <x v="21"/>
    <x v="18"/>
    <x v="4"/>
    <x v="90"/>
    <x v="2"/>
    <x v="3"/>
    <x v="252"/>
    <x v="18"/>
  </r>
  <r>
    <x v="1640"/>
    <x v="71"/>
    <x v="6"/>
    <x v="6"/>
    <x v="62"/>
    <x v="5"/>
    <x v="5"/>
    <x v="140"/>
    <x v="18"/>
  </r>
  <r>
    <x v="1641"/>
    <x v="74"/>
    <x v="5"/>
    <x v="12"/>
    <x v="36"/>
    <x v="2"/>
    <x v="4"/>
    <x v="41"/>
    <x v="18"/>
  </r>
  <r>
    <x v="1642"/>
    <x v="80"/>
    <x v="6"/>
    <x v="4"/>
    <x v="136"/>
    <x v="0"/>
    <x v="4"/>
    <x v="6"/>
    <x v="18"/>
  </r>
  <r>
    <x v="1643"/>
    <x v="58"/>
    <x v="11"/>
    <x v="5"/>
    <x v="215"/>
    <x v="5"/>
    <x v="6"/>
    <x v="123"/>
    <x v="18"/>
  </r>
  <r>
    <x v="1644"/>
    <x v="43"/>
    <x v="9"/>
    <x v="0"/>
    <x v="123"/>
    <x v="5"/>
    <x v="5"/>
    <x v="17"/>
    <x v="18"/>
  </r>
  <r>
    <x v="1645"/>
    <x v="3"/>
    <x v="3"/>
    <x v="4"/>
    <x v="12"/>
    <x v="4"/>
    <x v="3"/>
    <x v="61"/>
    <x v="18"/>
  </r>
  <r>
    <x v="1646"/>
    <x v="88"/>
    <x v="3"/>
    <x v="9"/>
    <x v="8"/>
    <x v="0"/>
    <x v="3"/>
    <x v="145"/>
    <x v="18"/>
  </r>
  <r>
    <x v="1647"/>
    <x v="11"/>
    <x v="12"/>
    <x v="0"/>
    <x v="37"/>
    <x v="8"/>
    <x v="3"/>
    <x v="229"/>
    <x v="18"/>
  </r>
  <r>
    <x v="1648"/>
    <x v="32"/>
    <x v="2"/>
    <x v="5"/>
    <x v="138"/>
    <x v="3"/>
    <x v="10"/>
    <x v="40"/>
    <x v="18"/>
  </r>
  <r>
    <x v="1649"/>
    <x v="81"/>
    <x v="4"/>
    <x v="0"/>
    <x v="149"/>
    <x v="5"/>
    <x v="5"/>
    <x v="12"/>
    <x v="18"/>
  </r>
  <r>
    <x v="1650"/>
    <x v="87"/>
    <x v="6"/>
    <x v="4"/>
    <x v="100"/>
    <x v="13"/>
    <x v="3"/>
    <x v="46"/>
    <x v="18"/>
  </r>
  <r>
    <x v="1651"/>
    <x v="56"/>
    <x v="0"/>
    <x v="12"/>
    <x v="21"/>
    <x v="3"/>
    <x v="6"/>
    <x v="82"/>
    <x v="18"/>
  </r>
  <r>
    <x v="1652"/>
    <x v="89"/>
    <x v="11"/>
    <x v="5"/>
    <x v="52"/>
    <x v="8"/>
    <x v="0"/>
    <x v="6"/>
    <x v="18"/>
  </r>
  <r>
    <x v="1653"/>
    <x v="83"/>
    <x v="4"/>
    <x v="8"/>
    <x v="37"/>
    <x v="11"/>
    <x v="6"/>
    <x v="9"/>
    <x v="18"/>
  </r>
  <r>
    <x v="1654"/>
    <x v="95"/>
    <x v="3"/>
    <x v="4"/>
    <x v="4"/>
    <x v="0"/>
    <x v="9"/>
    <x v="47"/>
    <x v="18"/>
  </r>
  <r>
    <x v="1655"/>
    <x v="72"/>
    <x v="9"/>
    <x v="7"/>
    <x v="43"/>
    <x v="1"/>
    <x v="5"/>
    <x v="108"/>
    <x v="18"/>
  </r>
  <r>
    <x v="1656"/>
    <x v="45"/>
    <x v="0"/>
    <x v="0"/>
    <x v="162"/>
    <x v="13"/>
    <x v="3"/>
    <x v="210"/>
    <x v="18"/>
  </r>
  <r>
    <x v="1657"/>
    <x v="67"/>
    <x v="0"/>
    <x v="3"/>
    <x v="0"/>
    <x v="5"/>
    <x v="5"/>
    <x v="147"/>
    <x v="18"/>
  </r>
  <r>
    <x v="1658"/>
    <x v="28"/>
    <x v="18"/>
    <x v="6"/>
    <x v="105"/>
    <x v="0"/>
    <x v="4"/>
    <x v="4"/>
    <x v="18"/>
  </r>
  <r>
    <x v="1659"/>
    <x v="0"/>
    <x v="0"/>
    <x v="3"/>
    <x v="34"/>
    <x v="14"/>
    <x v="13"/>
    <x v="69"/>
    <x v="18"/>
  </r>
  <r>
    <x v="1660"/>
    <x v="47"/>
    <x v="0"/>
    <x v="7"/>
    <x v="42"/>
    <x v="0"/>
    <x v="9"/>
    <x v="46"/>
    <x v="18"/>
  </r>
  <r>
    <x v="1661"/>
    <x v="91"/>
    <x v="4"/>
    <x v="0"/>
    <x v="21"/>
    <x v="2"/>
    <x v="3"/>
    <x v="265"/>
    <x v="18"/>
  </r>
  <r>
    <x v="1662"/>
    <x v="19"/>
    <x v="2"/>
    <x v="4"/>
    <x v="62"/>
    <x v="11"/>
    <x v="6"/>
    <x v="11"/>
    <x v="18"/>
  </r>
  <r>
    <x v="1663"/>
    <x v="37"/>
    <x v="0"/>
    <x v="8"/>
    <x v="0"/>
    <x v="8"/>
    <x v="6"/>
    <x v="47"/>
    <x v="18"/>
  </r>
  <r>
    <x v="1664"/>
    <x v="85"/>
    <x v="7"/>
    <x v="9"/>
    <x v="54"/>
    <x v="4"/>
    <x v="4"/>
    <x v="41"/>
    <x v="18"/>
  </r>
  <r>
    <x v="1665"/>
    <x v="61"/>
    <x v="2"/>
    <x v="6"/>
    <x v="7"/>
    <x v="1"/>
    <x v="4"/>
    <x v="22"/>
    <x v="18"/>
  </r>
  <r>
    <x v="1666"/>
    <x v="98"/>
    <x v="3"/>
    <x v="2"/>
    <x v="46"/>
    <x v="2"/>
    <x v="4"/>
    <x v="51"/>
    <x v="18"/>
  </r>
  <r>
    <x v="1667"/>
    <x v="54"/>
    <x v="1"/>
    <x v="6"/>
    <x v="14"/>
    <x v="2"/>
    <x v="3"/>
    <x v="61"/>
    <x v="18"/>
  </r>
  <r>
    <x v="1668"/>
    <x v="38"/>
    <x v="7"/>
    <x v="9"/>
    <x v="19"/>
    <x v="11"/>
    <x v="4"/>
    <x v="105"/>
    <x v="18"/>
  </r>
  <r>
    <x v="1669"/>
    <x v="30"/>
    <x v="6"/>
    <x v="9"/>
    <x v="105"/>
    <x v="7"/>
    <x v="10"/>
    <x v="266"/>
    <x v="18"/>
  </r>
  <r>
    <x v="1670"/>
    <x v="66"/>
    <x v="20"/>
    <x v="6"/>
    <x v="47"/>
    <x v="11"/>
    <x v="1"/>
    <x v="42"/>
    <x v="18"/>
  </r>
  <r>
    <x v="1671"/>
    <x v="59"/>
    <x v="14"/>
    <x v="0"/>
    <x v="14"/>
    <x v="8"/>
    <x v="0"/>
    <x v="24"/>
    <x v="18"/>
  </r>
  <r>
    <x v="1672"/>
    <x v="63"/>
    <x v="0"/>
    <x v="3"/>
    <x v="36"/>
    <x v="13"/>
    <x v="3"/>
    <x v="267"/>
    <x v="18"/>
  </r>
  <r>
    <x v="1673"/>
    <x v="60"/>
    <x v="3"/>
    <x v="4"/>
    <x v="41"/>
    <x v="11"/>
    <x v="1"/>
    <x v="108"/>
    <x v="18"/>
  </r>
  <r>
    <x v="1674"/>
    <x v="92"/>
    <x v="8"/>
    <x v="8"/>
    <x v="32"/>
    <x v="2"/>
    <x v="3"/>
    <x v="50"/>
    <x v="18"/>
  </r>
  <r>
    <x v="1675"/>
    <x v="18"/>
    <x v="1"/>
    <x v="8"/>
    <x v="35"/>
    <x v="0"/>
    <x v="3"/>
    <x v="22"/>
    <x v="18"/>
  </r>
  <r>
    <x v="1676"/>
    <x v="10"/>
    <x v="1"/>
    <x v="6"/>
    <x v="26"/>
    <x v="4"/>
    <x v="3"/>
    <x v="152"/>
    <x v="18"/>
  </r>
  <r>
    <x v="1677"/>
    <x v="75"/>
    <x v="1"/>
    <x v="3"/>
    <x v="74"/>
    <x v="11"/>
    <x v="6"/>
    <x v="159"/>
    <x v="18"/>
  </r>
  <r>
    <x v="1678"/>
    <x v="73"/>
    <x v="9"/>
    <x v="8"/>
    <x v="54"/>
    <x v="2"/>
    <x v="3"/>
    <x v="268"/>
    <x v="18"/>
  </r>
  <r>
    <x v="1679"/>
    <x v="92"/>
    <x v="7"/>
    <x v="3"/>
    <x v="42"/>
    <x v="2"/>
    <x v="3"/>
    <x v="269"/>
    <x v="18"/>
  </r>
  <r>
    <x v="1680"/>
    <x v="24"/>
    <x v="6"/>
    <x v="4"/>
    <x v="62"/>
    <x v="0"/>
    <x v="3"/>
    <x v="90"/>
    <x v="18"/>
  </r>
  <r>
    <x v="1681"/>
    <x v="99"/>
    <x v="1"/>
    <x v="0"/>
    <x v="66"/>
    <x v="0"/>
    <x v="0"/>
    <x v="108"/>
    <x v="18"/>
  </r>
  <r>
    <x v="1682"/>
    <x v="5"/>
    <x v="17"/>
    <x v="6"/>
    <x v="105"/>
    <x v="8"/>
    <x v="4"/>
    <x v="83"/>
    <x v="18"/>
  </r>
  <r>
    <x v="1683"/>
    <x v="53"/>
    <x v="3"/>
    <x v="9"/>
    <x v="78"/>
    <x v="11"/>
    <x v="6"/>
    <x v="31"/>
    <x v="18"/>
  </r>
  <r>
    <x v="1684"/>
    <x v="34"/>
    <x v="2"/>
    <x v="4"/>
    <x v="104"/>
    <x v="3"/>
    <x v="5"/>
    <x v="106"/>
    <x v="18"/>
  </r>
  <r>
    <x v="1685"/>
    <x v="9"/>
    <x v="3"/>
    <x v="9"/>
    <x v="52"/>
    <x v="11"/>
    <x v="5"/>
    <x v="71"/>
    <x v="18"/>
  </r>
  <r>
    <x v="1686"/>
    <x v="52"/>
    <x v="5"/>
    <x v="13"/>
    <x v="11"/>
    <x v="2"/>
    <x v="0"/>
    <x v="202"/>
    <x v="18"/>
  </r>
  <r>
    <x v="1687"/>
    <x v="31"/>
    <x v="12"/>
    <x v="8"/>
    <x v="0"/>
    <x v="5"/>
    <x v="0"/>
    <x v="28"/>
    <x v="18"/>
  </r>
  <r>
    <x v="1688"/>
    <x v="70"/>
    <x v="1"/>
    <x v="3"/>
    <x v="38"/>
    <x v="8"/>
    <x v="0"/>
    <x v="77"/>
    <x v="18"/>
  </r>
  <r>
    <x v="1689"/>
    <x v="63"/>
    <x v="8"/>
    <x v="4"/>
    <x v="136"/>
    <x v="11"/>
    <x v="9"/>
    <x v="52"/>
    <x v="18"/>
  </r>
  <r>
    <x v="1690"/>
    <x v="11"/>
    <x v="5"/>
    <x v="11"/>
    <x v="69"/>
    <x v="0"/>
    <x v="4"/>
    <x v="35"/>
    <x v="18"/>
  </r>
  <r>
    <x v="1691"/>
    <x v="51"/>
    <x v="20"/>
    <x v="4"/>
    <x v="33"/>
    <x v="7"/>
    <x v="2"/>
    <x v="35"/>
    <x v="18"/>
  </r>
  <r>
    <x v="1692"/>
    <x v="50"/>
    <x v="3"/>
    <x v="6"/>
    <x v="12"/>
    <x v="9"/>
    <x v="7"/>
    <x v="41"/>
    <x v="18"/>
  </r>
  <r>
    <x v="1693"/>
    <x v="20"/>
    <x v="0"/>
    <x v="7"/>
    <x v="48"/>
    <x v="2"/>
    <x v="0"/>
    <x v="81"/>
    <x v="18"/>
  </r>
  <r>
    <x v="1694"/>
    <x v="2"/>
    <x v="2"/>
    <x v="6"/>
    <x v="214"/>
    <x v="5"/>
    <x v="5"/>
    <x v="53"/>
    <x v="18"/>
  </r>
  <r>
    <x v="1695"/>
    <x v="78"/>
    <x v="3"/>
    <x v="4"/>
    <x v="115"/>
    <x v="0"/>
    <x v="1"/>
    <x v="76"/>
    <x v="18"/>
  </r>
  <r>
    <x v="1696"/>
    <x v="69"/>
    <x v="9"/>
    <x v="12"/>
    <x v="36"/>
    <x v="0"/>
    <x v="0"/>
    <x v="17"/>
    <x v="18"/>
  </r>
  <r>
    <x v="1697"/>
    <x v="26"/>
    <x v="4"/>
    <x v="0"/>
    <x v="65"/>
    <x v="2"/>
    <x v="3"/>
    <x v="32"/>
    <x v="18"/>
  </r>
  <r>
    <x v="1698"/>
    <x v="97"/>
    <x v="13"/>
    <x v="2"/>
    <x v="52"/>
    <x v="8"/>
    <x v="9"/>
    <x v="11"/>
    <x v="18"/>
  </r>
  <r>
    <x v="1699"/>
    <x v="46"/>
    <x v="0"/>
    <x v="3"/>
    <x v="36"/>
    <x v="5"/>
    <x v="6"/>
    <x v="140"/>
    <x v="18"/>
  </r>
  <r>
    <x v="1700"/>
    <x v="6"/>
    <x v="11"/>
    <x v="6"/>
    <x v="45"/>
    <x v="2"/>
    <x v="4"/>
    <x v="27"/>
    <x v="18"/>
  </r>
  <r>
    <x v="1701"/>
    <x v="39"/>
    <x v="17"/>
    <x v="4"/>
    <x v="28"/>
    <x v="6"/>
    <x v="3"/>
    <x v="62"/>
    <x v="18"/>
  </r>
  <r>
    <x v="1702"/>
    <x v="94"/>
    <x v="12"/>
    <x v="13"/>
    <x v="56"/>
    <x v="3"/>
    <x v="6"/>
    <x v="90"/>
    <x v="18"/>
  </r>
  <r>
    <x v="1703"/>
    <x v="40"/>
    <x v="11"/>
    <x v="5"/>
    <x v="45"/>
    <x v="8"/>
    <x v="4"/>
    <x v="13"/>
    <x v="18"/>
  </r>
  <r>
    <x v="1704"/>
    <x v="93"/>
    <x v="9"/>
    <x v="0"/>
    <x v="124"/>
    <x v="8"/>
    <x v="1"/>
    <x v="152"/>
    <x v="18"/>
  </r>
  <r>
    <x v="1705"/>
    <x v="35"/>
    <x v="0"/>
    <x v="6"/>
    <x v="51"/>
    <x v="13"/>
    <x v="3"/>
    <x v="48"/>
    <x v="18"/>
  </r>
  <r>
    <x v="1706"/>
    <x v="33"/>
    <x v="18"/>
    <x v="9"/>
    <x v="105"/>
    <x v="0"/>
    <x v="4"/>
    <x v="90"/>
    <x v="18"/>
  </r>
  <r>
    <x v="1707"/>
    <x v="81"/>
    <x v="5"/>
    <x v="8"/>
    <x v="10"/>
    <x v="2"/>
    <x v="0"/>
    <x v="82"/>
    <x v="19"/>
  </r>
  <r>
    <x v="1708"/>
    <x v="77"/>
    <x v="3"/>
    <x v="2"/>
    <x v="68"/>
    <x v="0"/>
    <x v="3"/>
    <x v="52"/>
    <x v="19"/>
  </r>
  <r>
    <x v="1709"/>
    <x v="98"/>
    <x v="13"/>
    <x v="4"/>
    <x v="99"/>
    <x v="9"/>
    <x v="11"/>
    <x v="255"/>
    <x v="19"/>
  </r>
  <r>
    <x v="1710"/>
    <x v="18"/>
    <x v="1"/>
    <x v="3"/>
    <x v="19"/>
    <x v="8"/>
    <x v="6"/>
    <x v="6"/>
    <x v="19"/>
  </r>
  <r>
    <x v="1711"/>
    <x v="76"/>
    <x v="3"/>
    <x v="5"/>
    <x v="104"/>
    <x v="0"/>
    <x v="9"/>
    <x v="35"/>
    <x v="19"/>
  </r>
  <r>
    <x v="1712"/>
    <x v="49"/>
    <x v="0"/>
    <x v="8"/>
    <x v="10"/>
    <x v="0"/>
    <x v="0"/>
    <x v="145"/>
    <x v="19"/>
  </r>
  <r>
    <x v="1713"/>
    <x v="43"/>
    <x v="7"/>
    <x v="3"/>
    <x v="36"/>
    <x v="3"/>
    <x v="7"/>
    <x v="70"/>
    <x v="19"/>
  </r>
  <r>
    <x v="1714"/>
    <x v="95"/>
    <x v="2"/>
    <x v="4"/>
    <x v="93"/>
    <x v="1"/>
    <x v="5"/>
    <x v="9"/>
    <x v="19"/>
  </r>
  <r>
    <x v="1715"/>
    <x v="79"/>
    <x v="12"/>
    <x v="8"/>
    <x v="21"/>
    <x v="11"/>
    <x v="4"/>
    <x v="173"/>
    <x v="19"/>
  </r>
  <r>
    <x v="1716"/>
    <x v="13"/>
    <x v="2"/>
    <x v="6"/>
    <x v="222"/>
    <x v="2"/>
    <x v="3"/>
    <x v="53"/>
    <x v="19"/>
  </r>
  <r>
    <x v="1717"/>
    <x v="15"/>
    <x v="6"/>
    <x v="6"/>
    <x v="18"/>
    <x v="11"/>
    <x v="5"/>
    <x v="137"/>
    <x v="19"/>
  </r>
  <r>
    <x v="1718"/>
    <x v="88"/>
    <x v="13"/>
    <x v="9"/>
    <x v="112"/>
    <x v="0"/>
    <x v="4"/>
    <x v="94"/>
    <x v="19"/>
  </r>
  <r>
    <x v="1719"/>
    <x v="10"/>
    <x v="6"/>
    <x v="6"/>
    <x v="114"/>
    <x v="0"/>
    <x v="3"/>
    <x v="270"/>
    <x v="19"/>
  </r>
  <r>
    <x v="1720"/>
    <x v="80"/>
    <x v="0"/>
    <x v="6"/>
    <x v="24"/>
    <x v="1"/>
    <x v="5"/>
    <x v="140"/>
    <x v="19"/>
  </r>
  <r>
    <x v="1721"/>
    <x v="41"/>
    <x v="0"/>
    <x v="0"/>
    <x v="149"/>
    <x v="5"/>
    <x v="1"/>
    <x v="103"/>
    <x v="19"/>
  </r>
  <r>
    <x v="1722"/>
    <x v="36"/>
    <x v="12"/>
    <x v="12"/>
    <x v="37"/>
    <x v="11"/>
    <x v="6"/>
    <x v="139"/>
    <x v="19"/>
  </r>
  <r>
    <x v="1723"/>
    <x v="61"/>
    <x v="11"/>
    <x v="2"/>
    <x v="82"/>
    <x v="8"/>
    <x v="0"/>
    <x v="71"/>
    <x v="19"/>
  </r>
  <r>
    <x v="1724"/>
    <x v="47"/>
    <x v="0"/>
    <x v="12"/>
    <x v="0"/>
    <x v="11"/>
    <x v="9"/>
    <x v="190"/>
    <x v="19"/>
  </r>
  <r>
    <x v="1725"/>
    <x v="82"/>
    <x v="3"/>
    <x v="9"/>
    <x v="47"/>
    <x v="8"/>
    <x v="1"/>
    <x v="18"/>
    <x v="19"/>
  </r>
  <r>
    <x v="1726"/>
    <x v="7"/>
    <x v="3"/>
    <x v="2"/>
    <x v="40"/>
    <x v="0"/>
    <x v="3"/>
    <x v="0"/>
    <x v="19"/>
  </r>
  <r>
    <x v="1727"/>
    <x v="26"/>
    <x v="5"/>
    <x v="8"/>
    <x v="1"/>
    <x v="0"/>
    <x v="9"/>
    <x v="88"/>
    <x v="19"/>
  </r>
  <r>
    <x v="1728"/>
    <x v="72"/>
    <x v="5"/>
    <x v="13"/>
    <x v="42"/>
    <x v="11"/>
    <x v="6"/>
    <x v="63"/>
    <x v="19"/>
  </r>
  <r>
    <x v="1729"/>
    <x v="19"/>
    <x v="1"/>
    <x v="7"/>
    <x v="38"/>
    <x v="3"/>
    <x v="1"/>
    <x v="29"/>
    <x v="19"/>
  </r>
  <r>
    <x v="1730"/>
    <x v="9"/>
    <x v="13"/>
    <x v="4"/>
    <x v="12"/>
    <x v="0"/>
    <x v="4"/>
    <x v="4"/>
    <x v="19"/>
  </r>
  <r>
    <x v="1731"/>
    <x v="87"/>
    <x v="0"/>
    <x v="3"/>
    <x v="109"/>
    <x v="4"/>
    <x v="3"/>
    <x v="29"/>
    <x v="19"/>
  </r>
  <r>
    <x v="1732"/>
    <x v="93"/>
    <x v="9"/>
    <x v="7"/>
    <x v="24"/>
    <x v="3"/>
    <x v="10"/>
    <x v="53"/>
    <x v="19"/>
  </r>
  <r>
    <x v="1733"/>
    <x v="39"/>
    <x v="14"/>
    <x v="6"/>
    <x v="77"/>
    <x v="8"/>
    <x v="0"/>
    <x v="11"/>
    <x v="19"/>
  </r>
  <r>
    <x v="1734"/>
    <x v="83"/>
    <x v="5"/>
    <x v="12"/>
    <x v="65"/>
    <x v="8"/>
    <x v="1"/>
    <x v="82"/>
    <x v="19"/>
  </r>
  <r>
    <x v="1735"/>
    <x v="48"/>
    <x v="6"/>
    <x v="9"/>
    <x v="100"/>
    <x v="11"/>
    <x v="6"/>
    <x v="10"/>
    <x v="19"/>
  </r>
  <r>
    <x v="1736"/>
    <x v="70"/>
    <x v="17"/>
    <x v="6"/>
    <x v="64"/>
    <x v="0"/>
    <x v="3"/>
    <x v="69"/>
    <x v="19"/>
  </r>
  <r>
    <x v="1737"/>
    <x v="32"/>
    <x v="1"/>
    <x v="4"/>
    <x v="159"/>
    <x v="8"/>
    <x v="1"/>
    <x v="27"/>
    <x v="19"/>
  </r>
  <r>
    <x v="1738"/>
    <x v="54"/>
    <x v="4"/>
    <x v="3"/>
    <x v="116"/>
    <x v="0"/>
    <x v="3"/>
    <x v="150"/>
    <x v="19"/>
  </r>
  <r>
    <x v="1739"/>
    <x v="62"/>
    <x v="16"/>
    <x v="0"/>
    <x v="24"/>
    <x v="13"/>
    <x v="3"/>
    <x v="228"/>
    <x v="19"/>
  </r>
  <r>
    <x v="1740"/>
    <x v="20"/>
    <x v="0"/>
    <x v="12"/>
    <x v="37"/>
    <x v="1"/>
    <x v="10"/>
    <x v="271"/>
    <x v="19"/>
  </r>
  <r>
    <x v="1741"/>
    <x v="27"/>
    <x v="1"/>
    <x v="7"/>
    <x v="15"/>
    <x v="0"/>
    <x v="4"/>
    <x v="210"/>
    <x v="19"/>
  </r>
  <r>
    <x v="1742"/>
    <x v="96"/>
    <x v="9"/>
    <x v="7"/>
    <x v="25"/>
    <x v="4"/>
    <x v="4"/>
    <x v="2"/>
    <x v="19"/>
  </r>
  <r>
    <x v="1743"/>
    <x v="52"/>
    <x v="4"/>
    <x v="7"/>
    <x v="125"/>
    <x v="3"/>
    <x v="10"/>
    <x v="24"/>
    <x v="19"/>
  </r>
  <r>
    <x v="1744"/>
    <x v="51"/>
    <x v="20"/>
    <x v="9"/>
    <x v="118"/>
    <x v="8"/>
    <x v="0"/>
    <x v="44"/>
    <x v="19"/>
  </r>
  <r>
    <x v="1745"/>
    <x v="23"/>
    <x v="4"/>
    <x v="8"/>
    <x v="10"/>
    <x v="4"/>
    <x v="0"/>
    <x v="17"/>
    <x v="19"/>
  </r>
  <r>
    <x v="1746"/>
    <x v="57"/>
    <x v="10"/>
    <x v="7"/>
    <x v="62"/>
    <x v="11"/>
    <x v="1"/>
    <x v="18"/>
    <x v="19"/>
  </r>
  <r>
    <x v="1747"/>
    <x v="90"/>
    <x v="1"/>
    <x v="3"/>
    <x v="100"/>
    <x v="15"/>
    <x v="12"/>
    <x v="34"/>
    <x v="19"/>
  </r>
  <r>
    <x v="1748"/>
    <x v="97"/>
    <x v="20"/>
    <x v="4"/>
    <x v="4"/>
    <x v="4"/>
    <x v="0"/>
    <x v="27"/>
    <x v="19"/>
  </r>
  <r>
    <x v="1749"/>
    <x v="3"/>
    <x v="11"/>
    <x v="6"/>
    <x v="96"/>
    <x v="15"/>
    <x v="11"/>
    <x v="62"/>
    <x v="19"/>
  </r>
  <r>
    <x v="1750"/>
    <x v="16"/>
    <x v="1"/>
    <x v="6"/>
    <x v="17"/>
    <x v="13"/>
    <x v="3"/>
    <x v="108"/>
    <x v="19"/>
  </r>
  <r>
    <x v="1751"/>
    <x v="34"/>
    <x v="11"/>
    <x v="7"/>
    <x v="215"/>
    <x v="0"/>
    <x v="4"/>
    <x v="140"/>
    <x v="19"/>
  </r>
  <r>
    <x v="1752"/>
    <x v="31"/>
    <x v="9"/>
    <x v="7"/>
    <x v="59"/>
    <x v="0"/>
    <x v="0"/>
    <x v="32"/>
    <x v="19"/>
  </r>
  <r>
    <x v="1753"/>
    <x v="29"/>
    <x v="4"/>
    <x v="7"/>
    <x v="65"/>
    <x v="3"/>
    <x v="2"/>
    <x v="123"/>
    <x v="19"/>
  </r>
  <r>
    <x v="1754"/>
    <x v="4"/>
    <x v="20"/>
    <x v="5"/>
    <x v="152"/>
    <x v="2"/>
    <x v="4"/>
    <x v="55"/>
    <x v="19"/>
  </r>
  <r>
    <x v="1755"/>
    <x v="68"/>
    <x v="20"/>
    <x v="5"/>
    <x v="96"/>
    <x v="0"/>
    <x v="0"/>
    <x v="62"/>
    <x v="19"/>
  </r>
  <r>
    <x v="1756"/>
    <x v="44"/>
    <x v="4"/>
    <x v="12"/>
    <x v="70"/>
    <x v="13"/>
    <x v="3"/>
    <x v="242"/>
    <x v="19"/>
  </r>
  <r>
    <x v="1757"/>
    <x v="78"/>
    <x v="13"/>
    <x v="4"/>
    <x v="12"/>
    <x v="0"/>
    <x v="1"/>
    <x v="140"/>
    <x v="19"/>
  </r>
  <r>
    <x v="1758"/>
    <x v="30"/>
    <x v="6"/>
    <x v="4"/>
    <x v="49"/>
    <x v="2"/>
    <x v="4"/>
    <x v="83"/>
    <x v="19"/>
  </r>
  <r>
    <x v="1759"/>
    <x v="59"/>
    <x v="10"/>
    <x v="3"/>
    <x v="66"/>
    <x v="11"/>
    <x v="4"/>
    <x v="272"/>
    <x v="19"/>
  </r>
  <r>
    <x v="1760"/>
    <x v="12"/>
    <x v="9"/>
    <x v="12"/>
    <x v="70"/>
    <x v="4"/>
    <x v="3"/>
    <x v="2"/>
    <x v="19"/>
  </r>
  <r>
    <x v="1761"/>
    <x v="91"/>
    <x v="5"/>
    <x v="8"/>
    <x v="36"/>
    <x v="5"/>
    <x v="6"/>
    <x v="62"/>
    <x v="19"/>
  </r>
  <r>
    <x v="1762"/>
    <x v="55"/>
    <x v="16"/>
    <x v="5"/>
    <x v="19"/>
    <x v="21"/>
    <x v="19"/>
    <x v="21"/>
    <x v="19"/>
  </r>
  <r>
    <x v="1763"/>
    <x v="14"/>
    <x v="5"/>
    <x v="12"/>
    <x v="24"/>
    <x v="7"/>
    <x v="2"/>
    <x v="111"/>
    <x v="19"/>
  </r>
  <r>
    <x v="1764"/>
    <x v="99"/>
    <x v="1"/>
    <x v="7"/>
    <x v="14"/>
    <x v="5"/>
    <x v="1"/>
    <x v="5"/>
    <x v="19"/>
  </r>
  <r>
    <x v="1765"/>
    <x v="28"/>
    <x v="4"/>
    <x v="7"/>
    <x v="25"/>
    <x v="8"/>
    <x v="1"/>
    <x v="106"/>
    <x v="19"/>
  </r>
  <r>
    <x v="1766"/>
    <x v="2"/>
    <x v="18"/>
    <x v="5"/>
    <x v="28"/>
    <x v="1"/>
    <x v="10"/>
    <x v="39"/>
    <x v="19"/>
  </r>
  <r>
    <x v="1767"/>
    <x v="64"/>
    <x v="13"/>
    <x v="4"/>
    <x v="112"/>
    <x v="1"/>
    <x v="1"/>
    <x v="43"/>
    <x v="19"/>
  </r>
  <r>
    <x v="1768"/>
    <x v="35"/>
    <x v="1"/>
    <x v="4"/>
    <x v="6"/>
    <x v="2"/>
    <x v="4"/>
    <x v="108"/>
    <x v="19"/>
  </r>
  <r>
    <x v="1769"/>
    <x v="69"/>
    <x v="9"/>
    <x v="0"/>
    <x v="51"/>
    <x v="8"/>
    <x v="1"/>
    <x v="108"/>
    <x v="19"/>
  </r>
  <r>
    <x v="1770"/>
    <x v="17"/>
    <x v="1"/>
    <x v="7"/>
    <x v="22"/>
    <x v="5"/>
    <x v="5"/>
    <x v="11"/>
    <x v="19"/>
  </r>
  <r>
    <x v="1771"/>
    <x v="89"/>
    <x v="1"/>
    <x v="7"/>
    <x v="107"/>
    <x v="1"/>
    <x v="10"/>
    <x v="92"/>
    <x v="19"/>
  </r>
  <r>
    <x v="1772"/>
    <x v="73"/>
    <x v="12"/>
    <x v="13"/>
    <x v="21"/>
    <x v="8"/>
    <x v="4"/>
    <x v="216"/>
    <x v="19"/>
  </r>
  <r>
    <x v="1773"/>
    <x v="94"/>
    <x v="9"/>
    <x v="7"/>
    <x v="24"/>
    <x v="3"/>
    <x v="2"/>
    <x v="61"/>
    <x v="19"/>
  </r>
  <r>
    <x v="1774"/>
    <x v="67"/>
    <x v="8"/>
    <x v="8"/>
    <x v="10"/>
    <x v="11"/>
    <x v="6"/>
    <x v="216"/>
    <x v="19"/>
  </r>
  <r>
    <x v="1775"/>
    <x v="24"/>
    <x v="0"/>
    <x v="7"/>
    <x v="65"/>
    <x v="2"/>
    <x v="3"/>
    <x v="140"/>
    <x v="19"/>
  </r>
  <r>
    <x v="1776"/>
    <x v="25"/>
    <x v="1"/>
    <x v="5"/>
    <x v="120"/>
    <x v="1"/>
    <x v="10"/>
    <x v="51"/>
    <x v="19"/>
  </r>
  <r>
    <x v="1777"/>
    <x v="86"/>
    <x v="6"/>
    <x v="2"/>
    <x v="158"/>
    <x v="5"/>
    <x v="5"/>
    <x v="273"/>
    <x v="19"/>
  </r>
  <r>
    <x v="1778"/>
    <x v="56"/>
    <x v="0"/>
    <x v="7"/>
    <x v="11"/>
    <x v="11"/>
    <x v="6"/>
    <x v="9"/>
    <x v="19"/>
  </r>
  <r>
    <x v="1779"/>
    <x v="33"/>
    <x v="11"/>
    <x v="9"/>
    <x v="213"/>
    <x v="11"/>
    <x v="6"/>
    <x v="68"/>
    <x v="19"/>
  </r>
  <r>
    <x v="1780"/>
    <x v="53"/>
    <x v="13"/>
    <x v="4"/>
    <x v="93"/>
    <x v="2"/>
    <x v="9"/>
    <x v="213"/>
    <x v="19"/>
  </r>
  <r>
    <x v="1781"/>
    <x v="45"/>
    <x v="6"/>
    <x v="9"/>
    <x v="80"/>
    <x v="11"/>
    <x v="6"/>
    <x v="4"/>
    <x v="19"/>
  </r>
  <r>
    <x v="1782"/>
    <x v="22"/>
    <x v="2"/>
    <x v="5"/>
    <x v="8"/>
    <x v="0"/>
    <x v="3"/>
    <x v="137"/>
    <x v="19"/>
  </r>
  <r>
    <x v="1783"/>
    <x v="74"/>
    <x v="7"/>
    <x v="7"/>
    <x v="110"/>
    <x v="0"/>
    <x v="0"/>
    <x v="71"/>
    <x v="19"/>
  </r>
  <r>
    <x v="1784"/>
    <x v="63"/>
    <x v="7"/>
    <x v="3"/>
    <x v="110"/>
    <x v="8"/>
    <x v="3"/>
    <x v="59"/>
    <x v="19"/>
  </r>
  <r>
    <x v="1785"/>
    <x v="1"/>
    <x v="1"/>
    <x v="3"/>
    <x v="22"/>
    <x v="4"/>
    <x v="3"/>
    <x v="62"/>
    <x v="19"/>
  </r>
  <r>
    <x v="1786"/>
    <x v="42"/>
    <x v="1"/>
    <x v="5"/>
    <x v="75"/>
    <x v="5"/>
    <x v="1"/>
    <x v="18"/>
    <x v="19"/>
  </r>
  <r>
    <x v="1787"/>
    <x v="71"/>
    <x v="0"/>
    <x v="12"/>
    <x v="60"/>
    <x v="2"/>
    <x v="4"/>
    <x v="71"/>
    <x v="19"/>
  </r>
  <r>
    <x v="1788"/>
    <x v="21"/>
    <x v="5"/>
    <x v="7"/>
    <x v="36"/>
    <x v="2"/>
    <x v="3"/>
    <x v="34"/>
    <x v="19"/>
  </r>
  <r>
    <x v="1789"/>
    <x v="58"/>
    <x v="11"/>
    <x v="5"/>
    <x v="12"/>
    <x v="11"/>
    <x v="1"/>
    <x v="41"/>
    <x v="19"/>
  </r>
  <r>
    <x v="1790"/>
    <x v="38"/>
    <x v="4"/>
    <x v="7"/>
    <x v="24"/>
    <x v="4"/>
    <x v="4"/>
    <x v="100"/>
    <x v="19"/>
  </r>
  <r>
    <x v="1791"/>
    <x v="5"/>
    <x v="3"/>
    <x v="4"/>
    <x v="52"/>
    <x v="8"/>
    <x v="6"/>
    <x v="32"/>
    <x v="19"/>
  </r>
  <r>
    <x v="1792"/>
    <x v="6"/>
    <x v="2"/>
    <x v="4"/>
    <x v="27"/>
    <x v="13"/>
    <x v="3"/>
    <x v="101"/>
    <x v="19"/>
  </r>
  <r>
    <x v="1793"/>
    <x v="46"/>
    <x v="0"/>
    <x v="4"/>
    <x v="43"/>
    <x v="8"/>
    <x v="1"/>
    <x v="109"/>
    <x v="19"/>
  </r>
  <r>
    <x v="1794"/>
    <x v="0"/>
    <x v="0"/>
    <x v="3"/>
    <x v="0"/>
    <x v="11"/>
    <x v="1"/>
    <x v="95"/>
    <x v="19"/>
  </r>
  <r>
    <x v="1795"/>
    <x v="11"/>
    <x v="12"/>
    <x v="3"/>
    <x v="86"/>
    <x v="8"/>
    <x v="5"/>
    <x v="76"/>
    <x v="19"/>
  </r>
  <r>
    <x v="1796"/>
    <x v="31"/>
    <x v="4"/>
    <x v="7"/>
    <x v="70"/>
    <x v="2"/>
    <x v="4"/>
    <x v="51"/>
    <x v="20"/>
  </r>
  <r>
    <x v="1797"/>
    <x v="51"/>
    <x v="20"/>
    <x v="3"/>
    <x v="104"/>
    <x v="9"/>
    <x v="10"/>
    <x v="105"/>
    <x v="20"/>
  </r>
  <r>
    <x v="1798"/>
    <x v="86"/>
    <x v="0"/>
    <x v="7"/>
    <x v="36"/>
    <x v="2"/>
    <x v="9"/>
    <x v="184"/>
    <x v="20"/>
  </r>
  <r>
    <x v="1799"/>
    <x v="70"/>
    <x v="1"/>
    <x v="6"/>
    <x v="19"/>
    <x v="8"/>
    <x v="0"/>
    <x v="18"/>
    <x v="20"/>
  </r>
  <r>
    <x v="1800"/>
    <x v="25"/>
    <x v="11"/>
    <x v="6"/>
    <x v="2"/>
    <x v="0"/>
    <x v="3"/>
    <x v="100"/>
    <x v="20"/>
  </r>
  <r>
    <x v="1801"/>
    <x v="85"/>
    <x v="7"/>
    <x v="0"/>
    <x v="109"/>
    <x v="0"/>
    <x v="4"/>
    <x v="4"/>
    <x v="20"/>
  </r>
  <r>
    <x v="1802"/>
    <x v="74"/>
    <x v="0"/>
    <x v="3"/>
    <x v="123"/>
    <x v="0"/>
    <x v="0"/>
    <x v="30"/>
    <x v="20"/>
  </r>
  <r>
    <x v="1803"/>
    <x v="75"/>
    <x v="18"/>
    <x v="4"/>
    <x v="53"/>
    <x v="5"/>
    <x v="5"/>
    <x v="28"/>
    <x v="20"/>
  </r>
  <r>
    <x v="1804"/>
    <x v="43"/>
    <x v="7"/>
    <x v="3"/>
    <x v="43"/>
    <x v="12"/>
    <x v="12"/>
    <x v="54"/>
    <x v="20"/>
  </r>
  <r>
    <x v="1805"/>
    <x v="33"/>
    <x v="18"/>
    <x v="9"/>
    <x v="92"/>
    <x v="8"/>
    <x v="6"/>
    <x v="8"/>
    <x v="20"/>
  </r>
  <r>
    <x v="1806"/>
    <x v="16"/>
    <x v="1"/>
    <x v="3"/>
    <x v="18"/>
    <x v="15"/>
    <x v="13"/>
    <x v="167"/>
    <x v="20"/>
  </r>
  <r>
    <x v="1807"/>
    <x v="90"/>
    <x v="6"/>
    <x v="4"/>
    <x v="5"/>
    <x v="8"/>
    <x v="9"/>
    <x v="274"/>
    <x v="20"/>
  </r>
  <r>
    <x v="1808"/>
    <x v="30"/>
    <x v="0"/>
    <x v="5"/>
    <x v="0"/>
    <x v="2"/>
    <x v="3"/>
    <x v="275"/>
    <x v="20"/>
  </r>
  <r>
    <x v="1809"/>
    <x v="99"/>
    <x v="1"/>
    <x v="7"/>
    <x v="19"/>
    <x v="8"/>
    <x v="4"/>
    <x v="13"/>
    <x v="20"/>
  </r>
  <r>
    <x v="1810"/>
    <x v="88"/>
    <x v="3"/>
    <x v="2"/>
    <x v="81"/>
    <x v="13"/>
    <x v="3"/>
    <x v="276"/>
    <x v="20"/>
  </r>
  <r>
    <x v="1811"/>
    <x v="18"/>
    <x v="1"/>
    <x v="6"/>
    <x v="107"/>
    <x v="5"/>
    <x v="1"/>
    <x v="238"/>
    <x v="20"/>
  </r>
  <r>
    <x v="1812"/>
    <x v="57"/>
    <x v="9"/>
    <x v="0"/>
    <x v="34"/>
    <x v="11"/>
    <x v="6"/>
    <x v="47"/>
    <x v="20"/>
  </r>
  <r>
    <x v="1813"/>
    <x v="84"/>
    <x v="12"/>
    <x v="0"/>
    <x v="0"/>
    <x v="0"/>
    <x v="3"/>
    <x v="29"/>
    <x v="20"/>
  </r>
  <r>
    <x v="1814"/>
    <x v="79"/>
    <x v="12"/>
    <x v="8"/>
    <x v="42"/>
    <x v="0"/>
    <x v="1"/>
    <x v="76"/>
    <x v="20"/>
  </r>
  <r>
    <x v="1815"/>
    <x v="55"/>
    <x v="16"/>
    <x v="3"/>
    <x v="25"/>
    <x v="0"/>
    <x v="0"/>
    <x v="10"/>
    <x v="20"/>
  </r>
  <r>
    <x v="1816"/>
    <x v="32"/>
    <x v="18"/>
    <x v="4"/>
    <x v="71"/>
    <x v="8"/>
    <x v="1"/>
    <x v="152"/>
    <x v="20"/>
  </r>
  <r>
    <x v="1817"/>
    <x v="10"/>
    <x v="12"/>
    <x v="0"/>
    <x v="13"/>
    <x v="11"/>
    <x v="6"/>
    <x v="131"/>
    <x v="20"/>
  </r>
  <r>
    <x v="1818"/>
    <x v="73"/>
    <x v="12"/>
    <x v="3"/>
    <x v="70"/>
    <x v="4"/>
    <x v="3"/>
    <x v="28"/>
    <x v="20"/>
  </r>
  <r>
    <x v="1819"/>
    <x v="97"/>
    <x v="3"/>
    <x v="5"/>
    <x v="96"/>
    <x v="0"/>
    <x v="1"/>
    <x v="136"/>
    <x v="20"/>
  </r>
  <r>
    <x v="1820"/>
    <x v="0"/>
    <x v="0"/>
    <x v="17"/>
    <x v="89"/>
    <x v="0"/>
    <x v="1"/>
    <x v="277"/>
    <x v="20"/>
  </r>
  <r>
    <x v="1821"/>
    <x v="82"/>
    <x v="13"/>
    <x v="9"/>
    <x v="45"/>
    <x v="1"/>
    <x v="5"/>
    <x v="11"/>
    <x v="20"/>
  </r>
  <r>
    <x v="1822"/>
    <x v="67"/>
    <x v="7"/>
    <x v="3"/>
    <x v="85"/>
    <x v="9"/>
    <x v="5"/>
    <x v="57"/>
    <x v="20"/>
  </r>
  <r>
    <x v="1823"/>
    <x v="48"/>
    <x v="6"/>
    <x v="6"/>
    <x v="62"/>
    <x v="1"/>
    <x v="1"/>
    <x v="38"/>
    <x v="20"/>
  </r>
  <r>
    <x v="1824"/>
    <x v="34"/>
    <x v="11"/>
    <x v="6"/>
    <x v="45"/>
    <x v="8"/>
    <x v="4"/>
    <x v="41"/>
    <x v="20"/>
  </r>
  <r>
    <x v="1825"/>
    <x v="9"/>
    <x v="3"/>
    <x v="4"/>
    <x v="12"/>
    <x v="7"/>
    <x v="7"/>
    <x v="20"/>
    <x v="20"/>
  </r>
  <r>
    <x v="1826"/>
    <x v="56"/>
    <x v="5"/>
    <x v="13"/>
    <x v="36"/>
    <x v="14"/>
    <x v="12"/>
    <x v="71"/>
    <x v="20"/>
  </r>
  <r>
    <x v="1827"/>
    <x v="89"/>
    <x v="1"/>
    <x v="7"/>
    <x v="22"/>
    <x v="0"/>
    <x v="3"/>
    <x v="74"/>
    <x v="20"/>
  </r>
  <r>
    <x v="1828"/>
    <x v="62"/>
    <x v="11"/>
    <x v="4"/>
    <x v="20"/>
    <x v="0"/>
    <x v="3"/>
    <x v="234"/>
    <x v="20"/>
  </r>
  <r>
    <x v="1829"/>
    <x v="2"/>
    <x v="11"/>
    <x v="6"/>
    <x v="57"/>
    <x v="1"/>
    <x v="5"/>
    <x v="35"/>
    <x v="20"/>
  </r>
  <r>
    <x v="1830"/>
    <x v="47"/>
    <x v="6"/>
    <x v="5"/>
    <x v="133"/>
    <x v="8"/>
    <x v="0"/>
    <x v="2"/>
    <x v="20"/>
  </r>
  <r>
    <x v="1831"/>
    <x v="91"/>
    <x v="5"/>
    <x v="8"/>
    <x v="35"/>
    <x v="0"/>
    <x v="4"/>
    <x v="4"/>
    <x v="20"/>
  </r>
  <r>
    <x v="1832"/>
    <x v="58"/>
    <x v="18"/>
    <x v="5"/>
    <x v="138"/>
    <x v="15"/>
    <x v="12"/>
    <x v="69"/>
    <x v="20"/>
  </r>
  <r>
    <x v="1833"/>
    <x v="27"/>
    <x v="5"/>
    <x v="12"/>
    <x v="36"/>
    <x v="5"/>
    <x v="5"/>
    <x v="30"/>
    <x v="20"/>
  </r>
  <r>
    <x v="1834"/>
    <x v="68"/>
    <x v="3"/>
    <x v="9"/>
    <x v="41"/>
    <x v="13"/>
    <x v="3"/>
    <x v="65"/>
    <x v="20"/>
  </r>
  <r>
    <x v="1835"/>
    <x v="22"/>
    <x v="18"/>
    <x v="2"/>
    <x v="148"/>
    <x v="1"/>
    <x v="5"/>
    <x v="136"/>
    <x v="20"/>
  </r>
  <r>
    <x v="1836"/>
    <x v="39"/>
    <x v="6"/>
    <x v="9"/>
    <x v="90"/>
    <x v="0"/>
    <x v="3"/>
    <x v="38"/>
    <x v="20"/>
  </r>
  <r>
    <x v="1837"/>
    <x v="3"/>
    <x v="3"/>
    <x v="5"/>
    <x v="12"/>
    <x v="1"/>
    <x v="6"/>
    <x v="85"/>
    <x v="20"/>
  </r>
  <r>
    <x v="1838"/>
    <x v="90"/>
    <x v="0"/>
    <x v="8"/>
    <x v="13"/>
    <x v="3"/>
    <x v="7"/>
    <x v="11"/>
    <x v="20"/>
  </r>
  <r>
    <x v="1839"/>
    <x v="26"/>
    <x v="4"/>
    <x v="0"/>
    <x v="70"/>
    <x v="11"/>
    <x v="5"/>
    <x v="6"/>
    <x v="20"/>
  </r>
  <r>
    <x v="1840"/>
    <x v="49"/>
    <x v="8"/>
    <x v="8"/>
    <x v="98"/>
    <x v="1"/>
    <x v="10"/>
    <x v="278"/>
    <x v="20"/>
  </r>
  <r>
    <x v="1841"/>
    <x v="83"/>
    <x v="12"/>
    <x v="7"/>
    <x v="25"/>
    <x v="0"/>
    <x v="4"/>
    <x v="63"/>
    <x v="20"/>
  </r>
  <r>
    <x v="1842"/>
    <x v="90"/>
    <x v="21"/>
    <x v="13"/>
    <x v="21"/>
    <x v="7"/>
    <x v="11"/>
    <x v="11"/>
    <x v="20"/>
  </r>
  <r>
    <x v="1843"/>
    <x v="38"/>
    <x v="9"/>
    <x v="8"/>
    <x v="32"/>
    <x v="3"/>
    <x v="5"/>
    <x v="76"/>
    <x v="20"/>
  </r>
  <r>
    <x v="1844"/>
    <x v="64"/>
    <x v="3"/>
    <x v="5"/>
    <x v="61"/>
    <x v="0"/>
    <x v="1"/>
    <x v="47"/>
    <x v="20"/>
  </r>
  <r>
    <x v="1845"/>
    <x v="41"/>
    <x v="0"/>
    <x v="0"/>
    <x v="69"/>
    <x v="8"/>
    <x v="9"/>
    <x v="167"/>
    <x v="20"/>
  </r>
  <r>
    <x v="1846"/>
    <x v="11"/>
    <x v="12"/>
    <x v="3"/>
    <x v="21"/>
    <x v="8"/>
    <x v="0"/>
    <x v="82"/>
    <x v="20"/>
  </r>
  <r>
    <x v="1847"/>
    <x v="44"/>
    <x v="9"/>
    <x v="6"/>
    <x v="34"/>
    <x v="4"/>
    <x v="3"/>
    <x v="17"/>
    <x v="20"/>
  </r>
  <r>
    <x v="1848"/>
    <x v="92"/>
    <x v="0"/>
    <x v="7"/>
    <x v="88"/>
    <x v="4"/>
    <x v="3"/>
    <x v="6"/>
    <x v="20"/>
  </r>
  <r>
    <x v="1849"/>
    <x v="13"/>
    <x v="11"/>
    <x v="5"/>
    <x v="8"/>
    <x v="3"/>
    <x v="10"/>
    <x v="279"/>
    <x v="20"/>
  </r>
  <r>
    <x v="1850"/>
    <x v="65"/>
    <x v="5"/>
    <x v="0"/>
    <x v="19"/>
    <x v="8"/>
    <x v="1"/>
    <x v="137"/>
    <x v="20"/>
  </r>
  <r>
    <x v="1851"/>
    <x v="78"/>
    <x v="20"/>
    <x v="2"/>
    <x v="57"/>
    <x v="1"/>
    <x v="2"/>
    <x v="51"/>
    <x v="20"/>
  </r>
  <r>
    <x v="1852"/>
    <x v="95"/>
    <x v="13"/>
    <x v="2"/>
    <x v="23"/>
    <x v="2"/>
    <x v="3"/>
    <x v="173"/>
    <x v="20"/>
  </r>
  <r>
    <x v="1853"/>
    <x v="59"/>
    <x v="10"/>
    <x v="0"/>
    <x v="15"/>
    <x v="8"/>
    <x v="4"/>
    <x v="34"/>
    <x v="20"/>
  </r>
  <r>
    <x v="1854"/>
    <x v="93"/>
    <x v="1"/>
    <x v="7"/>
    <x v="110"/>
    <x v="13"/>
    <x v="3"/>
    <x v="4"/>
    <x v="20"/>
  </r>
  <r>
    <x v="1855"/>
    <x v="77"/>
    <x v="13"/>
    <x v="9"/>
    <x v="102"/>
    <x v="1"/>
    <x v="5"/>
    <x v="18"/>
    <x v="20"/>
  </r>
  <r>
    <x v="1856"/>
    <x v="6"/>
    <x v="2"/>
    <x v="6"/>
    <x v="2"/>
    <x v="0"/>
    <x v="0"/>
    <x v="32"/>
    <x v="20"/>
  </r>
  <r>
    <x v="1857"/>
    <x v="94"/>
    <x v="4"/>
    <x v="8"/>
    <x v="65"/>
    <x v="7"/>
    <x v="7"/>
    <x v="6"/>
    <x v="20"/>
  </r>
  <r>
    <x v="1858"/>
    <x v="35"/>
    <x v="8"/>
    <x v="8"/>
    <x v="58"/>
    <x v="13"/>
    <x v="3"/>
    <x v="101"/>
    <x v="20"/>
  </r>
  <r>
    <x v="1859"/>
    <x v="1"/>
    <x v="3"/>
    <x v="5"/>
    <x v="57"/>
    <x v="2"/>
    <x v="0"/>
    <x v="28"/>
    <x v="20"/>
  </r>
  <r>
    <x v="1860"/>
    <x v="7"/>
    <x v="3"/>
    <x v="6"/>
    <x v="4"/>
    <x v="2"/>
    <x v="3"/>
    <x v="50"/>
    <x v="20"/>
  </r>
  <r>
    <x v="1861"/>
    <x v="17"/>
    <x v="1"/>
    <x v="0"/>
    <x v="1"/>
    <x v="2"/>
    <x v="3"/>
    <x v="61"/>
    <x v="20"/>
  </r>
  <r>
    <x v="1862"/>
    <x v="54"/>
    <x v="5"/>
    <x v="8"/>
    <x v="85"/>
    <x v="2"/>
    <x v="3"/>
    <x v="24"/>
    <x v="20"/>
  </r>
  <r>
    <x v="1863"/>
    <x v="20"/>
    <x v="0"/>
    <x v="3"/>
    <x v="42"/>
    <x v="11"/>
    <x v="6"/>
    <x v="12"/>
    <x v="20"/>
  </r>
  <r>
    <x v="1864"/>
    <x v="52"/>
    <x v="9"/>
    <x v="7"/>
    <x v="69"/>
    <x v="14"/>
    <x v="7"/>
    <x v="57"/>
    <x v="20"/>
  </r>
  <r>
    <x v="1865"/>
    <x v="50"/>
    <x v="11"/>
    <x v="3"/>
    <x v="138"/>
    <x v="11"/>
    <x v="1"/>
    <x v="31"/>
    <x v="20"/>
  </r>
  <r>
    <x v="1866"/>
    <x v="36"/>
    <x v="4"/>
    <x v="0"/>
    <x v="51"/>
    <x v="2"/>
    <x v="3"/>
    <x v="30"/>
    <x v="20"/>
  </r>
  <r>
    <x v="439"/>
    <x v="37"/>
    <x v="0"/>
    <x v="6"/>
    <x v="30"/>
    <x v="3"/>
    <x v="10"/>
    <x v="6"/>
    <x v="20"/>
  </r>
  <r>
    <x v="1867"/>
    <x v="14"/>
    <x v="4"/>
    <x v="8"/>
    <x v="21"/>
    <x v="4"/>
    <x v="9"/>
    <x v="30"/>
    <x v="20"/>
  </r>
  <r>
    <x v="1868"/>
    <x v="53"/>
    <x v="3"/>
    <x v="4"/>
    <x v="46"/>
    <x v="8"/>
    <x v="4"/>
    <x v="2"/>
    <x v="20"/>
  </r>
  <r>
    <x v="1869"/>
    <x v="15"/>
    <x v="6"/>
    <x v="4"/>
    <x v="49"/>
    <x v="8"/>
    <x v="0"/>
    <x v="280"/>
    <x v="20"/>
  </r>
  <r>
    <x v="1870"/>
    <x v="61"/>
    <x v="18"/>
    <x v="9"/>
    <x v="53"/>
    <x v="2"/>
    <x v="4"/>
    <x v="92"/>
    <x v="20"/>
  </r>
  <r>
    <x v="1871"/>
    <x v="40"/>
    <x v="11"/>
    <x v="6"/>
    <x v="8"/>
    <x v="11"/>
    <x v="1"/>
    <x v="30"/>
    <x v="20"/>
  </r>
  <r>
    <x v="1872"/>
    <x v="45"/>
    <x v="6"/>
    <x v="9"/>
    <x v="71"/>
    <x v="3"/>
    <x v="10"/>
    <x v="6"/>
    <x v="20"/>
  </r>
  <r>
    <x v="1873"/>
    <x v="29"/>
    <x v="5"/>
    <x v="7"/>
    <x v="16"/>
    <x v="1"/>
    <x v="10"/>
    <x v="82"/>
    <x v="20"/>
  </r>
  <r>
    <x v="1874"/>
    <x v="4"/>
    <x v="13"/>
    <x v="4"/>
    <x v="223"/>
    <x v="13"/>
    <x v="3"/>
    <x v="46"/>
    <x v="20"/>
  </r>
  <r>
    <x v="1875"/>
    <x v="69"/>
    <x v="1"/>
    <x v="6"/>
    <x v="75"/>
    <x v="2"/>
    <x v="4"/>
    <x v="6"/>
    <x v="20"/>
  </r>
  <r>
    <x v="1876"/>
    <x v="63"/>
    <x v="16"/>
    <x v="9"/>
    <x v="36"/>
    <x v="13"/>
    <x v="3"/>
    <x v="89"/>
    <x v="20"/>
  </r>
  <r>
    <x v="1877"/>
    <x v="71"/>
    <x v="0"/>
    <x v="6"/>
    <x v="151"/>
    <x v="7"/>
    <x v="5"/>
    <x v="43"/>
    <x v="20"/>
  </r>
  <r>
    <x v="1878"/>
    <x v="81"/>
    <x v="4"/>
    <x v="0"/>
    <x v="25"/>
    <x v="3"/>
    <x v="2"/>
    <x v="73"/>
    <x v="20"/>
  </r>
  <r>
    <x v="1879"/>
    <x v="5"/>
    <x v="1"/>
    <x v="7"/>
    <x v="22"/>
    <x v="5"/>
    <x v="5"/>
    <x v="88"/>
    <x v="20"/>
  </r>
  <r>
    <x v="1880"/>
    <x v="46"/>
    <x v="0"/>
    <x v="0"/>
    <x v="70"/>
    <x v="8"/>
    <x v="9"/>
    <x v="103"/>
    <x v="20"/>
  </r>
  <r>
    <x v="1881"/>
    <x v="72"/>
    <x v="7"/>
    <x v="5"/>
    <x v="133"/>
    <x v="1"/>
    <x v="2"/>
    <x v="73"/>
    <x v="20"/>
  </r>
  <r>
    <x v="1882"/>
    <x v="19"/>
    <x v="14"/>
    <x v="6"/>
    <x v="105"/>
    <x v="3"/>
    <x v="5"/>
    <x v="21"/>
    <x v="20"/>
  </r>
  <r>
    <x v="1883"/>
    <x v="66"/>
    <x v="13"/>
    <x v="2"/>
    <x v="108"/>
    <x v="0"/>
    <x v="4"/>
    <x v="145"/>
    <x v="20"/>
  </r>
  <r>
    <x v="1884"/>
    <x v="80"/>
    <x v="0"/>
    <x v="0"/>
    <x v="103"/>
    <x v="2"/>
    <x v="3"/>
    <x v="175"/>
    <x v="20"/>
  </r>
  <r>
    <x v="1885"/>
    <x v="80"/>
    <x v="6"/>
    <x v="9"/>
    <x v="53"/>
    <x v="0"/>
    <x v="4"/>
    <x v="50"/>
    <x v="20"/>
  </r>
  <r>
    <x v="1886"/>
    <x v="24"/>
    <x v="0"/>
    <x v="3"/>
    <x v="86"/>
    <x v="2"/>
    <x v="3"/>
    <x v="208"/>
    <x v="21"/>
  </r>
  <r>
    <x v="1887"/>
    <x v="79"/>
    <x v="9"/>
    <x v="0"/>
    <x v="24"/>
    <x v="13"/>
    <x v="3"/>
    <x v="53"/>
    <x v="21"/>
  </r>
  <r>
    <x v="1888"/>
    <x v="99"/>
    <x v="2"/>
    <x v="6"/>
    <x v="90"/>
    <x v="0"/>
    <x v="0"/>
    <x v="61"/>
    <x v="21"/>
  </r>
  <r>
    <x v="1889"/>
    <x v="10"/>
    <x v="10"/>
    <x v="3"/>
    <x v="15"/>
    <x v="11"/>
    <x v="6"/>
    <x v="5"/>
    <x v="21"/>
  </r>
  <r>
    <x v="1890"/>
    <x v="20"/>
    <x v="0"/>
    <x v="13"/>
    <x v="21"/>
    <x v="11"/>
    <x v="6"/>
    <x v="108"/>
    <x v="21"/>
  </r>
  <r>
    <x v="1891"/>
    <x v="49"/>
    <x v="0"/>
    <x v="6"/>
    <x v="54"/>
    <x v="0"/>
    <x v="9"/>
    <x v="32"/>
    <x v="21"/>
  </r>
  <r>
    <x v="1892"/>
    <x v="45"/>
    <x v="6"/>
    <x v="4"/>
    <x v="43"/>
    <x v="0"/>
    <x v="4"/>
    <x v="62"/>
    <x v="21"/>
  </r>
  <r>
    <x v="1893"/>
    <x v="12"/>
    <x v="5"/>
    <x v="11"/>
    <x v="31"/>
    <x v="2"/>
    <x v="4"/>
    <x v="20"/>
    <x v="21"/>
  </r>
  <r>
    <x v="1894"/>
    <x v="57"/>
    <x v="4"/>
    <x v="12"/>
    <x v="98"/>
    <x v="2"/>
    <x v="4"/>
    <x v="98"/>
    <x v="21"/>
  </r>
  <r>
    <x v="1895"/>
    <x v="15"/>
    <x v="0"/>
    <x v="5"/>
    <x v="11"/>
    <x v="13"/>
    <x v="3"/>
    <x v="186"/>
    <x v="21"/>
  </r>
  <r>
    <x v="1896"/>
    <x v="98"/>
    <x v="2"/>
    <x v="4"/>
    <x v="53"/>
    <x v="0"/>
    <x v="3"/>
    <x v="47"/>
    <x v="21"/>
  </r>
  <r>
    <x v="1897"/>
    <x v="26"/>
    <x v="5"/>
    <x v="7"/>
    <x v="42"/>
    <x v="3"/>
    <x v="2"/>
    <x v="42"/>
    <x v="21"/>
  </r>
  <r>
    <x v="1898"/>
    <x v="47"/>
    <x v="6"/>
    <x v="6"/>
    <x v="146"/>
    <x v="11"/>
    <x v="6"/>
    <x v="118"/>
    <x v="21"/>
  </r>
  <r>
    <x v="1899"/>
    <x v="40"/>
    <x v="2"/>
    <x v="6"/>
    <x v="220"/>
    <x v="12"/>
    <x v="13"/>
    <x v="210"/>
    <x v="21"/>
  </r>
  <r>
    <x v="1900"/>
    <x v="94"/>
    <x v="9"/>
    <x v="7"/>
    <x v="13"/>
    <x v="8"/>
    <x v="0"/>
    <x v="69"/>
    <x v="21"/>
  </r>
  <r>
    <x v="1901"/>
    <x v="30"/>
    <x v="0"/>
    <x v="6"/>
    <x v="124"/>
    <x v="5"/>
    <x v="5"/>
    <x v="45"/>
    <x v="21"/>
  </r>
  <r>
    <x v="1902"/>
    <x v="36"/>
    <x v="4"/>
    <x v="0"/>
    <x v="86"/>
    <x v="2"/>
    <x v="4"/>
    <x v="105"/>
    <x v="21"/>
  </r>
  <r>
    <x v="1903"/>
    <x v="81"/>
    <x v="4"/>
    <x v="12"/>
    <x v="58"/>
    <x v="0"/>
    <x v="4"/>
    <x v="145"/>
    <x v="21"/>
  </r>
  <r>
    <x v="1904"/>
    <x v="95"/>
    <x v="13"/>
    <x v="6"/>
    <x v="68"/>
    <x v="8"/>
    <x v="1"/>
    <x v="27"/>
    <x v="21"/>
  </r>
  <r>
    <x v="1905"/>
    <x v="66"/>
    <x v="3"/>
    <x v="5"/>
    <x v="12"/>
    <x v="1"/>
    <x v="5"/>
    <x v="42"/>
    <x v="21"/>
  </r>
  <r>
    <x v="1906"/>
    <x v="51"/>
    <x v="3"/>
    <x v="5"/>
    <x v="78"/>
    <x v="2"/>
    <x v="4"/>
    <x v="234"/>
    <x v="21"/>
  </r>
  <r>
    <x v="1907"/>
    <x v="63"/>
    <x v="7"/>
    <x v="9"/>
    <x v="15"/>
    <x v="17"/>
    <x v="17"/>
    <x v="119"/>
    <x v="21"/>
  </r>
  <r>
    <x v="1908"/>
    <x v="2"/>
    <x v="2"/>
    <x v="5"/>
    <x v="97"/>
    <x v="8"/>
    <x v="6"/>
    <x v="130"/>
    <x v="21"/>
  </r>
  <r>
    <x v="1909"/>
    <x v="74"/>
    <x v="4"/>
    <x v="6"/>
    <x v="0"/>
    <x v="6"/>
    <x v="3"/>
    <x v="88"/>
    <x v="21"/>
  </r>
  <r>
    <x v="1910"/>
    <x v="28"/>
    <x v="4"/>
    <x v="13"/>
    <x v="59"/>
    <x v="2"/>
    <x v="0"/>
    <x v="61"/>
    <x v="21"/>
  </r>
  <r>
    <x v="1911"/>
    <x v="69"/>
    <x v="5"/>
    <x v="7"/>
    <x v="43"/>
    <x v="6"/>
    <x v="3"/>
    <x v="50"/>
    <x v="21"/>
  </r>
  <r>
    <x v="1912"/>
    <x v="83"/>
    <x v="4"/>
    <x v="7"/>
    <x v="13"/>
    <x v="0"/>
    <x v="0"/>
    <x v="96"/>
    <x v="21"/>
  </r>
  <r>
    <x v="1913"/>
    <x v="91"/>
    <x v="4"/>
    <x v="7"/>
    <x v="0"/>
    <x v="1"/>
    <x v="5"/>
    <x v="53"/>
    <x v="21"/>
  </r>
  <r>
    <x v="1914"/>
    <x v="11"/>
    <x v="1"/>
    <x v="0"/>
    <x v="69"/>
    <x v="1"/>
    <x v="6"/>
    <x v="76"/>
    <x v="21"/>
  </r>
  <r>
    <x v="1915"/>
    <x v="93"/>
    <x v="14"/>
    <x v="3"/>
    <x v="80"/>
    <x v="1"/>
    <x v="5"/>
    <x v="98"/>
    <x v="21"/>
  </r>
  <r>
    <x v="1916"/>
    <x v="77"/>
    <x v="3"/>
    <x v="5"/>
    <x v="218"/>
    <x v="0"/>
    <x v="1"/>
    <x v="51"/>
    <x v="21"/>
  </r>
  <r>
    <x v="1917"/>
    <x v="82"/>
    <x v="3"/>
    <x v="2"/>
    <x v="8"/>
    <x v="0"/>
    <x v="9"/>
    <x v="111"/>
    <x v="21"/>
  </r>
  <r>
    <x v="1918"/>
    <x v="21"/>
    <x v="2"/>
    <x v="6"/>
    <x v="105"/>
    <x v="0"/>
    <x v="0"/>
    <x v="168"/>
    <x v="21"/>
  </r>
  <r>
    <x v="1919"/>
    <x v="23"/>
    <x v="0"/>
    <x v="13"/>
    <x v="86"/>
    <x v="13"/>
    <x v="3"/>
    <x v="103"/>
    <x v="21"/>
  </r>
  <r>
    <x v="1920"/>
    <x v="90"/>
    <x v="12"/>
    <x v="12"/>
    <x v="51"/>
    <x v="11"/>
    <x v="0"/>
    <x v="236"/>
    <x v="21"/>
  </r>
  <r>
    <x v="1921"/>
    <x v="89"/>
    <x v="18"/>
    <x v="4"/>
    <x v="106"/>
    <x v="2"/>
    <x v="3"/>
    <x v="73"/>
    <x v="21"/>
  </r>
  <r>
    <x v="1922"/>
    <x v="52"/>
    <x v="5"/>
    <x v="12"/>
    <x v="42"/>
    <x v="0"/>
    <x v="1"/>
    <x v="144"/>
    <x v="21"/>
  </r>
  <r>
    <x v="1923"/>
    <x v="31"/>
    <x v="9"/>
    <x v="11"/>
    <x v="37"/>
    <x v="9"/>
    <x v="7"/>
    <x v="73"/>
    <x v="21"/>
  </r>
  <r>
    <x v="1924"/>
    <x v="60"/>
    <x v="3"/>
    <x v="4"/>
    <x v="52"/>
    <x v="11"/>
    <x v="4"/>
    <x v="73"/>
    <x v="21"/>
  </r>
  <r>
    <x v="1925"/>
    <x v="73"/>
    <x v="5"/>
    <x v="12"/>
    <x v="124"/>
    <x v="6"/>
    <x v="3"/>
    <x v="31"/>
    <x v="21"/>
  </r>
  <r>
    <x v="1926"/>
    <x v="67"/>
    <x v="16"/>
    <x v="8"/>
    <x v="149"/>
    <x v="0"/>
    <x v="0"/>
    <x v="47"/>
    <x v="21"/>
  </r>
  <r>
    <x v="1927"/>
    <x v="32"/>
    <x v="2"/>
    <x v="6"/>
    <x v="12"/>
    <x v="0"/>
    <x v="4"/>
    <x v="22"/>
    <x v="21"/>
  </r>
  <r>
    <x v="1928"/>
    <x v="75"/>
    <x v="2"/>
    <x v="3"/>
    <x v="75"/>
    <x v="11"/>
    <x v="1"/>
    <x v="77"/>
    <x v="21"/>
  </r>
  <r>
    <x v="1929"/>
    <x v="50"/>
    <x v="3"/>
    <x v="14"/>
    <x v="12"/>
    <x v="3"/>
    <x v="5"/>
    <x v="7"/>
    <x v="21"/>
  </r>
  <r>
    <x v="1221"/>
    <x v="8"/>
    <x v="15"/>
    <x v="5"/>
    <x v="78"/>
    <x v="3"/>
    <x v="10"/>
    <x v="97"/>
    <x v="21"/>
  </r>
  <r>
    <x v="1930"/>
    <x v="0"/>
    <x v="0"/>
    <x v="6"/>
    <x v="32"/>
    <x v="0"/>
    <x v="0"/>
    <x v="24"/>
    <x v="21"/>
  </r>
  <r>
    <x v="1931"/>
    <x v="76"/>
    <x v="3"/>
    <x v="9"/>
    <x v="7"/>
    <x v="4"/>
    <x v="3"/>
    <x v="44"/>
    <x v="21"/>
  </r>
  <r>
    <x v="1932"/>
    <x v="44"/>
    <x v="9"/>
    <x v="8"/>
    <x v="54"/>
    <x v="8"/>
    <x v="4"/>
    <x v="55"/>
    <x v="21"/>
  </r>
  <r>
    <x v="1933"/>
    <x v="38"/>
    <x v="0"/>
    <x v="7"/>
    <x v="31"/>
    <x v="8"/>
    <x v="4"/>
    <x v="281"/>
    <x v="21"/>
  </r>
  <r>
    <x v="1934"/>
    <x v="96"/>
    <x v="0"/>
    <x v="12"/>
    <x v="162"/>
    <x v="4"/>
    <x v="4"/>
    <x v="140"/>
    <x v="21"/>
  </r>
  <r>
    <x v="1935"/>
    <x v="25"/>
    <x v="1"/>
    <x v="3"/>
    <x v="133"/>
    <x v="7"/>
    <x v="2"/>
    <x v="71"/>
    <x v="21"/>
  </r>
  <r>
    <x v="1936"/>
    <x v="59"/>
    <x v="9"/>
    <x v="0"/>
    <x v="24"/>
    <x v="5"/>
    <x v="0"/>
    <x v="57"/>
    <x v="21"/>
  </r>
  <r>
    <x v="1937"/>
    <x v="17"/>
    <x v="1"/>
    <x v="6"/>
    <x v="36"/>
    <x v="2"/>
    <x v="4"/>
    <x v="73"/>
    <x v="21"/>
  </r>
  <r>
    <x v="1938"/>
    <x v="84"/>
    <x v="9"/>
    <x v="0"/>
    <x v="0"/>
    <x v="1"/>
    <x v="10"/>
    <x v="16"/>
    <x v="21"/>
  </r>
  <r>
    <x v="1939"/>
    <x v="79"/>
    <x v="5"/>
    <x v="8"/>
    <x v="151"/>
    <x v="0"/>
    <x v="0"/>
    <x v="76"/>
    <x v="21"/>
  </r>
  <r>
    <x v="1940"/>
    <x v="42"/>
    <x v="1"/>
    <x v="3"/>
    <x v="22"/>
    <x v="8"/>
    <x v="0"/>
    <x v="53"/>
    <x v="21"/>
  </r>
  <r>
    <x v="1941"/>
    <x v="68"/>
    <x v="3"/>
    <x v="5"/>
    <x v="47"/>
    <x v="5"/>
    <x v="4"/>
    <x v="71"/>
    <x v="21"/>
  </r>
  <r>
    <x v="1942"/>
    <x v="35"/>
    <x v="8"/>
    <x v="0"/>
    <x v="37"/>
    <x v="11"/>
    <x v="1"/>
    <x v="76"/>
    <x v="21"/>
  </r>
  <r>
    <x v="1943"/>
    <x v="27"/>
    <x v="12"/>
    <x v="0"/>
    <x v="24"/>
    <x v="2"/>
    <x v="4"/>
    <x v="38"/>
    <x v="21"/>
  </r>
  <r>
    <x v="1944"/>
    <x v="61"/>
    <x v="2"/>
    <x v="3"/>
    <x v="45"/>
    <x v="1"/>
    <x v="10"/>
    <x v="70"/>
    <x v="21"/>
  </r>
  <r>
    <x v="1945"/>
    <x v="18"/>
    <x v="2"/>
    <x v="3"/>
    <x v="121"/>
    <x v="0"/>
    <x v="9"/>
    <x v="105"/>
    <x v="21"/>
  </r>
  <r>
    <x v="1946"/>
    <x v="55"/>
    <x v="4"/>
    <x v="13"/>
    <x v="50"/>
    <x v="8"/>
    <x v="6"/>
    <x v="59"/>
    <x v="21"/>
  </r>
  <r>
    <x v="1947"/>
    <x v="54"/>
    <x v="9"/>
    <x v="0"/>
    <x v="24"/>
    <x v="0"/>
    <x v="4"/>
    <x v="180"/>
    <x v="21"/>
  </r>
  <r>
    <x v="1948"/>
    <x v="80"/>
    <x v="6"/>
    <x v="4"/>
    <x v="5"/>
    <x v="6"/>
    <x v="3"/>
    <x v="6"/>
    <x v="21"/>
  </r>
  <r>
    <x v="1949"/>
    <x v="6"/>
    <x v="2"/>
    <x v="5"/>
    <x v="47"/>
    <x v="1"/>
    <x v="6"/>
    <x v="282"/>
    <x v="21"/>
  </r>
  <r>
    <x v="1950"/>
    <x v="39"/>
    <x v="1"/>
    <x v="3"/>
    <x v="151"/>
    <x v="4"/>
    <x v="4"/>
    <x v="17"/>
    <x v="21"/>
  </r>
  <r>
    <x v="1951"/>
    <x v="88"/>
    <x v="2"/>
    <x v="7"/>
    <x v="93"/>
    <x v="5"/>
    <x v="1"/>
    <x v="146"/>
    <x v="21"/>
  </r>
  <r>
    <x v="1952"/>
    <x v="85"/>
    <x v="0"/>
    <x v="7"/>
    <x v="51"/>
    <x v="8"/>
    <x v="0"/>
    <x v="83"/>
    <x v="21"/>
  </r>
  <r>
    <x v="1953"/>
    <x v="70"/>
    <x v="1"/>
    <x v="3"/>
    <x v="151"/>
    <x v="2"/>
    <x v="3"/>
    <x v="55"/>
    <x v="21"/>
  </r>
  <r>
    <x v="1954"/>
    <x v="58"/>
    <x v="2"/>
    <x v="3"/>
    <x v="63"/>
    <x v="11"/>
    <x v="5"/>
    <x v="51"/>
    <x v="21"/>
  </r>
  <r>
    <x v="1955"/>
    <x v="64"/>
    <x v="20"/>
    <x v="6"/>
    <x v="73"/>
    <x v="7"/>
    <x v="2"/>
    <x v="98"/>
    <x v="21"/>
  </r>
  <r>
    <x v="1956"/>
    <x v="78"/>
    <x v="20"/>
    <x v="4"/>
    <x v="68"/>
    <x v="2"/>
    <x v="4"/>
    <x v="27"/>
    <x v="21"/>
  </r>
  <r>
    <x v="1957"/>
    <x v="1"/>
    <x v="2"/>
    <x v="9"/>
    <x v="105"/>
    <x v="0"/>
    <x v="0"/>
    <x v="171"/>
    <x v="21"/>
  </r>
  <r>
    <x v="1958"/>
    <x v="41"/>
    <x v="6"/>
    <x v="6"/>
    <x v="159"/>
    <x v="11"/>
    <x v="1"/>
    <x v="43"/>
    <x v="21"/>
  </r>
  <r>
    <x v="1959"/>
    <x v="23"/>
    <x v="1"/>
    <x v="3"/>
    <x v="116"/>
    <x v="8"/>
    <x v="4"/>
    <x v="122"/>
    <x v="21"/>
  </r>
  <r>
    <x v="1960"/>
    <x v="43"/>
    <x v="7"/>
    <x v="4"/>
    <x v="135"/>
    <x v="5"/>
    <x v="1"/>
    <x v="85"/>
    <x v="21"/>
  </r>
  <r>
    <x v="1961"/>
    <x v="38"/>
    <x v="9"/>
    <x v="12"/>
    <x v="149"/>
    <x v="8"/>
    <x v="6"/>
    <x v="38"/>
    <x v="21"/>
  </r>
  <r>
    <x v="1962"/>
    <x v="14"/>
    <x v="4"/>
    <x v="12"/>
    <x v="59"/>
    <x v="4"/>
    <x v="4"/>
    <x v="18"/>
    <x v="21"/>
  </r>
  <r>
    <x v="1963"/>
    <x v="16"/>
    <x v="1"/>
    <x v="8"/>
    <x v="19"/>
    <x v="8"/>
    <x v="1"/>
    <x v="283"/>
    <x v="21"/>
  </r>
  <r>
    <x v="1964"/>
    <x v="34"/>
    <x v="2"/>
    <x v="6"/>
    <x v="61"/>
    <x v="0"/>
    <x v="1"/>
    <x v="71"/>
    <x v="21"/>
  </r>
  <r>
    <x v="1965"/>
    <x v="71"/>
    <x v="0"/>
    <x v="0"/>
    <x v="70"/>
    <x v="4"/>
    <x v="3"/>
    <x v="6"/>
    <x v="21"/>
  </r>
  <r>
    <x v="1966"/>
    <x v="72"/>
    <x v="7"/>
    <x v="3"/>
    <x v="39"/>
    <x v="4"/>
    <x v="4"/>
    <x v="57"/>
    <x v="21"/>
  </r>
  <r>
    <x v="1967"/>
    <x v="48"/>
    <x v="6"/>
    <x v="6"/>
    <x v="5"/>
    <x v="2"/>
    <x v="4"/>
    <x v="140"/>
    <x v="21"/>
  </r>
  <r>
    <x v="1968"/>
    <x v="56"/>
    <x v="8"/>
    <x v="0"/>
    <x v="56"/>
    <x v="12"/>
    <x v="13"/>
    <x v="209"/>
    <x v="21"/>
  </r>
  <r>
    <x v="1969"/>
    <x v="33"/>
    <x v="2"/>
    <x v="6"/>
    <x v="214"/>
    <x v="0"/>
    <x v="4"/>
    <x v="76"/>
    <x v="21"/>
  </r>
  <r>
    <x v="1970"/>
    <x v="3"/>
    <x v="13"/>
    <x v="2"/>
    <x v="224"/>
    <x v="2"/>
    <x v="0"/>
    <x v="70"/>
    <x v="21"/>
  </r>
  <r>
    <x v="1971"/>
    <x v="53"/>
    <x v="13"/>
    <x v="4"/>
    <x v="152"/>
    <x v="7"/>
    <x v="10"/>
    <x v="85"/>
    <x v="21"/>
  </r>
  <r>
    <x v="1972"/>
    <x v="5"/>
    <x v="2"/>
    <x v="3"/>
    <x v="92"/>
    <x v="5"/>
    <x v="5"/>
    <x v="17"/>
    <x v="21"/>
  </r>
  <r>
    <x v="1973"/>
    <x v="4"/>
    <x v="3"/>
    <x v="4"/>
    <x v="68"/>
    <x v="0"/>
    <x v="0"/>
    <x v="58"/>
    <x v="21"/>
  </r>
  <r>
    <x v="1974"/>
    <x v="87"/>
    <x v="6"/>
    <x v="4"/>
    <x v="137"/>
    <x v="3"/>
    <x v="2"/>
    <x v="17"/>
    <x v="21"/>
  </r>
  <r>
    <x v="1975"/>
    <x v="7"/>
    <x v="3"/>
    <x v="9"/>
    <x v="45"/>
    <x v="5"/>
    <x v="1"/>
    <x v="157"/>
    <x v="21"/>
  </r>
  <r>
    <x v="1976"/>
    <x v="26"/>
    <x v="4"/>
    <x v="12"/>
    <x v="25"/>
    <x v="8"/>
    <x v="6"/>
    <x v="70"/>
    <x v="22"/>
  </r>
  <r>
    <x v="1977"/>
    <x v="14"/>
    <x v="9"/>
    <x v="0"/>
    <x v="39"/>
    <x v="3"/>
    <x v="2"/>
    <x v="10"/>
    <x v="22"/>
  </r>
  <r>
    <x v="1978"/>
    <x v="50"/>
    <x v="13"/>
    <x v="5"/>
    <x v="12"/>
    <x v="7"/>
    <x v="11"/>
    <x v="81"/>
    <x v="22"/>
  </r>
  <r>
    <x v="1979"/>
    <x v="1"/>
    <x v="1"/>
    <x v="3"/>
    <x v="74"/>
    <x v="0"/>
    <x v="0"/>
    <x v="7"/>
    <x v="22"/>
  </r>
  <r>
    <x v="1980"/>
    <x v="73"/>
    <x v="5"/>
    <x v="12"/>
    <x v="13"/>
    <x v="2"/>
    <x v="3"/>
    <x v="105"/>
    <x v="22"/>
  </r>
  <r>
    <x v="1981"/>
    <x v="93"/>
    <x v="1"/>
    <x v="3"/>
    <x v="9"/>
    <x v="4"/>
    <x v="3"/>
    <x v="1"/>
    <x v="22"/>
  </r>
  <r>
    <x v="1982"/>
    <x v="90"/>
    <x v="8"/>
    <x v="6"/>
    <x v="31"/>
    <x v="4"/>
    <x v="3"/>
    <x v="58"/>
    <x v="22"/>
  </r>
  <r>
    <x v="1983"/>
    <x v="27"/>
    <x v="1"/>
    <x v="7"/>
    <x v="114"/>
    <x v="2"/>
    <x v="3"/>
    <x v="10"/>
    <x v="22"/>
  </r>
  <r>
    <x v="1984"/>
    <x v="61"/>
    <x v="2"/>
    <x v="6"/>
    <x v="68"/>
    <x v="2"/>
    <x v="3"/>
    <x v="97"/>
    <x v="22"/>
  </r>
  <r>
    <x v="1985"/>
    <x v="62"/>
    <x v="1"/>
    <x v="6"/>
    <x v="64"/>
    <x v="3"/>
    <x v="10"/>
    <x v="52"/>
    <x v="22"/>
  </r>
  <r>
    <x v="1986"/>
    <x v="86"/>
    <x v="6"/>
    <x v="4"/>
    <x v="75"/>
    <x v="13"/>
    <x v="3"/>
    <x v="17"/>
    <x v="22"/>
  </r>
  <r>
    <x v="1987"/>
    <x v="29"/>
    <x v="9"/>
    <x v="6"/>
    <x v="22"/>
    <x v="2"/>
    <x v="3"/>
    <x v="40"/>
    <x v="22"/>
  </r>
  <r>
    <x v="1988"/>
    <x v="6"/>
    <x v="2"/>
    <x v="6"/>
    <x v="102"/>
    <x v="11"/>
    <x v="10"/>
    <x v="7"/>
    <x v="22"/>
  </r>
  <r>
    <x v="1989"/>
    <x v="46"/>
    <x v="0"/>
    <x v="12"/>
    <x v="51"/>
    <x v="9"/>
    <x v="12"/>
    <x v="145"/>
    <x v="22"/>
  </r>
  <r>
    <x v="1990"/>
    <x v="16"/>
    <x v="14"/>
    <x v="3"/>
    <x v="18"/>
    <x v="13"/>
    <x v="3"/>
    <x v="40"/>
    <x v="22"/>
  </r>
  <r>
    <x v="1991"/>
    <x v="72"/>
    <x v="8"/>
    <x v="7"/>
    <x v="32"/>
    <x v="17"/>
    <x v="16"/>
    <x v="81"/>
    <x v="22"/>
  </r>
  <r>
    <x v="1992"/>
    <x v="19"/>
    <x v="6"/>
    <x v="3"/>
    <x v="150"/>
    <x v="8"/>
    <x v="4"/>
    <x v="245"/>
    <x v="22"/>
  </r>
  <r>
    <x v="1993"/>
    <x v="69"/>
    <x v="0"/>
    <x v="7"/>
    <x v="50"/>
    <x v="13"/>
    <x v="3"/>
    <x v="18"/>
    <x v="22"/>
  </r>
  <r>
    <x v="1994"/>
    <x v="57"/>
    <x v="9"/>
    <x v="8"/>
    <x v="13"/>
    <x v="0"/>
    <x v="9"/>
    <x v="76"/>
    <x v="22"/>
  </r>
  <r>
    <x v="1995"/>
    <x v="30"/>
    <x v="6"/>
    <x v="5"/>
    <x v="17"/>
    <x v="8"/>
    <x v="0"/>
    <x v="40"/>
    <x v="22"/>
  </r>
  <r>
    <x v="1996"/>
    <x v="45"/>
    <x v="6"/>
    <x v="3"/>
    <x v="107"/>
    <x v="8"/>
    <x v="0"/>
    <x v="88"/>
    <x v="22"/>
  </r>
  <r>
    <x v="1997"/>
    <x v="65"/>
    <x v="5"/>
    <x v="0"/>
    <x v="100"/>
    <x v="0"/>
    <x v="0"/>
    <x v="83"/>
    <x v="22"/>
  </r>
  <r>
    <x v="1998"/>
    <x v="87"/>
    <x v="0"/>
    <x v="3"/>
    <x v="123"/>
    <x v="4"/>
    <x v="3"/>
    <x v="215"/>
    <x v="22"/>
  </r>
  <r>
    <x v="1999"/>
    <x v="31"/>
    <x v="4"/>
    <x v="3"/>
    <x v="124"/>
    <x v="11"/>
    <x v="5"/>
    <x v="43"/>
    <x v="22"/>
  </r>
  <r>
    <x v="2000"/>
    <x v="18"/>
    <x v="1"/>
    <x v="5"/>
    <x v="136"/>
    <x v="4"/>
    <x v="3"/>
    <x v="34"/>
    <x v="22"/>
  </r>
  <r>
    <x v="2001"/>
    <x v="10"/>
    <x v="4"/>
    <x v="7"/>
    <x v="56"/>
    <x v="11"/>
    <x v="4"/>
    <x v="81"/>
    <x v="22"/>
  </r>
  <r>
    <x v="2002"/>
    <x v="63"/>
    <x v="7"/>
    <x v="6"/>
    <x v="76"/>
    <x v="1"/>
    <x v="9"/>
    <x v="11"/>
    <x v="22"/>
  </r>
  <r>
    <x v="2003"/>
    <x v="40"/>
    <x v="2"/>
    <x v="4"/>
    <x v="139"/>
    <x v="2"/>
    <x v="3"/>
    <x v="108"/>
    <x v="22"/>
  </r>
  <r>
    <x v="2004"/>
    <x v="83"/>
    <x v="4"/>
    <x v="12"/>
    <x v="98"/>
    <x v="11"/>
    <x v="4"/>
    <x v="152"/>
    <x v="22"/>
  </r>
  <r>
    <x v="2005"/>
    <x v="44"/>
    <x v="9"/>
    <x v="7"/>
    <x v="13"/>
    <x v="2"/>
    <x v="9"/>
    <x v="54"/>
    <x v="22"/>
  </r>
  <r>
    <x v="2006"/>
    <x v="28"/>
    <x v="1"/>
    <x v="4"/>
    <x v="74"/>
    <x v="8"/>
    <x v="4"/>
    <x v="117"/>
    <x v="22"/>
  </r>
  <r>
    <x v="2007"/>
    <x v="70"/>
    <x v="1"/>
    <x v="5"/>
    <x v="158"/>
    <x v="2"/>
    <x v="0"/>
    <x v="108"/>
    <x v="22"/>
  </r>
  <r>
    <x v="2008"/>
    <x v="89"/>
    <x v="1"/>
    <x v="4"/>
    <x v="155"/>
    <x v="0"/>
    <x v="1"/>
    <x v="28"/>
    <x v="22"/>
  </r>
  <r>
    <x v="2009"/>
    <x v="84"/>
    <x v="5"/>
    <x v="13"/>
    <x v="10"/>
    <x v="6"/>
    <x v="3"/>
    <x v="35"/>
    <x v="22"/>
  </r>
  <r>
    <x v="2010"/>
    <x v="75"/>
    <x v="1"/>
    <x v="3"/>
    <x v="71"/>
    <x v="0"/>
    <x v="4"/>
    <x v="60"/>
    <x v="22"/>
  </r>
  <r>
    <x v="2011"/>
    <x v="66"/>
    <x v="15"/>
    <x v="5"/>
    <x v="83"/>
    <x v="8"/>
    <x v="4"/>
    <x v="2"/>
    <x v="22"/>
  </r>
  <r>
    <x v="2012"/>
    <x v="32"/>
    <x v="2"/>
    <x v="6"/>
    <x v="99"/>
    <x v="0"/>
    <x v="4"/>
    <x v="35"/>
    <x v="22"/>
  </r>
  <r>
    <x v="2013"/>
    <x v="12"/>
    <x v="5"/>
    <x v="12"/>
    <x v="39"/>
    <x v="2"/>
    <x v="4"/>
    <x v="131"/>
    <x v="22"/>
  </r>
  <r>
    <x v="2014"/>
    <x v="79"/>
    <x v="4"/>
    <x v="12"/>
    <x v="98"/>
    <x v="0"/>
    <x v="4"/>
    <x v="74"/>
    <x v="22"/>
  </r>
  <r>
    <x v="2015"/>
    <x v="9"/>
    <x v="20"/>
    <x v="4"/>
    <x v="41"/>
    <x v="11"/>
    <x v="1"/>
    <x v="131"/>
    <x v="22"/>
  </r>
  <r>
    <x v="2016"/>
    <x v="54"/>
    <x v="5"/>
    <x v="13"/>
    <x v="69"/>
    <x v="5"/>
    <x v="5"/>
    <x v="106"/>
    <x v="22"/>
  </r>
  <r>
    <x v="2017"/>
    <x v="98"/>
    <x v="13"/>
    <x v="10"/>
    <x v="225"/>
    <x v="2"/>
    <x v="3"/>
    <x v="42"/>
    <x v="22"/>
  </r>
  <r>
    <x v="2018"/>
    <x v="19"/>
    <x v="1"/>
    <x v="6"/>
    <x v="105"/>
    <x v="0"/>
    <x v="9"/>
    <x v="131"/>
    <x v="22"/>
  </r>
  <r>
    <x v="2019"/>
    <x v="37"/>
    <x v="0"/>
    <x v="4"/>
    <x v="48"/>
    <x v="11"/>
    <x v="1"/>
    <x v="50"/>
    <x v="22"/>
  </r>
  <r>
    <x v="2020"/>
    <x v="80"/>
    <x v="6"/>
    <x v="9"/>
    <x v="159"/>
    <x v="19"/>
    <x v="18"/>
    <x v="7"/>
    <x v="22"/>
  </r>
  <r>
    <x v="2021"/>
    <x v="20"/>
    <x v="7"/>
    <x v="5"/>
    <x v="11"/>
    <x v="2"/>
    <x v="0"/>
    <x v="117"/>
    <x v="22"/>
  </r>
  <r>
    <x v="2022"/>
    <x v="58"/>
    <x v="2"/>
    <x v="9"/>
    <x v="83"/>
    <x v="1"/>
    <x v="10"/>
    <x v="87"/>
    <x v="22"/>
  </r>
  <r>
    <x v="2023"/>
    <x v="21"/>
    <x v="6"/>
    <x v="5"/>
    <x v="121"/>
    <x v="8"/>
    <x v="9"/>
    <x v="4"/>
    <x v="22"/>
  </r>
  <r>
    <x v="2024"/>
    <x v="21"/>
    <x v="1"/>
    <x v="6"/>
    <x v="80"/>
    <x v="0"/>
    <x v="3"/>
    <x v="44"/>
    <x v="22"/>
  </r>
  <r>
    <x v="2025"/>
    <x v="5"/>
    <x v="1"/>
    <x v="7"/>
    <x v="48"/>
    <x v="2"/>
    <x v="4"/>
    <x v="83"/>
    <x v="22"/>
  </r>
  <r>
    <x v="2026"/>
    <x v="4"/>
    <x v="15"/>
    <x v="5"/>
    <x v="40"/>
    <x v="0"/>
    <x v="9"/>
    <x v="10"/>
    <x v="22"/>
  </r>
  <r>
    <x v="2027"/>
    <x v="3"/>
    <x v="20"/>
    <x v="9"/>
    <x v="115"/>
    <x v="13"/>
    <x v="3"/>
    <x v="2"/>
    <x v="22"/>
  </r>
  <r>
    <x v="2028"/>
    <x v="77"/>
    <x v="3"/>
    <x v="4"/>
    <x v="12"/>
    <x v="0"/>
    <x v="4"/>
    <x v="6"/>
    <x v="22"/>
  </r>
  <r>
    <x v="2029"/>
    <x v="95"/>
    <x v="13"/>
    <x v="4"/>
    <x v="12"/>
    <x v="0"/>
    <x v="4"/>
    <x v="140"/>
    <x v="22"/>
  </r>
  <r>
    <x v="2030"/>
    <x v="97"/>
    <x v="13"/>
    <x v="2"/>
    <x v="102"/>
    <x v="11"/>
    <x v="0"/>
    <x v="101"/>
    <x v="22"/>
  </r>
  <r>
    <x v="2031"/>
    <x v="52"/>
    <x v="4"/>
    <x v="12"/>
    <x v="0"/>
    <x v="8"/>
    <x v="1"/>
    <x v="34"/>
    <x v="22"/>
  </r>
  <r>
    <x v="2032"/>
    <x v="85"/>
    <x v="16"/>
    <x v="5"/>
    <x v="43"/>
    <x v="9"/>
    <x v="7"/>
    <x v="108"/>
    <x v="22"/>
  </r>
  <r>
    <x v="2033"/>
    <x v="88"/>
    <x v="2"/>
    <x v="6"/>
    <x v="78"/>
    <x v="11"/>
    <x v="3"/>
    <x v="61"/>
    <x v="22"/>
  </r>
  <r>
    <x v="2034"/>
    <x v="16"/>
    <x v="1"/>
    <x v="6"/>
    <x v="107"/>
    <x v="11"/>
    <x v="0"/>
    <x v="22"/>
    <x v="22"/>
  </r>
  <r>
    <x v="2035"/>
    <x v="22"/>
    <x v="2"/>
    <x v="6"/>
    <x v="3"/>
    <x v="3"/>
    <x v="10"/>
    <x v="71"/>
    <x v="22"/>
  </r>
  <r>
    <x v="2036"/>
    <x v="78"/>
    <x v="13"/>
    <x v="4"/>
    <x v="108"/>
    <x v="6"/>
    <x v="3"/>
    <x v="7"/>
    <x v="22"/>
  </r>
  <r>
    <x v="2037"/>
    <x v="92"/>
    <x v="7"/>
    <x v="3"/>
    <x v="19"/>
    <x v="19"/>
    <x v="8"/>
    <x v="69"/>
    <x v="22"/>
  </r>
  <r>
    <x v="2038"/>
    <x v="96"/>
    <x v="0"/>
    <x v="13"/>
    <x v="30"/>
    <x v="4"/>
    <x v="4"/>
    <x v="41"/>
    <x v="22"/>
  </r>
  <r>
    <x v="2039"/>
    <x v="53"/>
    <x v="20"/>
    <x v="5"/>
    <x v="3"/>
    <x v="0"/>
    <x v="0"/>
    <x v="28"/>
    <x v="22"/>
  </r>
  <r>
    <x v="2040"/>
    <x v="81"/>
    <x v="9"/>
    <x v="8"/>
    <x v="149"/>
    <x v="0"/>
    <x v="1"/>
    <x v="144"/>
    <x v="22"/>
  </r>
  <r>
    <x v="2041"/>
    <x v="7"/>
    <x v="15"/>
    <x v="6"/>
    <x v="46"/>
    <x v="13"/>
    <x v="3"/>
    <x v="12"/>
    <x v="22"/>
  </r>
  <r>
    <x v="2042"/>
    <x v="11"/>
    <x v="9"/>
    <x v="3"/>
    <x v="13"/>
    <x v="0"/>
    <x v="0"/>
    <x v="54"/>
    <x v="22"/>
  </r>
  <r>
    <x v="2043"/>
    <x v="13"/>
    <x v="2"/>
    <x v="5"/>
    <x v="82"/>
    <x v="0"/>
    <x v="4"/>
    <x v="76"/>
    <x v="22"/>
  </r>
  <r>
    <x v="2044"/>
    <x v="8"/>
    <x v="2"/>
    <x v="5"/>
    <x v="3"/>
    <x v="8"/>
    <x v="9"/>
    <x v="100"/>
    <x v="22"/>
  </r>
  <r>
    <x v="2045"/>
    <x v="2"/>
    <x v="1"/>
    <x v="4"/>
    <x v="92"/>
    <x v="3"/>
    <x v="2"/>
    <x v="131"/>
    <x v="22"/>
  </r>
  <r>
    <x v="2046"/>
    <x v="17"/>
    <x v="9"/>
    <x v="0"/>
    <x v="24"/>
    <x v="2"/>
    <x v="3"/>
    <x v="39"/>
    <x v="22"/>
  </r>
  <r>
    <x v="2047"/>
    <x v="94"/>
    <x v="4"/>
    <x v="0"/>
    <x v="65"/>
    <x v="2"/>
    <x v="4"/>
    <x v="62"/>
    <x v="22"/>
  </r>
  <r>
    <x v="2048"/>
    <x v="39"/>
    <x v="1"/>
    <x v="7"/>
    <x v="55"/>
    <x v="11"/>
    <x v="1"/>
    <x v="54"/>
    <x v="22"/>
  </r>
  <r>
    <x v="2049"/>
    <x v="24"/>
    <x v="0"/>
    <x v="7"/>
    <x v="43"/>
    <x v="11"/>
    <x v="0"/>
    <x v="68"/>
    <x v="22"/>
  </r>
  <r>
    <x v="2050"/>
    <x v="36"/>
    <x v="5"/>
    <x v="3"/>
    <x v="110"/>
    <x v="0"/>
    <x v="4"/>
    <x v="168"/>
    <x v="22"/>
  </r>
  <r>
    <x v="2051"/>
    <x v="91"/>
    <x v="4"/>
    <x v="12"/>
    <x v="59"/>
    <x v="0"/>
    <x v="3"/>
    <x v="24"/>
    <x v="22"/>
  </r>
  <r>
    <x v="2052"/>
    <x v="42"/>
    <x v="4"/>
    <x v="0"/>
    <x v="156"/>
    <x v="0"/>
    <x v="9"/>
    <x v="59"/>
    <x v="22"/>
  </r>
  <r>
    <x v="2053"/>
    <x v="99"/>
    <x v="3"/>
    <x v="5"/>
    <x v="99"/>
    <x v="2"/>
    <x v="3"/>
    <x v="84"/>
    <x v="22"/>
  </r>
  <r>
    <x v="2054"/>
    <x v="41"/>
    <x v="6"/>
    <x v="4"/>
    <x v="62"/>
    <x v="1"/>
    <x v="6"/>
    <x v="245"/>
    <x v="22"/>
  </r>
  <r>
    <x v="2055"/>
    <x v="47"/>
    <x v="0"/>
    <x v="7"/>
    <x v="59"/>
    <x v="0"/>
    <x v="3"/>
    <x v="137"/>
    <x v="22"/>
  </r>
  <r>
    <x v="2056"/>
    <x v="64"/>
    <x v="13"/>
    <x v="5"/>
    <x v="45"/>
    <x v="0"/>
    <x v="9"/>
    <x v="18"/>
    <x v="22"/>
  </r>
  <r>
    <x v="2057"/>
    <x v="67"/>
    <x v="1"/>
    <x v="5"/>
    <x v="55"/>
    <x v="4"/>
    <x v="3"/>
    <x v="62"/>
    <x v="22"/>
  </r>
  <r>
    <x v="2058"/>
    <x v="82"/>
    <x v="13"/>
    <x v="9"/>
    <x v="95"/>
    <x v="4"/>
    <x v="3"/>
    <x v="10"/>
    <x v="22"/>
  </r>
  <r>
    <x v="2059"/>
    <x v="0"/>
    <x v="0"/>
    <x v="7"/>
    <x v="116"/>
    <x v="3"/>
    <x v="7"/>
    <x v="41"/>
    <x v="22"/>
  </r>
  <r>
    <x v="2060"/>
    <x v="23"/>
    <x v="0"/>
    <x v="4"/>
    <x v="69"/>
    <x v="2"/>
    <x v="3"/>
    <x v="37"/>
    <x v="22"/>
  </r>
  <r>
    <x v="2061"/>
    <x v="25"/>
    <x v="1"/>
    <x v="6"/>
    <x v="22"/>
    <x v="8"/>
    <x v="9"/>
    <x v="78"/>
    <x v="22"/>
  </r>
  <r>
    <x v="2062"/>
    <x v="48"/>
    <x v="0"/>
    <x v="7"/>
    <x v="42"/>
    <x v="8"/>
    <x v="0"/>
    <x v="81"/>
    <x v="22"/>
  </r>
  <r>
    <x v="2063"/>
    <x v="59"/>
    <x v="14"/>
    <x v="5"/>
    <x v="1"/>
    <x v="0"/>
    <x v="4"/>
    <x v="50"/>
    <x v="22"/>
  </r>
  <r>
    <x v="2064"/>
    <x v="10"/>
    <x v="6"/>
    <x v="5"/>
    <x v="107"/>
    <x v="8"/>
    <x v="9"/>
    <x v="62"/>
    <x v="22"/>
  </r>
  <r>
    <x v="2065"/>
    <x v="34"/>
    <x v="2"/>
    <x v="6"/>
    <x v="99"/>
    <x v="0"/>
    <x v="3"/>
    <x v="62"/>
    <x v="22"/>
  </r>
  <r>
    <x v="2066"/>
    <x v="49"/>
    <x v="0"/>
    <x v="6"/>
    <x v="21"/>
    <x v="3"/>
    <x v="10"/>
    <x v="77"/>
    <x v="23"/>
  </r>
  <r>
    <x v="2067"/>
    <x v="87"/>
    <x v="6"/>
    <x v="9"/>
    <x v="62"/>
    <x v="13"/>
    <x v="3"/>
    <x v="37"/>
    <x v="23"/>
  </r>
  <r>
    <x v="2068"/>
    <x v="73"/>
    <x v="4"/>
    <x v="0"/>
    <x v="37"/>
    <x v="2"/>
    <x v="3"/>
    <x v="24"/>
    <x v="23"/>
  </r>
  <r>
    <x v="2069"/>
    <x v="59"/>
    <x v="18"/>
    <x v="9"/>
    <x v="15"/>
    <x v="2"/>
    <x v="3"/>
    <x v="101"/>
    <x v="23"/>
  </r>
  <r>
    <x v="2070"/>
    <x v="16"/>
    <x v="3"/>
    <x v="4"/>
    <x v="4"/>
    <x v="5"/>
    <x v="6"/>
    <x v="71"/>
    <x v="23"/>
  </r>
  <r>
    <x v="2071"/>
    <x v="12"/>
    <x v="5"/>
    <x v="0"/>
    <x v="14"/>
    <x v="8"/>
    <x v="9"/>
    <x v="146"/>
    <x v="23"/>
  </r>
  <r>
    <x v="2072"/>
    <x v="3"/>
    <x v="20"/>
    <x v="5"/>
    <x v="96"/>
    <x v="0"/>
    <x v="4"/>
    <x v="71"/>
    <x v="23"/>
  </r>
  <r>
    <x v="2073"/>
    <x v="34"/>
    <x v="11"/>
    <x v="4"/>
    <x v="52"/>
    <x v="0"/>
    <x v="0"/>
    <x v="17"/>
    <x v="23"/>
  </r>
  <r>
    <x v="556"/>
    <x v="27"/>
    <x v="5"/>
    <x v="0"/>
    <x v="43"/>
    <x v="2"/>
    <x v="9"/>
    <x v="90"/>
    <x v="23"/>
  </r>
  <r>
    <x v="2074"/>
    <x v="70"/>
    <x v="18"/>
    <x v="4"/>
    <x v="5"/>
    <x v="0"/>
    <x v="1"/>
    <x v="73"/>
    <x v="23"/>
  </r>
  <r>
    <x v="2075"/>
    <x v="14"/>
    <x v="9"/>
    <x v="0"/>
    <x v="42"/>
    <x v="1"/>
    <x v="10"/>
    <x v="31"/>
    <x v="23"/>
  </r>
  <r>
    <x v="2076"/>
    <x v="91"/>
    <x v="9"/>
    <x v="12"/>
    <x v="0"/>
    <x v="11"/>
    <x v="6"/>
    <x v="77"/>
    <x v="23"/>
  </r>
  <r>
    <x v="2077"/>
    <x v="94"/>
    <x v="9"/>
    <x v="6"/>
    <x v="43"/>
    <x v="0"/>
    <x v="0"/>
    <x v="236"/>
    <x v="23"/>
  </r>
  <r>
    <x v="2078"/>
    <x v="95"/>
    <x v="13"/>
    <x v="9"/>
    <x v="8"/>
    <x v="8"/>
    <x v="4"/>
    <x v="57"/>
    <x v="23"/>
  </r>
  <r>
    <x v="2079"/>
    <x v="82"/>
    <x v="20"/>
    <x v="5"/>
    <x v="45"/>
    <x v="11"/>
    <x v="6"/>
    <x v="215"/>
    <x v="23"/>
  </r>
  <r>
    <x v="2080"/>
    <x v="23"/>
    <x v="7"/>
    <x v="3"/>
    <x v="24"/>
    <x v="2"/>
    <x v="3"/>
    <x v="140"/>
    <x v="23"/>
  </r>
  <r>
    <x v="2081"/>
    <x v="4"/>
    <x v="20"/>
    <x v="9"/>
    <x v="4"/>
    <x v="8"/>
    <x v="1"/>
    <x v="34"/>
    <x v="23"/>
  </r>
  <r>
    <x v="2082"/>
    <x v="56"/>
    <x v="7"/>
    <x v="6"/>
    <x v="19"/>
    <x v="8"/>
    <x v="6"/>
    <x v="27"/>
    <x v="23"/>
  </r>
  <r>
    <x v="2083"/>
    <x v="88"/>
    <x v="13"/>
    <x v="5"/>
    <x v="52"/>
    <x v="6"/>
    <x v="3"/>
    <x v="31"/>
    <x v="23"/>
  </r>
  <r>
    <x v="2084"/>
    <x v="8"/>
    <x v="20"/>
    <x v="6"/>
    <x v="45"/>
    <x v="1"/>
    <x v="5"/>
    <x v="6"/>
    <x v="23"/>
  </r>
  <r>
    <x v="2085"/>
    <x v="78"/>
    <x v="13"/>
    <x v="4"/>
    <x v="47"/>
    <x v="3"/>
    <x v="2"/>
    <x v="73"/>
    <x v="23"/>
  </r>
  <r>
    <x v="2086"/>
    <x v="59"/>
    <x v="14"/>
    <x v="7"/>
    <x v="14"/>
    <x v="2"/>
    <x v="4"/>
    <x v="71"/>
    <x v="23"/>
  </r>
  <r>
    <x v="2087"/>
    <x v="54"/>
    <x v="5"/>
    <x v="0"/>
    <x v="14"/>
    <x v="11"/>
    <x v="6"/>
    <x v="32"/>
    <x v="23"/>
  </r>
  <r>
    <x v="2088"/>
    <x v="93"/>
    <x v="9"/>
    <x v="6"/>
    <x v="42"/>
    <x v="11"/>
    <x v="0"/>
    <x v="77"/>
    <x v="23"/>
  </r>
  <r>
    <x v="2089"/>
    <x v="43"/>
    <x v="8"/>
    <x v="0"/>
    <x v="0"/>
    <x v="5"/>
    <x v="5"/>
    <x v="0"/>
    <x v="23"/>
  </r>
  <r>
    <x v="2090"/>
    <x v="89"/>
    <x v="1"/>
    <x v="7"/>
    <x v="22"/>
    <x v="2"/>
    <x v="3"/>
    <x v="83"/>
    <x v="23"/>
  </r>
  <r>
    <x v="2091"/>
    <x v="6"/>
    <x v="18"/>
    <x v="4"/>
    <x v="92"/>
    <x v="0"/>
    <x v="0"/>
    <x v="10"/>
    <x v="23"/>
  </r>
  <r>
    <x v="2092"/>
    <x v="11"/>
    <x v="4"/>
    <x v="7"/>
    <x v="51"/>
    <x v="0"/>
    <x v="4"/>
    <x v="236"/>
    <x v="23"/>
  </r>
  <r>
    <x v="2093"/>
    <x v="44"/>
    <x v="12"/>
    <x v="8"/>
    <x v="42"/>
    <x v="0"/>
    <x v="0"/>
    <x v="140"/>
    <x v="23"/>
  </r>
  <r>
    <x v="2094"/>
    <x v="61"/>
    <x v="18"/>
    <x v="3"/>
    <x v="14"/>
    <x v="1"/>
    <x v="6"/>
    <x v="140"/>
    <x v="23"/>
  </r>
  <r>
    <x v="2095"/>
    <x v="90"/>
    <x v="16"/>
    <x v="4"/>
    <x v="19"/>
    <x v="14"/>
    <x v="13"/>
    <x v="105"/>
    <x v="23"/>
  </r>
  <r>
    <x v="2096"/>
    <x v="29"/>
    <x v="4"/>
    <x v="7"/>
    <x v="24"/>
    <x v="2"/>
    <x v="0"/>
    <x v="76"/>
    <x v="23"/>
  </r>
  <r>
    <x v="2097"/>
    <x v="20"/>
    <x v="0"/>
    <x v="6"/>
    <x v="21"/>
    <x v="13"/>
    <x v="3"/>
    <x v="96"/>
    <x v="23"/>
  </r>
  <r>
    <x v="2098"/>
    <x v="50"/>
    <x v="18"/>
    <x v="4"/>
    <x v="28"/>
    <x v="1"/>
    <x v="4"/>
    <x v="11"/>
    <x v="23"/>
  </r>
  <r>
    <x v="2099"/>
    <x v="71"/>
    <x v="0"/>
    <x v="7"/>
    <x v="149"/>
    <x v="5"/>
    <x v="10"/>
    <x v="109"/>
    <x v="23"/>
  </r>
  <r>
    <x v="2100"/>
    <x v="96"/>
    <x v="4"/>
    <x v="7"/>
    <x v="0"/>
    <x v="4"/>
    <x v="4"/>
    <x v="34"/>
    <x v="23"/>
  </r>
  <r>
    <x v="2101"/>
    <x v="68"/>
    <x v="20"/>
    <x v="5"/>
    <x v="4"/>
    <x v="8"/>
    <x v="9"/>
    <x v="17"/>
    <x v="23"/>
  </r>
  <r>
    <x v="2102"/>
    <x v="77"/>
    <x v="11"/>
    <x v="4"/>
    <x v="44"/>
    <x v="8"/>
    <x v="4"/>
    <x v="145"/>
    <x v="23"/>
  </r>
  <r>
    <x v="2103"/>
    <x v="57"/>
    <x v="5"/>
    <x v="7"/>
    <x v="42"/>
    <x v="2"/>
    <x v="4"/>
    <x v="39"/>
    <x v="23"/>
  </r>
  <r>
    <x v="2104"/>
    <x v="40"/>
    <x v="11"/>
    <x v="6"/>
    <x v="45"/>
    <x v="1"/>
    <x v="10"/>
    <x v="77"/>
    <x v="23"/>
  </r>
  <r>
    <x v="2105"/>
    <x v="81"/>
    <x v="4"/>
    <x v="12"/>
    <x v="103"/>
    <x v="11"/>
    <x v="6"/>
    <x v="11"/>
    <x v="23"/>
  </r>
  <r>
    <x v="2106"/>
    <x v="39"/>
    <x v="14"/>
    <x v="3"/>
    <x v="14"/>
    <x v="21"/>
    <x v="17"/>
    <x v="4"/>
    <x v="23"/>
  </r>
  <r>
    <x v="2107"/>
    <x v="33"/>
    <x v="18"/>
    <x v="9"/>
    <x v="5"/>
    <x v="8"/>
    <x v="1"/>
    <x v="284"/>
    <x v="23"/>
  </r>
  <r>
    <x v="2108"/>
    <x v="2"/>
    <x v="18"/>
    <x v="6"/>
    <x v="105"/>
    <x v="2"/>
    <x v="3"/>
    <x v="13"/>
    <x v="23"/>
  </r>
  <r>
    <x v="2109"/>
    <x v="97"/>
    <x v="20"/>
    <x v="9"/>
    <x v="47"/>
    <x v="0"/>
    <x v="1"/>
    <x v="6"/>
    <x v="23"/>
  </r>
  <r>
    <x v="2110"/>
    <x v="63"/>
    <x v="0"/>
    <x v="6"/>
    <x v="42"/>
    <x v="5"/>
    <x v="1"/>
    <x v="77"/>
    <x v="23"/>
  </r>
  <r>
    <x v="2111"/>
    <x v="32"/>
    <x v="18"/>
    <x v="6"/>
    <x v="92"/>
    <x v="5"/>
    <x v="4"/>
    <x v="111"/>
    <x v="23"/>
  </r>
  <r>
    <x v="2112"/>
    <x v="18"/>
    <x v="1"/>
    <x v="6"/>
    <x v="19"/>
    <x v="1"/>
    <x v="10"/>
    <x v="82"/>
    <x v="23"/>
  </r>
  <r>
    <x v="1759"/>
    <x v="83"/>
    <x v="5"/>
    <x v="0"/>
    <x v="42"/>
    <x v="13"/>
    <x v="3"/>
    <x v="10"/>
    <x v="23"/>
  </r>
  <r>
    <x v="2113"/>
    <x v="19"/>
    <x v="1"/>
    <x v="6"/>
    <x v="14"/>
    <x v="8"/>
    <x v="6"/>
    <x v="103"/>
    <x v="23"/>
  </r>
  <r>
    <x v="2114"/>
    <x v="48"/>
    <x v="0"/>
    <x v="3"/>
    <x v="0"/>
    <x v="4"/>
    <x v="4"/>
    <x v="11"/>
    <x v="23"/>
  </r>
  <r>
    <x v="2115"/>
    <x v="21"/>
    <x v="1"/>
    <x v="6"/>
    <x v="62"/>
    <x v="0"/>
    <x v="0"/>
    <x v="52"/>
    <x v="23"/>
  </r>
  <r>
    <x v="2116"/>
    <x v="38"/>
    <x v="7"/>
    <x v="7"/>
    <x v="36"/>
    <x v="5"/>
    <x v="6"/>
    <x v="58"/>
    <x v="23"/>
  </r>
  <r>
    <x v="2117"/>
    <x v="7"/>
    <x v="3"/>
    <x v="9"/>
    <x v="4"/>
    <x v="2"/>
    <x v="3"/>
    <x v="30"/>
    <x v="23"/>
  </r>
  <r>
    <x v="2118"/>
    <x v="79"/>
    <x v="5"/>
    <x v="8"/>
    <x v="24"/>
    <x v="11"/>
    <x v="5"/>
    <x v="51"/>
    <x v="23"/>
  </r>
  <r>
    <x v="2119"/>
    <x v="64"/>
    <x v="11"/>
    <x v="6"/>
    <x v="117"/>
    <x v="2"/>
    <x v="3"/>
    <x v="145"/>
    <x v="23"/>
  </r>
  <r>
    <x v="2120"/>
    <x v="31"/>
    <x v="4"/>
    <x v="3"/>
    <x v="51"/>
    <x v="14"/>
    <x v="7"/>
    <x v="56"/>
    <x v="23"/>
  </r>
  <r>
    <x v="2121"/>
    <x v="66"/>
    <x v="13"/>
    <x v="4"/>
    <x v="8"/>
    <x v="11"/>
    <x v="9"/>
    <x v="12"/>
    <x v="23"/>
  </r>
  <r>
    <x v="2122"/>
    <x v="72"/>
    <x v="0"/>
    <x v="0"/>
    <x v="42"/>
    <x v="8"/>
    <x v="6"/>
    <x v="144"/>
    <x v="23"/>
  </r>
  <r>
    <x v="2123"/>
    <x v="22"/>
    <x v="18"/>
    <x v="3"/>
    <x v="15"/>
    <x v="2"/>
    <x v="3"/>
    <x v="3"/>
    <x v="23"/>
  </r>
  <r>
    <x v="2124"/>
    <x v="98"/>
    <x v="13"/>
    <x v="4"/>
    <x v="4"/>
    <x v="5"/>
    <x v="5"/>
    <x v="45"/>
    <x v="23"/>
  </r>
  <r>
    <x v="2125"/>
    <x v="75"/>
    <x v="11"/>
    <x v="6"/>
    <x v="45"/>
    <x v="2"/>
    <x v="4"/>
    <x v="35"/>
    <x v="23"/>
  </r>
  <r>
    <x v="2126"/>
    <x v="35"/>
    <x v="0"/>
    <x v="3"/>
    <x v="21"/>
    <x v="13"/>
    <x v="3"/>
    <x v="73"/>
    <x v="23"/>
  </r>
  <r>
    <x v="2127"/>
    <x v="9"/>
    <x v="3"/>
    <x v="2"/>
    <x v="82"/>
    <x v="0"/>
    <x v="9"/>
    <x v="205"/>
    <x v="23"/>
  </r>
  <r>
    <x v="2128"/>
    <x v="41"/>
    <x v="0"/>
    <x v="7"/>
    <x v="37"/>
    <x v="4"/>
    <x v="3"/>
    <x v="108"/>
    <x v="23"/>
  </r>
  <r>
    <x v="2129"/>
    <x v="17"/>
    <x v="10"/>
    <x v="6"/>
    <x v="62"/>
    <x v="8"/>
    <x v="4"/>
    <x v="45"/>
    <x v="23"/>
  </r>
  <r>
    <x v="2130"/>
    <x v="46"/>
    <x v="0"/>
    <x v="8"/>
    <x v="51"/>
    <x v="12"/>
    <x v="15"/>
    <x v="135"/>
    <x v="23"/>
  </r>
  <r>
    <x v="2131"/>
    <x v="36"/>
    <x v="9"/>
    <x v="3"/>
    <x v="0"/>
    <x v="2"/>
    <x v="0"/>
    <x v="43"/>
    <x v="23"/>
  </r>
  <r>
    <x v="2132"/>
    <x v="13"/>
    <x v="11"/>
    <x v="7"/>
    <x v="82"/>
    <x v="8"/>
    <x v="0"/>
    <x v="24"/>
    <x v="23"/>
  </r>
  <r>
    <x v="2133"/>
    <x v="45"/>
    <x v="0"/>
    <x v="12"/>
    <x v="21"/>
    <x v="8"/>
    <x v="9"/>
    <x v="6"/>
    <x v="23"/>
  </r>
  <r>
    <x v="2134"/>
    <x v="42"/>
    <x v="6"/>
    <x v="9"/>
    <x v="62"/>
    <x v="2"/>
    <x v="3"/>
    <x v="270"/>
    <x v="23"/>
  </r>
  <r>
    <x v="1238"/>
    <x v="28"/>
    <x v="1"/>
    <x v="6"/>
    <x v="62"/>
    <x v="6"/>
    <x v="3"/>
    <x v="10"/>
    <x v="23"/>
  </r>
  <r>
    <x v="2135"/>
    <x v="92"/>
    <x v="0"/>
    <x v="12"/>
    <x v="21"/>
    <x v="2"/>
    <x v="4"/>
    <x v="34"/>
    <x v="23"/>
  </r>
  <r>
    <x v="2136"/>
    <x v="99"/>
    <x v="1"/>
    <x v="7"/>
    <x v="22"/>
    <x v="9"/>
    <x v="7"/>
    <x v="157"/>
    <x v="23"/>
  </r>
  <r>
    <x v="2137"/>
    <x v="30"/>
    <x v="6"/>
    <x v="4"/>
    <x v="15"/>
    <x v="8"/>
    <x v="9"/>
    <x v="11"/>
    <x v="23"/>
  </r>
  <r>
    <x v="2138"/>
    <x v="65"/>
    <x v="4"/>
    <x v="6"/>
    <x v="51"/>
    <x v="2"/>
    <x v="4"/>
    <x v="82"/>
    <x v="23"/>
  </r>
  <r>
    <x v="2139"/>
    <x v="51"/>
    <x v="15"/>
    <x v="5"/>
    <x v="12"/>
    <x v="8"/>
    <x v="4"/>
    <x v="24"/>
    <x v="23"/>
  </r>
  <r>
    <x v="2140"/>
    <x v="26"/>
    <x v="4"/>
    <x v="0"/>
    <x v="21"/>
    <x v="0"/>
    <x v="0"/>
    <x v="228"/>
    <x v="23"/>
  </r>
  <r>
    <x v="2141"/>
    <x v="86"/>
    <x v="6"/>
    <x v="5"/>
    <x v="90"/>
    <x v="11"/>
    <x v="6"/>
    <x v="42"/>
    <x v="23"/>
  </r>
  <r>
    <x v="2142"/>
    <x v="24"/>
    <x v="6"/>
    <x v="5"/>
    <x v="105"/>
    <x v="1"/>
    <x v="0"/>
    <x v="77"/>
    <x v="23"/>
  </r>
  <r>
    <x v="2143"/>
    <x v="67"/>
    <x v="1"/>
    <x v="0"/>
    <x v="22"/>
    <x v="1"/>
    <x v="2"/>
    <x v="82"/>
    <x v="23"/>
  </r>
  <r>
    <x v="2144"/>
    <x v="58"/>
    <x v="1"/>
    <x v="0"/>
    <x v="14"/>
    <x v="4"/>
    <x v="3"/>
    <x v="53"/>
    <x v="23"/>
  </r>
  <r>
    <x v="2145"/>
    <x v="15"/>
    <x v="6"/>
    <x v="5"/>
    <x v="5"/>
    <x v="4"/>
    <x v="4"/>
    <x v="4"/>
    <x v="23"/>
  </r>
  <r>
    <x v="2146"/>
    <x v="10"/>
    <x v="18"/>
    <x v="3"/>
    <x v="90"/>
    <x v="11"/>
    <x v="1"/>
    <x v="7"/>
    <x v="23"/>
  </r>
  <r>
    <x v="2147"/>
    <x v="0"/>
    <x v="7"/>
    <x v="8"/>
    <x v="42"/>
    <x v="5"/>
    <x v="0"/>
    <x v="77"/>
    <x v="23"/>
  </r>
  <r>
    <x v="2148"/>
    <x v="84"/>
    <x v="4"/>
    <x v="5"/>
    <x v="42"/>
    <x v="8"/>
    <x v="0"/>
    <x v="145"/>
    <x v="23"/>
  </r>
  <r>
    <x v="2149"/>
    <x v="25"/>
    <x v="1"/>
    <x v="7"/>
    <x v="15"/>
    <x v="3"/>
    <x v="2"/>
    <x v="52"/>
    <x v="23"/>
  </r>
  <r>
    <x v="2150"/>
    <x v="69"/>
    <x v="9"/>
    <x v="8"/>
    <x v="0"/>
    <x v="5"/>
    <x v="5"/>
    <x v="150"/>
    <x v="23"/>
  </r>
  <r>
    <x v="2151"/>
    <x v="47"/>
    <x v="0"/>
    <x v="7"/>
    <x v="51"/>
    <x v="13"/>
    <x v="3"/>
    <x v="117"/>
    <x v="23"/>
  </r>
  <r>
    <x v="2152"/>
    <x v="85"/>
    <x v="0"/>
    <x v="3"/>
    <x v="36"/>
    <x v="3"/>
    <x v="6"/>
    <x v="285"/>
    <x v="23"/>
  </r>
  <r>
    <x v="2153"/>
    <x v="35"/>
    <x v="0"/>
    <x v="0"/>
    <x v="149"/>
    <x v="3"/>
    <x v="2"/>
    <x v="27"/>
    <x v="24"/>
  </r>
  <r>
    <x v="2154"/>
    <x v="58"/>
    <x v="2"/>
    <x v="9"/>
    <x v="40"/>
    <x v="7"/>
    <x v="2"/>
    <x v="51"/>
    <x v="24"/>
  </r>
  <r>
    <x v="2155"/>
    <x v="8"/>
    <x v="15"/>
    <x v="6"/>
    <x v="8"/>
    <x v="7"/>
    <x v="2"/>
    <x v="62"/>
    <x v="24"/>
  </r>
  <r>
    <x v="2156"/>
    <x v="24"/>
    <x v="6"/>
    <x v="6"/>
    <x v="158"/>
    <x v="0"/>
    <x v="0"/>
    <x v="7"/>
    <x v="24"/>
  </r>
  <r>
    <x v="2157"/>
    <x v="67"/>
    <x v="16"/>
    <x v="3"/>
    <x v="24"/>
    <x v="8"/>
    <x v="1"/>
    <x v="51"/>
    <x v="24"/>
  </r>
  <r>
    <x v="2158"/>
    <x v="22"/>
    <x v="11"/>
    <x v="5"/>
    <x v="12"/>
    <x v="2"/>
    <x v="4"/>
    <x v="71"/>
    <x v="24"/>
  </r>
  <r>
    <x v="2159"/>
    <x v="96"/>
    <x v="1"/>
    <x v="3"/>
    <x v="105"/>
    <x v="8"/>
    <x v="6"/>
    <x v="111"/>
    <x v="24"/>
  </r>
  <r>
    <x v="2160"/>
    <x v="31"/>
    <x v="12"/>
    <x v="0"/>
    <x v="0"/>
    <x v="14"/>
    <x v="13"/>
    <x v="286"/>
    <x v="24"/>
  </r>
  <r>
    <x v="2161"/>
    <x v="91"/>
    <x v="9"/>
    <x v="8"/>
    <x v="31"/>
    <x v="8"/>
    <x v="9"/>
    <x v="97"/>
    <x v="24"/>
  </r>
  <r>
    <x v="2162"/>
    <x v="30"/>
    <x v="0"/>
    <x v="7"/>
    <x v="21"/>
    <x v="11"/>
    <x v="5"/>
    <x v="15"/>
    <x v="24"/>
  </r>
  <r>
    <x v="2163"/>
    <x v="3"/>
    <x v="3"/>
    <x v="14"/>
    <x v="113"/>
    <x v="3"/>
    <x v="2"/>
    <x v="76"/>
    <x v="24"/>
  </r>
  <r>
    <x v="2164"/>
    <x v="36"/>
    <x v="12"/>
    <x v="13"/>
    <x v="37"/>
    <x v="0"/>
    <x v="0"/>
    <x v="82"/>
    <x v="24"/>
  </r>
  <r>
    <x v="2165"/>
    <x v="55"/>
    <x v="4"/>
    <x v="8"/>
    <x v="21"/>
    <x v="14"/>
    <x v="2"/>
    <x v="271"/>
    <x v="24"/>
  </r>
  <r>
    <x v="2166"/>
    <x v="98"/>
    <x v="3"/>
    <x v="4"/>
    <x v="12"/>
    <x v="11"/>
    <x v="0"/>
    <x v="43"/>
    <x v="24"/>
  </r>
  <r>
    <x v="2167"/>
    <x v="19"/>
    <x v="14"/>
    <x v="6"/>
    <x v="15"/>
    <x v="7"/>
    <x v="2"/>
    <x v="121"/>
    <x v="24"/>
  </r>
  <r>
    <x v="2168"/>
    <x v="40"/>
    <x v="2"/>
    <x v="6"/>
    <x v="8"/>
    <x v="11"/>
    <x v="1"/>
    <x v="144"/>
    <x v="24"/>
  </r>
  <r>
    <x v="2169"/>
    <x v="61"/>
    <x v="2"/>
    <x v="4"/>
    <x v="52"/>
    <x v="7"/>
    <x v="2"/>
    <x v="35"/>
    <x v="24"/>
  </r>
  <r>
    <x v="2170"/>
    <x v="79"/>
    <x v="12"/>
    <x v="3"/>
    <x v="125"/>
    <x v="15"/>
    <x v="11"/>
    <x v="29"/>
    <x v="24"/>
  </r>
  <r>
    <x v="2171"/>
    <x v="76"/>
    <x v="3"/>
    <x v="3"/>
    <x v="112"/>
    <x v="8"/>
    <x v="9"/>
    <x v="287"/>
    <x v="24"/>
  </r>
  <r>
    <x v="2172"/>
    <x v="26"/>
    <x v="12"/>
    <x v="3"/>
    <x v="43"/>
    <x v="11"/>
    <x v="0"/>
    <x v="288"/>
    <x v="24"/>
  </r>
  <r>
    <x v="2173"/>
    <x v="95"/>
    <x v="20"/>
    <x v="2"/>
    <x v="82"/>
    <x v="0"/>
    <x v="0"/>
    <x v="97"/>
    <x v="24"/>
  </r>
  <r>
    <x v="2174"/>
    <x v="34"/>
    <x v="11"/>
    <x v="6"/>
    <x v="45"/>
    <x v="1"/>
    <x v="1"/>
    <x v="103"/>
    <x v="24"/>
  </r>
  <r>
    <x v="2175"/>
    <x v="4"/>
    <x v="3"/>
    <x v="3"/>
    <x v="8"/>
    <x v="15"/>
    <x v="5"/>
    <x v="35"/>
    <x v="24"/>
  </r>
  <r>
    <x v="2176"/>
    <x v="38"/>
    <x v="8"/>
    <x v="7"/>
    <x v="76"/>
    <x v="17"/>
    <x v="17"/>
    <x v="16"/>
    <x v="24"/>
  </r>
  <r>
    <x v="2177"/>
    <x v="33"/>
    <x v="11"/>
    <x v="6"/>
    <x v="41"/>
    <x v="5"/>
    <x v="5"/>
    <x v="11"/>
    <x v="24"/>
  </r>
  <r>
    <x v="2178"/>
    <x v="13"/>
    <x v="2"/>
    <x v="5"/>
    <x v="47"/>
    <x v="14"/>
    <x v="12"/>
    <x v="0"/>
    <x v="24"/>
  </r>
  <r>
    <x v="2179"/>
    <x v="9"/>
    <x v="20"/>
    <x v="4"/>
    <x v="47"/>
    <x v="11"/>
    <x v="4"/>
    <x v="81"/>
    <x v="24"/>
  </r>
  <r>
    <x v="2180"/>
    <x v="83"/>
    <x v="5"/>
    <x v="8"/>
    <x v="54"/>
    <x v="8"/>
    <x v="1"/>
    <x v="71"/>
    <x v="24"/>
  </r>
  <r>
    <x v="2181"/>
    <x v="5"/>
    <x v="5"/>
    <x v="12"/>
    <x v="19"/>
    <x v="6"/>
    <x v="3"/>
    <x v="34"/>
    <x v="24"/>
  </r>
  <r>
    <x v="2182"/>
    <x v="41"/>
    <x v="6"/>
    <x v="4"/>
    <x v="5"/>
    <x v="5"/>
    <x v="10"/>
    <x v="22"/>
    <x v="24"/>
  </r>
  <r>
    <x v="2183"/>
    <x v="78"/>
    <x v="3"/>
    <x v="4"/>
    <x v="45"/>
    <x v="11"/>
    <x v="0"/>
    <x v="84"/>
    <x v="24"/>
  </r>
  <r>
    <x v="2184"/>
    <x v="82"/>
    <x v="3"/>
    <x v="6"/>
    <x v="82"/>
    <x v="4"/>
    <x v="3"/>
    <x v="11"/>
    <x v="24"/>
  </r>
  <r>
    <x v="2185"/>
    <x v="43"/>
    <x v="7"/>
    <x v="3"/>
    <x v="151"/>
    <x v="21"/>
    <x v="19"/>
    <x v="13"/>
    <x v="24"/>
  </r>
  <r>
    <x v="2186"/>
    <x v="47"/>
    <x v="0"/>
    <x v="5"/>
    <x v="19"/>
    <x v="0"/>
    <x v="0"/>
    <x v="32"/>
    <x v="24"/>
  </r>
  <r>
    <x v="2187"/>
    <x v="5"/>
    <x v="1"/>
    <x v="6"/>
    <x v="141"/>
    <x v="0"/>
    <x v="0"/>
    <x v="71"/>
    <x v="24"/>
  </r>
  <r>
    <x v="2188"/>
    <x v="70"/>
    <x v="12"/>
    <x v="8"/>
    <x v="58"/>
    <x v="0"/>
    <x v="3"/>
    <x v="0"/>
    <x v="24"/>
  </r>
  <r>
    <x v="2189"/>
    <x v="14"/>
    <x v="12"/>
    <x v="12"/>
    <x v="21"/>
    <x v="1"/>
    <x v="10"/>
    <x v="17"/>
    <x v="24"/>
  </r>
  <r>
    <x v="2190"/>
    <x v="89"/>
    <x v="12"/>
    <x v="11"/>
    <x v="58"/>
    <x v="2"/>
    <x v="3"/>
    <x v="92"/>
    <x v="24"/>
  </r>
  <r>
    <x v="2191"/>
    <x v="20"/>
    <x v="7"/>
    <x v="6"/>
    <x v="110"/>
    <x v="2"/>
    <x v="4"/>
    <x v="71"/>
    <x v="24"/>
  </r>
  <r>
    <x v="2192"/>
    <x v="23"/>
    <x v="1"/>
    <x v="6"/>
    <x v="71"/>
    <x v="3"/>
    <x v="10"/>
    <x v="289"/>
    <x v="24"/>
  </r>
  <r>
    <x v="2193"/>
    <x v="60"/>
    <x v="16"/>
    <x v="7"/>
    <x v="19"/>
    <x v="2"/>
    <x v="3"/>
    <x v="166"/>
    <x v="24"/>
  </r>
  <r>
    <x v="2194"/>
    <x v="39"/>
    <x v="6"/>
    <x v="5"/>
    <x v="121"/>
    <x v="2"/>
    <x v="0"/>
    <x v="101"/>
    <x v="24"/>
  </r>
  <r>
    <x v="2195"/>
    <x v="89"/>
    <x v="1"/>
    <x v="3"/>
    <x v="5"/>
    <x v="3"/>
    <x v="6"/>
    <x v="57"/>
    <x v="24"/>
  </r>
  <r>
    <x v="2196"/>
    <x v="12"/>
    <x v="12"/>
    <x v="12"/>
    <x v="51"/>
    <x v="12"/>
    <x v="15"/>
    <x v="36"/>
    <x v="24"/>
  </r>
  <r>
    <x v="2197"/>
    <x v="17"/>
    <x v="1"/>
    <x v="7"/>
    <x v="38"/>
    <x v="4"/>
    <x v="9"/>
    <x v="28"/>
    <x v="24"/>
  </r>
  <r>
    <x v="2198"/>
    <x v="59"/>
    <x v="1"/>
    <x v="3"/>
    <x v="75"/>
    <x v="11"/>
    <x v="6"/>
    <x v="6"/>
    <x v="24"/>
  </r>
  <r>
    <x v="2199"/>
    <x v="85"/>
    <x v="0"/>
    <x v="3"/>
    <x v="0"/>
    <x v="8"/>
    <x v="1"/>
    <x v="31"/>
    <x v="24"/>
  </r>
  <r>
    <x v="2200"/>
    <x v="72"/>
    <x v="4"/>
    <x v="0"/>
    <x v="59"/>
    <x v="1"/>
    <x v="10"/>
    <x v="11"/>
    <x v="24"/>
  </r>
  <r>
    <x v="2201"/>
    <x v="7"/>
    <x v="2"/>
    <x v="6"/>
    <x v="90"/>
    <x v="2"/>
    <x v="3"/>
    <x v="111"/>
    <x v="24"/>
  </r>
  <r>
    <x v="2202"/>
    <x v="84"/>
    <x v="4"/>
    <x v="0"/>
    <x v="21"/>
    <x v="7"/>
    <x v="7"/>
    <x v="2"/>
    <x v="24"/>
  </r>
  <r>
    <x v="2203"/>
    <x v="56"/>
    <x v="0"/>
    <x v="0"/>
    <x v="151"/>
    <x v="3"/>
    <x v="2"/>
    <x v="51"/>
    <x v="24"/>
  </r>
  <r>
    <x v="2204"/>
    <x v="6"/>
    <x v="2"/>
    <x v="5"/>
    <x v="92"/>
    <x v="8"/>
    <x v="9"/>
    <x v="190"/>
    <x v="24"/>
  </r>
  <r>
    <x v="2205"/>
    <x v="15"/>
    <x v="0"/>
    <x v="3"/>
    <x v="103"/>
    <x v="0"/>
    <x v="9"/>
    <x v="12"/>
    <x v="24"/>
  </r>
  <r>
    <x v="2206"/>
    <x v="77"/>
    <x v="3"/>
    <x v="6"/>
    <x v="81"/>
    <x v="0"/>
    <x v="0"/>
    <x v="28"/>
    <x v="24"/>
  </r>
  <r>
    <x v="2207"/>
    <x v="74"/>
    <x v="0"/>
    <x v="6"/>
    <x v="135"/>
    <x v="3"/>
    <x v="2"/>
    <x v="70"/>
    <x v="24"/>
  </r>
  <r>
    <x v="2208"/>
    <x v="49"/>
    <x v="12"/>
    <x v="8"/>
    <x v="54"/>
    <x v="11"/>
    <x v="5"/>
    <x v="28"/>
    <x v="24"/>
  </r>
  <r>
    <x v="2209"/>
    <x v="1"/>
    <x v="1"/>
    <x v="6"/>
    <x v="100"/>
    <x v="4"/>
    <x v="4"/>
    <x v="58"/>
    <x v="24"/>
  </r>
  <r>
    <x v="2210"/>
    <x v="63"/>
    <x v="0"/>
    <x v="12"/>
    <x v="58"/>
    <x v="8"/>
    <x v="0"/>
    <x v="121"/>
    <x v="24"/>
  </r>
  <r>
    <x v="2211"/>
    <x v="98"/>
    <x v="2"/>
    <x v="6"/>
    <x v="15"/>
    <x v="13"/>
    <x v="9"/>
    <x v="290"/>
    <x v="24"/>
  </r>
  <r>
    <x v="2212"/>
    <x v="94"/>
    <x v="12"/>
    <x v="8"/>
    <x v="42"/>
    <x v="7"/>
    <x v="2"/>
    <x v="32"/>
    <x v="24"/>
  </r>
  <r>
    <x v="2213"/>
    <x v="4"/>
    <x v="2"/>
    <x v="5"/>
    <x v="2"/>
    <x v="0"/>
    <x v="3"/>
    <x v="71"/>
    <x v="24"/>
  </r>
  <r>
    <x v="2214"/>
    <x v="62"/>
    <x v="11"/>
    <x v="4"/>
    <x v="93"/>
    <x v="0"/>
    <x v="3"/>
    <x v="178"/>
    <x v="24"/>
  </r>
  <r>
    <x v="2215"/>
    <x v="68"/>
    <x v="3"/>
    <x v="3"/>
    <x v="8"/>
    <x v="0"/>
    <x v="3"/>
    <x v="92"/>
    <x v="24"/>
  </r>
  <r>
    <x v="2216"/>
    <x v="66"/>
    <x v="12"/>
    <x v="7"/>
    <x v="24"/>
    <x v="8"/>
    <x v="3"/>
    <x v="32"/>
    <x v="24"/>
  </r>
  <r>
    <x v="2217"/>
    <x v="51"/>
    <x v="13"/>
    <x v="5"/>
    <x v="8"/>
    <x v="2"/>
    <x v="9"/>
    <x v="81"/>
    <x v="24"/>
  </r>
  <r>
    <x v="2218"/>
    <x v="46"/>
    <x v="0"/>
    <x v="0"/>
    <x v="24"/>
    <x v="21"/>
    <x v="17"/>
    <x v="7"/>
    <x v="24"/>
  </r>
  <r>
    <x v="2219"/>
    <x v="45"/>
    <x v="6"/>
    <x v="6"/>
    <x v="18"/>
    <x v="11"/>
    <x v="5"/>
    <x v="228"/>
    <x v="24"/>
  </r>
  <r>
    <x v="2220"/>
    <x v="87"/>
    <x v="6"/>
    <x v="4"/>
    <x v="101"/>
    <x v="11"/>
    <x v="9"/>
    <x v="13"/>
    <x v="24"/>
  </r>
  <r>
    <x v="2221"/>
    <x v="44"/>
    <x v="5"/>
    <x v="0"/>
    <x v="22"/>
    <x v="0"/>
    <x v="4"/>
    <x v="58"/>
    <x v="24"/>
  </r>
  <r>
    <x v="2222"/>
    <x v="99"/>
    <x v="3"/>
    <x v="4"/>
    <x v="45"/>
    <x v="2"/>
    <x v="3"/>
    <x v="125"/>
    <x v="24"/>
  </r>
  <r>
    <x v="2223"/>
    <x v="75"/>
    <x v="5"/>
    <x v="8"/>
    <x v="24"/>
    <x v="2"/>
    <x v="3"/>
    <x v="156"/>
    <x v="24"/>
  </r>
  <r>
    <x v="2224"/>
    <x v="50"/>
    <x v="3"/>
    <x v="9"/>
    <x v="4"/>
    <x v="2"/>
    <x v="3"/>
    <x v="28"/>
    <x v="24"/>
  </r>
  <r>
    <x v="2225"/>
    <x v="10"/>
    <x v="22"/>
    <x v="3"/>
    <x v="80"/>
    <x v="8"/>
    <x v="1"/>
    <x v="116"/>
    <x v="24"/>
  </r>
  <r>
    <x v="2226"/>
    <x v="93"/>
    <x v="5"/>
    <x v="17"/>
    <x v="37"/>
    <x v="0"/>
    <x v="0"/>
    <x v="16"/>
    <x v="24"/>
  </r>
  <r>
    <x v="2227"/>
    <x v="1"/>
    <x v="0"/>
    <x v="3"/>
    <x v="60"/>
    <x v="6"/>
    <x v="3"/>
    <x v="24"/>
    <x v="24"/>
  </r>
  <r>
    <x v="2228"/>
    <x v="18"/>
    <x v="1"/>
    <x v="6"/>
    <x v="15"/>
    <x v="2"/>
    <x v="0"/>
    <x v="28"/>
    <x v="24"/>
  </r>
  <r>
    <x v="2229"/>
    <x v="72"/>
    <x v="8"/>
    <x v="3"/>
    <x v="125"/>
    <x v="8"/>
    <x v="9"/>
    <x v="82"/>
    <x v="24"/>
  </r>
  <r>
    <x v="2230"/>
    <x v="81"/>
    <x v="4"/>
    <x v="7"/>
    <x v="59"/>
    <x v="2"/>
    <x v="4"/>
    <x v="6"/>
    <x v="24"/>
  </r>
  <r>
    <x v="2231"/>
    <x v="65"/>
    <x v="5"/>
    <x v="12"/>
    <x v="24"/>
    <x v="7"/>
    <x v="7"/>
    <x v="18"/>
    <x v="24"/>
  </r>
  <r>
    <x v="2232"/>
    <x v="71"/>
    <x v="0"/>
    <x v="7"/>
    <x v="39"/>
    <x v="8"/>
    <x v="9"/>
    <x v="72"/>
    <x v="24"/>
  </r>
  <r>
    <x v="2233"/>
    <x v="66"/>
    <x v="3"/>
    <x v="3"/>
    <x v="99"/>
    <x v="8"/>
    <x v="9"/>
    <x v="131"/>
    <x v="24"/>
  </r>
  <r>
    <x v="2234"/>
    <x v="54"/>
    <x v="4"/>
    <x v="6"/>
    <x v="30"/>
    <x v="0"/>
    <x v="1"/>
    <x v="9"/>
    <x v="24"/>
  </r>
  <r>
    <x v="2235"/>
    <x v="57"/>
    <x v="17"/>
    <x v="7"/>
    <x v="9"/>
    <x v="0"/>
    <x v="1"/>
    <x v="71"/>
    <x v="24"/>
  </r>
  <r>
    <x v="2236"/>
    <x v="2"/>
    <x v="2"/>
    <x v="4"/>
    <x v="28"/>
    <x v="1"/>
    <x v="5"/>
    <x v="22"/>
    <x v="24"/>
  </r>
  <r>
    <x v="2237"/>
    <x v="53"/>
    <x v="3"/>
    <x v="3"/>
    <x v="12"/>
    <x v="11"/>
    <x v="6"/>
    <x v="62"/>
    <x v="24"/>
  </r>
  <r>
    <x v="2238"/>
    <x v="18"/>
    <x v="7"/>
    <x v="7"/>
    <x v="43"/>
    <x v="2"/>
    <x v="3"/>
    <x v="85"/>
    <x v="24"/>
  </r>
  <r>
    <x v="2239"/>
    <x v="37"/>
    <x v="8"/>
    <x v="7"/>
    <x v="88"/>
    <x v="2"/>
    <x v="4"/>
    <x v="28"/>
    <x v="24"/>
  </r>
  <r>
    <x v="2240"/>
    <x v="5"/>
    <x v="1"/>
    <x v="6"/>
    <x v="105"/>
    <x v="14"/>
    <x v="11"/>
    <x v="46"/>
    <x v="24"/>
  </r>
  <r>
    <x v="19"/>
    <x v="48"/>
    <x v="6"/>
    <x v="9"/>
    <x v="18"/>
    <x v="5"/>
    <x v="6"/>
    <x v="18"/>
    <x v="24"/>
  </r>
  <r>
    <x v="2241"/>
    <x v="75"/>
    <x v="1"/>
    <x v="6"/>
    <x v="90"/>
    <x v="14"/>
    <x v="11"/>
    <x v="71"/>
    <x v="24"/>
  </r>
  <r>
    <x v="2242"/>
    <x v="84"/>
    <x v="0"/>
    <x v="7"/>
    <x v="21"/>
    <x v="5"/>
    <x v="3"/>
    <x v="2"/>
    <x v="25"/>
  </r>
  <r>
    <x v="2243"/>
    <x v="53"/>
    <x v="3"/>
    <x v="5"/>
    <x v="102"/>
    <x v="2"/>
    <x v="4"/>
    <x v="29"/>
    <x v="25"/>
  </r>
  <r>
    <x v="2244"/>
    <x v="63"/>
    <x v="6"/>
    <x v="3"/>
    <x v="77"/>
    <x v="8"/>
    <x v="1"/>
    <x v="51"/>
    <x v="25"/>
  </r>
  <r>
    <x v="2245"/>
    <x v="98"/>
    <x v="20"/>
    <x v="6"/>
    <x v="115"/>
    <x v="2"/>
    <x v="9"/>
    <x v="127"/>
    <x v="25"/>
  </r>
  <r>
    <x v="2246"/>
    <x v="32"/>
    <x v="18"/>
    <x v="6"/>
    <x v="141"/>
    <x v="11"/>
    <x v="5"/>
    <x v="30"/>
    <x v="25"/>
  </r>
  <r>
    <x v="2247"/>
    <x v="84"/>
    <x v="4"/>
    <x v="8"/>
    <x v="103"/>
    <x v="2"/>
    <x v="3"/>
    <x v="98"/>
    <x v="25"/>
  </r>
  <r>
    <x v="2248"/>
    <x v="59"/>
    <x v="9"/>
    <x v="7"/>
    <x v="125"/>
    <x v="2"/>
    <x v="3"/>
    <x v="55"/>
    <x v="25"/>
  </r>
  <r>
    <x v="2249"/>
    <x v="29"/>
    <x v="4"/>
    <x v="7"/>
    <x v="42"/>
    <x v="1"/>
    <x v="10"/>
    <x v="132"/>
    <x v="25"/>
  </r>
  <r>
    <x v="2250"/>
    <x v="75"/>
    <x v="1"/>
    <x v="7"/>
    <x v="62"/>
    <x v="8"/>
    <x v="0"/>
    <x v="77"/>
    <x v="25"/>
  </r>
  <r>
    <x v="2251"/>
    <x v="19"/>
    <x v="5"/>
    <x v="8"/>
    <x v="54"/>
    <x v="2"/>
    <x v="3"/>
    <x v="58"/>
    <x v="25"/>
  </r>
  <r>
    <x v="2252"/>
    <x v="0"/>
    <x v="0"/>
    <x v="7"/>
    <x v="114"/>
    <x v="8"/>
    <x v="1"/>
    <x v="140"/>
    <x v="25"/>
  </r>
  <r>
    <x v="2253"/>
    <x v="41"/>
    <x v="0"/>
    <x v="3"/>
    <x v="13"/>
    <x v="8"/>
    <x v="0"/>
    <x v="41"/>
    <x v="25"/>
  </r>
  <r>
    <x v="2254"/>
    <x v="21"/>
    <x v="6"/>
    <x v="5"/>
    <x v="62"/>
    <x v="2"/>
    <x v="3"/>
    <x v="21"/>
    <x v="25"/>
  </r>
  <r>
    <x v="2255"/>
    <x v="94"/>
    <x v="9"/>
    <x v="0"/>
    <x v="0"/>
    <x v="11"/>
    <x v="4"/>
    <x v="91"/>
    <x v="25"/>
  </r>
  <r>
    <x v="2256"/>
    <x v="9"/>
    <x v="13"/>
    <x v="4"/>
    <x v="33"/>
    <x v="3"/>
    <x v="10"/>
    <x v="29"/>
    <x v="25"/>
  </r>
  <r>
    <x v="2257"/>
    <x v="27"/>
    <x v="0"/>
    <x v="11"/>
    <x v="147"/>
    <x v="8"/>
    <x v="3"/>
    <x v="61"/>
    <x v="25"/>
  </r>
  <r>
    <x v="2258"/>
    <x v="2"/>
    <x v="11"/>
    <x v="5"/>
    <x v="12"/>
    <x v="9"/>
    <x v="13"/>
    <x v="131"/>
    <x v="25"/>
  </r>
  <r>
    <x v="2259"/>
    <x v="22"/>
    <x v="11"/>
    <x v="9"/>
    <x v="226"/>
    <x v="4"/>
    <x v="3"/>
    <x v="62"/>
    <x v="25"/>
  </r>
  <r>
    <x v="2260"/>
    <x v="71"/>
    <x v="1"/>
    <x v="8"/>
    <x v="133"/>
    <x v="6"/>
    <x v="3"/>
    <x v="62"/>
    <x v="25"/>
  </r>
  <r>
    <x v="2261"/>
    <x v="50"/>
    <x v="20"/>
    <x v="9"/>
    <x v="23"/>
    <x v="2"/>
    <x v="4"/>
    <x v="71"/>
    <x v="25"/>
  </r>
  <r>
    <x v="2262"/>
    <x v="3"/>
    <x v="13"/>
    <x v="4"/>
    <x v="47"/>
    <x v="11"/>
    <x v="1"/>
    <x v="103"/>
    <x v="25"/>
  </r>
  <r>
    <x v="2263"/>
    <x v="82"/>
    <x v="13"/>
    <x v="4"/>
    <x v="115"/>
    <x v="8"/>
    <x v="0"/>
    <x v="17"/>
    <x v="25"/>
  </r>
  <r>
    <x v="2264"/>
    <x v="97"/>
    <x v="20"/>
    <x v="4"/>
    <x v="33"/>
    <x v="4"/>
    <x v="3"/>
    <x v="5"/>
    <x v="25"/>
  </r>
  <r>
    <x v="2265"/>
    <x v="25"/>
    <x v="1"/>
    <x v="7"/>
    <x v="75"/>
    <x v="8"/>
    <x v="1"/>
    <x v="18"/>
    <x v="25"/>
  </r>
  <r>
    <x v="2266"/>
    <x v="55"/>
    <x v="8"/>
    <x v="13"/>
    <x v="227"/>
    <x v="5"/>
    <x v="5"/>
    <x v="168"/>
    <x v="25"/>
  </r>
  <r>
    <x v="2267"/>
    <x v="70"/>
    <x v="1"/>
    <x v="6"/>
    <x v="9"/>
    <x v="2"/>
    <x v="9"/>
    <x v="238"/>
    <x v="25"/>
  </r>
  <r>
    <x v="2268"/>
    <x v="76"/>
    <x v="11"/>
    <x v="5"/>
    <x v="128"/>
    <x v="2"/>
    <x v="3"/>
    <x v="238"/>
    <x v="25"/>
  </r>
  <r>
    <x v="2269"/>
    <x v="79"/>
    <x v="9"/>
    <x v="0"/>
    <x v="149"/>
    <x v="11"/>
    <x v="1"/>
    <x v="152"/>
    <x v="25"/>
  </r>
  <r>
    <x v="2270"/>
    <x v="62"/>
    <x v="1"/>
    <x v="3"/>
    <x v="5"/>
    <x v="2"/>
    <x v="3"/>
    <x v="45"/>
    <x v="25"/>
  </r>
  <r>
    <x v="2271"/>
    <x v="56"/>
    <x v="5"/>
    <x v="13"/>
    <x v="0"/>
    <x v="2"/>
    <x v="4"/>
    <x v="168"/>
    <x v="25"/>
  </r>
  <r>
    <x v="2272"/>
    <x v="48"/>
    <x v="6"/>
    <x v="4"/>
    <x v="63"/>
    <x v="5"/>
    <x v="6"/>
    <x v="156"/>
    <x v="25"/>
  </r>
  <r>
    <x v="2273"/>
    <x v="12"/>
    <x v="4"/>
    <x v="0"/>
    <x v="156"/>
    <x v="4"/>
    <x v="3"/>
    <x v="41"/>
    <x v="25"/>
  </r>
  <r>
    <x v="2274"/>
    <x v="11"/>
    <x v="4"/>
    <x v="7"/>
    <x v="156"/>
    <x v="0"/>
    <x v="4"/>
    <x v="12"/>
    <x v="25"/>
  </r>
  <r>
    <x v="2275"/>
    <x v="18"/>
    <x v="18"/>
    <x v="3"/>
    <x v="92"/>
    <x v="12"/>
    <x v="15"/>
    <x v="28"/>
    <x v="25"/>
  </r>
  <r>
    <x v="2276"/>
    <x v="59"/>
    <x v="0"/>
    <x v="0"/>
    <x v="65"/>
    <x v="0"/>
    <x v="9"/>
    <x v="76"/>
    <x v="25"/>
  </r>
  <r>
    <x v="2277"/>
    <x v="6"/>
    <x v="11"/>
    <x v="3"/>
    <x v="45"/>
    <x v="3"/>
    <x v="10"/>
    <x v="104"/>
    <x v="25"/>
  </r>
  <r>
    <x v="2278"/>
    <x v="65"/>
    <x v="9"/>
    <x v="7"/>
    <x v="13"/>
    <x v="7"/>
    <x v="2"/>
    <x v="96"/>
    <x v="25"/>
  </r>
  <r>
    <x v="2279"/>
    <x v="15"/>
    <x v="0"/>
    <x v="3"/>
    <x v="21"/>
    <x v="11"/>
    <x v="4"/>
    <x v="95"/>
    <x v="25"/>
  </r>
  <r>
    <x v="2280"/>
    <x v="12"/>
    <x v="5"/>
    <x v="13"/>
    <x v="86"/>
    <x v="0"/>
    <x v="4"/>
    <x v="276"/>
    <x v="25"/>
  </r>
  <r>
    <x v="2281"/>
    <x v="74"/>
    <x v="7"/>
    <x v="7"/>
    <x v="16"/>
    <x v="2"/>
    <x v="0"/>
    <x v="58"/>
    <x v="25"/>
  </r>
  <r>
    <x v="2282"/>
    <x v="78"/>
    <x v="18"/>
    <x v="3"/>
    <x v="146"/>
    <x v="0"/>
    <x v="4"/>
    <x v="124"/>
    <x v="25"/>
  </r>
  <r>
    <x v="2283"/>
    <x v="86"/>
    <x v="6"/>
    <x v="2"/>
    <x v="101"/>
    <x v="0"/>
    <x v="4"/>
    <x v="127"/>
    <x v="25"/>
  </r>
  <r>
    <x v="2284"/>
    <x v="44"/>
    <x v="4"/>
    <x v="8"/>
    <x v="21"/>
    <x v="0"/>
    <x v="3"/>
    <x v="71"/>
    <x v="25"/>
  </r>
  <r>
    <x v="2285"/>
    <x v="4"/>
    <x v="13"/>
    <x v="9"/>
    <x v="4"/>
    <x v="14"/>
    <x v="11"/>
    <x v="58"/>
    <x v="25"/>
  </r>
  <r>
    <x v="2286"/>
    <x v="5"/>
    <x v="1"/>
    <x v="0"/>
    <x v="14"/>
    <x v="0"/>
    <x v="3"/>
    <x v="138"/>
    <x v="25"/>
  </r>
  <r>
    <x v="2287"/>
    <x v="10"/>
    <x v="1"/>
    <x v="3"/>
    <x v="18"/>
    <x v="0"/>
    <x v="4"/>
    <x v="146"/>
    <x v="25"/>
  </r>
  <r>
    <x v="2288"/>
    <x v="1"/>
    <x v="3"/>
    <x v="6"/>
    <x v="61"/>
    <x v="4"/>
    <x v="3"/>
    <x v="137"/>
    <x v="25"/>
  </r>
  <r>
    <x v="2289"/>
    <x v="60"/>
    <x v="15"/>
    <x v="6"/>
    <x v="93"/>
    <x v="12"/>
    <x v="12"/>
    <x v="88"/>
    <x v="25"/>
  </r>
  <r>
    <x v="2290"/>
    <x v="68"/>
    <x v="18"/>
    <x v="2"/>
    <x v="44"/>
    <x v="7"/>
    <x v="9"/>
    <x v="50"/>
    <x v="25"/>
  </r>
  <r>
    <x v="2291"/>
    <x v="17"/>
    <x v="14"/>
    <x v="3"/>
    <x v="101"/>
    <x v="3"/>
    <x v="5"/>
    <x v="171"/>
    <x v="25"/>
  </r>
  <r>
    <x v="2292"/>
    <x v="31"/>
    <x v="4"/>
    <x v="13"/>
    <x v="98"/>
    <x v="11"/>
    <x v="6"/>
    <x v="38"/>
    <x v="25"/>
  </r>
  <r>
    <x v="2293"/>
    <x v="51"/>
    <x v="13"/>
    <x v="14"/>
    <x v="228"/>
    <x v="8"/>
    <x v="6"/>
    <x v="211"/>
    <x v="25"/>
  </r>
  <r>
    <x v="2294"/>
    <x v="27"/>
    <x v="9"/>
    <x v="0"/>
    <x v="24"/>
    <x v="0"/>
    <x v="9"/>
    <x v="71"/>
    <x v="25"/>
  </r>
  <r>
    <x v="2295"/>
    <x v="83"/>
    <x v="4"/>
    <x v="0"/>
    <x v="37"/>
    <x v="0"/>
    <x v="4"/>
    <x v="284"/>
    <x v="25"/>
  </r>
  <r>
    <x v="2296"/>
    <x v="36"/>
    <x v="4"/>
    <x v="8"/>
    <x v="59"/>
    <x v="0"/>
    <x v="4"/>
    <x v="29"/>
    <x v="25"/>
  </r>
  <r>
    <x v="2297"/>
    <x v="20"/>
    <x v="7"/>
    <x v="7"/>
    <x v="19"/>
    <x v="11"/>
    <x v="1"/>
    <x v="103"/>
    <x v="25"/>
  </r>
  <r>
    <x v="2298"/>
    <x v="21"/>
    <x v="4"/>
    <x v="8"/>
    <x v="60"/>
    <x v="11"/>
    <x v="1"/>
    <x v="86"/>
    <x v="25"/>
  </r>
  <r>
    <x v="2299"/>
    <x v="64"/>
    <x v="20"/>
    <x v="5"/>
    <x v="45"/>
    <x v="8"/>
    <x v="0"/>
    <x v="175"/>
    <x v="25"/>
  </r>
  <r>
    <x v="2300"/>
    <x v="49"/>
    <x v="0"/>
    <x v="3"/>
    <x v="36"/>
    <x v="5"/>
    <x v="6"/>
    <x v="171"/>
    <x v="25"/>
  </r>
  <r>
    <x v="2301"/>
    <x v="46"/>
    <x v="0"/>
    <x v="8"/>
    <x v="10"/>
    <x v="2"/>
    <x v="0"/>
    <x v="54"/>
    <x v="25"/>
  </r>
  <r>
    <x v="2302"/>
    <x v="67"/>
    <x v="1"/>
    <x v="7"/>
    <x v="62"/>
    <x v="5"/>
    <x v="5"/>
    <x v="77"/>
    <x v="25"/>
  </r>
  <r>
    <x v="2303"/>
    <x v="45"/>
    <x v="6"/>
    <x v="5"/>
    <x v="158"/>
    <x v="7"/>
    <x v="10"/>
    <x v="69"/>
    <x v="25"/>
  </r>
  <r>
    <x v="2304"/>
    <x v="81"/>
    <x v="5"/>
    <x v="8"/>
    <x v="116"/>
    <x v="8"/>
    <x v="1"/>
    <x v="10"/>
    <x v="25"/>
  </r>
  <r>
    <x v="2305"/>
    <x v="73"/>
    <x v="5"/>
    <x v="17"/>
    <x v="125"/>
    <x v="5"/>
    <x v="1"/>
    <x v="150"/>
    <x v="25"/>
  </r>
  <r>
    <x v="2306"/>
    <x v="54"/>
    <x v="4"/>
    <x v="13"/>
    <x v="37"/>
    <x v="2"/>
    <x v="0"/>
    <x v="13"/>
    <x v="25"/>
  </r>
  <r>
    <x v="2307"/>
    <x v="16"/>
    <x v="20"/>
    <x v="5"/>
    <x v="61"/>
    <x v="1"/>
    <x v="10"/>
    <x v="105"/>
    <x v="25"/>
  </r>
  <r>
    <x v="2308"/>
    <x v="76"/>
    <x v="20"/>
    <x v="9"/>
    <x v="4"/>
    <x v="0"/>
    <x v="3"/>
    <x v="39"/>
    <x v="25"/>
  </r>
  <r>
    <x v="2309"/>
    <x v="37"/>
    <x v="7"/>
    <x v="5"/>
    <x v="19"/>
    <x v="8"/>
    <x v="4"/>
    <x v="14"/>
    <x v="25"/>
  </r>
  <r>
    <x v="2310"/>
    <x v="96"/>
    <x v="16"/>
    <x v="3"/>
    <x v="30"/>
    <x v="3"/>
    <x v="4"/>
    <x v="17"/>
    <x v="25"/>
  </r>
  <r>
    <x v="2311"/>
    <x v="72"/>
    <x v="4"/>
    <x v="0"/>
    <x v="21"/>
    <x v="9"/>
    <x v="11"/>
    <x v="131"/>
    <x v="25"/>
  </r>
  <r>
    <x v="2312"/>
    <x v="38"/>
    <x v="0"/>
    <x v="0"/>
    <x v="89"/>
    <x v="2"/>
    <x v="4"/>
    <x v="71"/>
    <x v="25"/>
  </r>
  <r>
    <x v="2313"/>
    <x v="57"/>
    <x v="1"/>
    <x v="7"/>
    <x v="76"/>
    <x v="0"/>
    <x v="9"/>
    <x v="11"/>
    <x v="25"/>
  </r>
  <r>
    <x v="2314"/>
    <x v="80"/>
    <x v="6"/>
    <x v="5"/>
    <x v="100"/>
    <x v="0"/>
    <x v="4"/>
    <x v="137"/>
    <x v="25"/>
  </r>
  <r>
    <x v="2315"/>
    <x v="96"/>
    <x v="7"/>
    <x v="6"/>
    <x v="114"/>
    <x v="4"/>
    <x v="3"/>
    <x v="215"/>
    <x v="25"/>
  </r>
  <r>
    <x v="2316"/>
    <x v="58"/>
    <x v="18"/>
    <x v="4"/>
    <x v="92"/>
    <x v="8"/>
    <x v="6"/>
    <x v="73"/>
    <x v="25"/>
  </r>
  <r>
    <x v="2317"/>
    <x v="26"/>
    <x v="9"/>
    <x v="7"/>
    <x v="36"/>
    <x v="7"/>
    <x v="2"/>
    <x v="132"/>
    <x v="25"/>
  </r>
  <r>
    <x v="2318"/>
    <x v="89"/>
    <x v="1"/>
    <x v="7"/>
    <x v="22"/>
    <x v="2"/>
    <x v="0"/>
    <x v="81"/>
    <x v="25"/>
  </r>
  <r>
    <x v="2319"/>
    <x v="47"/>
    <x v="6"/>
    <x v="5"/>
    <x v="145"/>
    <x v="8"/>
    <x v="4"/>
    <x v="105"/>
    <x v="25"/>
  </r>
  <r>
    <x v="2320"/>
    <x v="7"/>
    <x v="13"/>
    <x v="9"/>
    <x v="99"/>
    <x v="8"/>
    <x v="1"/>
    <x v="180"/>
    <x v="25"/>
  </r>
  <r>
    <x v="2321"/>
    <x v="34"/>
    <x v="11"/>
    <x v="3"/>
    <x v="3"/>
    <x v="2"/>
    <x v="4"/>
    <x v="27"/>
    <x v="25"/>
  </r>
  <r>
    <x v="2322"/>
    <x v="91"/>
    <x v="4"/>
    <x v="12"/>
    <x v="88"/>
    <x v="2"/>
    <x v="4"/>
    <x v="11"/>
    <x v="25"/>
  </r>
  <r>
    <x v="2323"/>
    <x v="93"/>
    <x v="9"/>
    <x v="8"/>
    <x v="24"/>
    <x v="8"/>
    <x v="0"/>
    <x v="41"/>
    <x v="25"/>
  </r>
  <r>
    <x v="2324"/>
    <x v="30"/>
    <x v="0"/>
    <x v="8"/>
    <x v="21"/>
    <x v="5"/>
    <x v="1"/>
    <x v="92"/>
    <x v="25"/>
  </r>
  <r>
    <x v="2325"/>
    <x v="85"/>
    <x v="0"/>
    <x v="0"/>
    <x v="86"/>
    <x v="0"/>
    <x v="0"/>
    <x v="46"/>
    <x v="25"/>
  </r>
  <r>
    <x v="2326"/>
    <x v="44"/>
    <x v="0"/>
    <x v="7"/>
    <x v="65"/>
    <x v="2"/>
    <x v="3"/>
    <x v="3"/>
    <x v="25"/>
  </r>
  <r>
    <x v="2327"/>
    <x v="42"/>
    <x v="1"/>
    <x v="3"/>
    <x v="66"/>
    <x v="11"/>
    <x v="6"/>
    <x v="43"/>
    <x v="25"/>
  </r>
  <r>
    <x v="2328"/>
    <x v="66"/>
    <x v="13"/>
    <x v="9"/>
    <x v="4"/>
    <x v="8"/>
    <x v="3"/>
    <x v="108"/>
    <x v="25"/>
  </r>
  <r>
    <x v="2329"/>
    <x v="13"/>
    <x v="11"/>
    <x v="6"/>
    <x v="2"/>
    <x v="2"/>
    <x v="4"/>
    <x v="150"/>
    <x v="25"/>
  </r>
  <r>
    <x v="2330"/>
    <x v="97"/>
    <x v="11"/>
    <x v="5"/>
    <x v="61"/>
    <x v="2"/>
    <x v="9"/>
    <x v="73"/>
    <x v="25"/>
  </r>
  <r>
    <x v="2331"/>
    <x v="61"/>
    <x v="11"/>
    <x v="4"/>
    <x v="52"/>
    <x v="11"/>
    <x v="0"/>
    <x v="0"/>
    <x v="25"/>
  </r>
  <r>
    <x v="2332"/>
    <x v="79"/>
    <x v="5"/>
    <x v="13"/>
    <x v="125"/>
    <x v="3"/>
    <x v="2"/>
    <x v="137"/>
    <x v="26"/>
  </r>
  <r>
    <x v="2333"/>
    <x v="29"/>
    <x v="9"/>
    <x v="0"/>
    <x v="24"/>
    <x v="8"/>
    <x v="1"/>
    <x v="131"/>
    <x v="26"/>
  </r>
  <r>
    <x v="2334"/>
    <x v="71"/>
    <x v="0"/>
    <x v="7"/>
    <x v="36"/>
    <x v="3"/>
    <x v="7"/>
    <x v="3"/>
    <x v="26"/>
  </r>
  <r>
    <x v="2335"/>
    <x v="31"/>
    <x v="4"/>
    <x v="8"/>
    <x v="37"/>
    <x v="5"/>
    <x v="6"/>
    <x v="71"/>
    <x v="26"/>
  </r>
  <r>
    <x v="2336"/>
    <x v="7"/>
    <x v="3"/>
    <x v="4"/>
    <x v="218"/>
    <x v="11"/>
    <x v="1"/>
    <x v="4"/>
    <x v="26"/>
  </r>
  <r>
    <x v="2337"/>
    <x v="64"/>
    <x v="13"/>
    <x v="2"/>
    <x v="144"/>
    <x v="11"/>
    <x v="1"/>
    <x v="61"/>
    <x v="26"/>
  </r>
  <r>
    <x v="2338"/>
    <x v="6"/>
    <x v="11"/>
    <x v="7"/>
    <x v="41"/>
    <x v="5"/>
    <x v="5"/>
    <x v="24"/>
    <x v="26"/>
  </r>
  <r>
    <x v="2339"/>
    <x v="91"/>
    <x v="5"/>
    <x v="8"/>
    <x v="43"/>
    <x v="14"/>
    <x v="11"/>
    <x v="140"/>
    <x v="26"/>
  </r>
  <r>
    <x v="2340"/>
    <x v="32"/>
    <x v="18"/>
    <x v="4"/>
    <x v="5"/>
    <x v="5"/>
    <x v="6"/>
    <x v="11"/>
    <x v="26"/>
  </r>
  <r>
    <x v="2341"/>
    <x v="15"/>
    <x v="6"/>
    <x v="5"/>
    <x v="92"/>
    <x v="11"/>
    <x v="4"/>
    <x v="10"/>
    <x v="26"/>
  </r>
  <r>
    <x v="2342"/>
    <x v="44"/>
    <x v="5"/>
    <x v="7"/>
    <x v="24"/>
    <x v="0"/>
    <x v="3"/>
    <x v="7"/>
    <x v="26"/>
  </r>
  <r>
    <x v="2343"/>
    <x v="59"/>
    <x v="4"/>
    <x v="0"/>
    <x v="37"/>
    <x v="0"/>
    <x v="9"/>
    <x v="228"/>
    <x v="26"/>
  </r>
  <r>
    <x v="2344"/>
    <x v="99"/>
    <x v="1"/>
    <x v="0"/>
    <x v="114"/>
    <x v="5"/>
    <x v="5"/>
    <x v="7"/>
    <x v="26"/>
  </r>
  <r>
    <x v="2345"/>
    <x v="5"/>
    <x v="1"/>
    <x v="12"/>
    <x v="85"/>
    <x v="4"/>
    <x v="3"/>
    <x v="0"/>
    <x v="26"/>
  </r>
  <r>
    <x v="2346"/>
    <x v="97"/>
    <x v="11"/>
    <x v="5"/>
    <x v="93"/>
    <x v="2"/>
    <x v="3"/>
    <x v="30"/>
    <x v="26"/>
  </r>
  <r>
    <x v="2347"/>
    <x v="72"/>
    <x v="8"/>
    <x v="4"/>
    <x v="36"/>
    <x v="5"/>
    <x v="6"/>
    <x v="17"/>
    <x v="26"/>
  </r>
  <r>
    <x v="2348"/>
    <x v="55"/>
    <x v="7"/>
    <x v="6"/>
    <x v="42"/>
    <x v="9"/>
    <x v="7"/>
    <x v="3"/>
    <x v="26"/>
  </r>
  <r>
    <x v="2349"/>
    <x v="38"/>
    <x v="16"/>
    <x v="5"/>
    <x v="43"/>
    <x v="11"/>
    <x v="1"/>
    <x v="31"/>
    <x v="26"/>
  </r>
  <r>
    <x v="2350"/>
    <x v="30"/>
    <x v="0"/>
    <x v="7"/>
    <x v="65"/>
    <x v="3"/>
    <x v="5"/>
    <x v="291"/>
    <x v="26"/>
  </r>
  <r>
    <x v="2351"/>
    <x v="93"/>
    <x v="9"/>
    <x v="0"/>
    <x v="125"/>
    <x v="2"/>
    <x v="3"/>
    <x v="70"/>
    <x v="26"/>
  </r>
  <r>
    <x v="2352"/>
    <x v="39"/>
    <x v="4"/>
    <x v="12"/>
    <x v="50"/>
    <x v="2"/>
    <x v="3"/>
    <x v="78"/>
    <x v="26"/>
  </r>
  <r>
    <x v="2353"/>
    <x v="66"/>
    <x v="20"/>
    <x v="5"/>
    <x v="96"/>
    <x v="11"/>
    <x v="9"/>
    <x v="71"/>
    <x v="26"/>
  </r>
  <r>
    <x v="2354"/>
    <x v="61"/>
    <x v="18"/>
    <x v="4"/>
    <x v="105"/>
    <x v="0"/>
    <x v="1"/>
    <x v="166"/>
    <x v="26"/>
  </r>
  <r>
    <x v="2355"/>
    <x v="43"/>
    <x v="1"/>
    <x v="6"/>
    <x v="114"/>
    <x v="2"/>
    <x v="4"/>
    <x v="101"/>
    <x v="26"/>
  </r>
  <r>
    <x v="2356"/>
    <x v="26"/>
    <x v="5"/>
    <x v="7"/>
    <x v="116"/>
    <x v="1"/>
    <x v="10"/>
    <x v="71"/>
    <x v="26"/>
  </r>
  <r>
    <x v="2357"/>
    <x v="98"/>
    <x v="3"/>
    <x v="5"/>
    <x v="117"/>
    <x v="5"/>
    <x v="5"/>
    <x v="47"/>
    <x v="26"/>
  </r>
  <r>
    <x v="2358"/>
    <x v="25"/>
    <x v="1"/>
    <x v="4"/>
    <x v="15"/>
    <x v="7"/>
    <x v="10"/>
    <x v="117"/>
    <x v="26"/>
  </r>
  <r>
    <x v="2359"/>
    <x v="90"/>
    <x v="9"/>
    <x v="8"/>
    <x v="42"/>
    <x v="7"/>
    <x v="10"/>
    <x v="4"/>
    <x v="26"/>
  </r>
  <r>
    <x v="2360"/>
    <x v="13"/>
    <x v="2"/>
    <x v="5"/>
    <x v="4"/>
    <x v="2"/>
    <x v="3"/>
    <x v="11"/>
    <x v="26"/>
  </r>
  <r>
    <x v="2361"/>
    <x v="40"/>
    <x v="18"/>
    <x v="5"/>
    <x v="92"/>
    <x v="8"/>
    <x v="1"/>
    <x v="41"/>
    <x v="26"/>
  </r>
  <r>
    <x v="2362"/>
    <x v="41"/>
    <x v="6"/>
    <x v="5"/>
    <x v="80"/>
    <x v="0"/>
    <x v="3"/>
    <x v="61"/>
    <x v="26"/>
  </r>
  <r>
    <x v="2363"/>
    <x v="35"/>
    <x v="7"/>
    <x v="3"/>
    <x v="36"/>
    <x v="2"/>
    <x v="3"/>
    <x v="69"/>
    <x v="26"/>
  </r>
  <r>
    <x v="2364"/>
    <x v="83"/>
    <x v="9"/>
    <x v="0"/>
    <x v="32"/>
    <x v="0"/>
    <x v="4"/>
    <x v="97"/>
    <x v="26"/>
  </r>
  <r>
    <x v="2365"/>
    <x v="77"/>
    <x v="20"/>
    <x v="4"/>
    <x v="130"/>
    <x v="9"/>
    <x v="2"/>
    <x v="292"/>
    <x v="26"/>
  </r>
  <r>
    <x v="2366"/>
    <x v="4"/>
    <x v="3"/>
    <x v="6"/>
    <x v="8"/>
    <x v="7"/>
    <x v="10"/>
    <x v="2"/>
    <x v="26"/>
  </r>
  <r>
    <x v="2367"/>
    <x v="16"/>
    <x v="18"/>
    <x v="5"/>
    <x v="5"/>
    <x v="11"/>
    <x v="9"/>
    <x v="131"/>
    <x v="26"/>
  </r>
  <r>
    <x v="2368"/>
    <x v="92"/>
    <x v="0"/>
    <x v="11"/>
    <x v="88"/>
    <x v="2"/>
    <x v="3"/>
    <x v="78"/>
    <x v="26"/>
  </r>
  <r>
    <x v="2369"/>
    <x v="57"/>
    <x v="9"/>
    <x v="0"/>
    <x v="24"/>
    <x v="9"/>
    <x v="11"/>
    <x v="36"/>
    <x v="26"/>
  </r>
  <r>
    <x v="2370"/>
    <x v="84"/>
    <x v="4"/>
    <x v="7"/>
    <x v="51"/>
    <x v="2"/>
    <x v="4"/>
    <x v="53"/>
    <x v="26"/>
  </r>
  <r>
    <x v="2371"/>
    <x v="20"/>
    <x v="0"/>
    <x v="5"/>
    <x v="85"/>
    <x v="1"/>
    <x v="5"/>
    <x v="20"/>
    <x v="26"/>
  </r>
  <r>
    <x v="2372"/>
    <x v="48"/>
    <x v="6"/>
    <x v="5"/>
    <x v="15"/>
    <x v="1"/>
    <x v="5"/>
    <x v="152"/>
    <x v="26"/>
  </r>
  <r>
    <x v="2373"/>
    <x v="86"/>
    <x v="6"/>
    <x v="6"/>
    <x v="77"/>
    <x v="8"/>
    <x v="0"/>
    <x v="272"/>
    <x v="26"/>
  </r>
  <r>
    <x v="2374"/>
    <x v="65"/>
    <x v="5"/>
    <x v="12"/>
    <x v="43"/>
    <x v="0"/>
    <x v="1"/>
    <x v="71"/>
    <x v="26"/>
  </r>
  <r>
    <x v="2375"/>
    <x v="51"/>
    <x v="15"/>
    <x v="5"/>
    <x v="8"/>
    <x v="8"/>
    <x v="1"/>
    <x v="7"/>
    <x v="26"/>
  </r>
  <r>
    <x v="2376"/>
    <x v="17"/>
    <x v="10"/>
    <x v="6"/>
    <x v="105"/>
    <x v="5"/>
    <x v="1"/>
    <x v="30"/>
    <x v="26"/>
  </r>
  <r>
    <x v="2377"/>
    <x v="74"/>
    <x v="0"/>
    <x v="7"/>
    <x v="86"/>
    <x v="11"/>
    <x v="0"/>
    <x v="39"/>
    <x v="26"/>
  </r>
  <r>
    <x v="2378"/>
    <x v="18"/>
    <x v="18"/>
    <x v="4"/>
    <x v="90"/>
    <x v="14"/>
    <x v="13"/>
    <x v="100"/>
    <x v="26"/>
  </r>
  <r>
    <x v="856"/>
    <x v="27"/>
    <x v="4"/>
    <x v="0"/>
    <x v="0"/>
    <x v="11"/>
    <x v="1"/>
    <x v="137"/>
    <x v="26"/>
  </r>
  <r>
    <x v="2379"/>
    <x v="42"/>
    <x v="1"/>
    <x v="0"/>
    <x v="145"/>
    <x v="5"/>
    <x v="6"/>
    <x v="96"/>
    <x v="26"/>
  </r>
  <r>
    <x v="2380"/>
    <x v="1"/>
    <x v="18"/>
    <x v="3"/>
    <x v="5"/>
    <x v="0"/>
    <x v="4"/>
    <x v="127"/>
    <x v="26"/>
  </r>
  <r>
    <x v="2381"/>
    <x v="82"/>
    <x v="2"/>
    <x v="6"/>
    <x v="112"/>
    <x v="5"/>
    <x v="6"/>
    <x v="87"/>
    <x v="26"/>
  </r>
  <r>
    <x v="2382"/>
    <x v="95"/>
    <x v="20"/>
    <x v="4"/>
    <x v="115"/>
    <x v="2"/>
    <x v="4"/>
    <x v="71"/>
    <x v="26"/>
  </r>
  <r>
    <x v="2383"/>
    <x v="14"/>
    <x v="4"/>
    <x v="12"/>
    <x v="21"/>
    <x v="1"/>
    <x v="5"/>
    <x v="1"/>
    <x v="26"/>
  </r>
  <r>
    <x v="2384"/>
    <x v="62"/>
    <x v="1"/>
    <x v="7"/>
    <x v="66"/>
    <x v="0"/>
    <x v="3"/>
    <x v="84"/>
    <x v="26"/>
  </r>
  <r>
    <x v="2385"/>
    <x v="9"/>
    <x v="13"/>
    <x v="14"/>
    <x v="4"/>
    <x v="11"/>
    <x v="6"/>
    <x v="7"/>
    <x v="26"/>
  </r>
  <r>
    <x v="2386"/>
    <x v="52"/>
    <x v="9"/>
    <x v="3"/>
    <x v="13"/>
    <x v="2"/>
    <x v="4"/>
    <x v="54"/>
    <x v="26"/>
  </r>
  <r>
    <x v="2387"/>
    <x v="87"/>
    <x v="6"/>
    <x v="5"/>
    <x v="5"/>
    <x v="8"/>
    <x v="1"/>
    <x v="11"/>
    <x v="26"/>
  </r>
  <r>
    <x v="2388"/>
    <x v="23"/>
    <x v="7"/>
    <x v="7"/>
    <x v="56"/>
    <x v="5"/>
    <x v="1"/>
    <x v="46"/>
    <x v="26"/>
  </r>
  <r>
    <x v="2389"/>
    <x v="3"/>
    <x v="13"/>
    <x v="9"/>
    <x v="52"/>
    <x v="4"/>
    <x v="3"/>
    <x v="6"/>
    <x v="26"/>
  </r>
  <r>
    <x v="2390"/>
    <x v="88"/>
    <x v="13"/>
    <x v="2"/>
    <x v="223"/>
    <x v="13"/>
    <x v="3"/>
    <x v="61"/>
    <x v="26"/>
  </r>
  <r>
    <x v="1311"/>
    <x v="68"/>
    <x v="20"/>
    <x v="6"/>
    <x v="41"/>
    <x v="4"/>
    <x v="3"/>
    <x v="168"/>
    <x v="26"/>
  </r>
  <r>
    <x v="2391"/>
    <x v="78"/>
    <x v="13"/>
    <x v="14"/>
    <x v="52"/>
    <x v="11"/>
    <x v="6"/>
    <x v="284"/>
    <x v="26"/>
  </r>
  <r>
    <x v="2392"/>
    <x v="33"/>
    <x v="11"/>
    <x v="7"/>
    <x v="45"/>
    <x v="3"/>
    <x v="1"/>
    <x v="105"/>
    <x v="26"/>
  </r>
  <r>
    <x v="2393"/>
    <x v="89"/>
    <x v="1"/>
    <x v="8"/>
    <x v="62"/>
    <x v="3"/>
    <x v="2"/>
    <x v="108"/>
    <x v="26"/>
  </r>
  <r>
    <x v="2394"/>
    <x v="69"/>
    <x v="4"/>
    <x v="12"/>
    <x v="21"/>
    <x v="5"/>
    <x v="6"/>
    <x v="45"/>
    <x v="26"/>
  </r>
  <r>
    <x v="2395"/>
    <x v="28"/>
    <x v="9"/>
    <x v="5"/>
    <x v="116"/>
    <x v="2"/>
    <x v="3"/>
    <x v="27"/>
    <x v="26"/>
  </r>
  <r>
    <x v="2396"/>
    <x v="37"/>
    <x v="0"/>
    <x v="12"/>
    <x v="37"/>
    <x v="11"/>
    <x v="1"/>
    <x v="41"/>
    <x v="26"/>
  </r>
  <r>
    <x v="2397"/>
    <x v="94"/>
    <x v="4"/>
    <x v="11"/>
    <x v="56"/>
    <x v="0"/>
    <x v="0"/>
    <x v="150"/>
    <x v="26"/>
  </r>
  <r>
    <x v="2398"/>
    <x v="0"/>
    <x v="0"/>
    <x v="7"/>
    <x v="13"/>
    <x v="5"/>
    <x v="10"/>
    <x v="76"/>
    <x v="26"/>
  </r>
  <r>
    <x v="2399"/>
    <x v="21"/>
    <x v="14"/>
    <x v="6"/>
    <x v="62"/>
    <x v="5"/>
    <x v="6"/>
    <x v="109"/>
    <x v="26"/>
  </r>
  <r>
    <x v="2400"/>
    <x v="53"/>
    <x v="20"/>
    <x v="5"/>
    <x v="108"/>
    <x v="0"/>
    <x v="0"/>
    <x v="41"/>
    <x v="26"/>
  </r>
  <r>
    <x v="2401"/>
    <x v="49"/>
    <x v="7"/>
    <x v="6"/>
    <x v="36"/>
    <x v="8"/>
    <x v="0"/>
    <x v="17"/>
    <x v="26"/>
  </r>
  <r>
    <x v="2402"/>
    <x v="50"/>
    <x v="18"/>
    <x v="3"/>
    <x v="53"/>
    <x v="2"/>
    <x v="3"/>
    <x v="4"/>
    <x v="26"/>
  </r>
  <r>
    <x v="2403"/>
    <x v="54"/>
    <x v="9"/>
    <x v="0"/>
    <x v="24"/>
    <x v="8"/>
    <x v="0"/>
    <x v="146"/>
    <x v="26"/>
  </r>
  <r>
    <x v="2404"/>
    <x v="63"/>
    <x v="0"/>
    <x v="13"/>
    <x v="109"/>
    <x v="8"/>
    <x v="9"/>
    <x v="38"/>
    <x v="26"/>
  </r>
  <r>
    <x v="2405"/>
    <x v="75"/>
    <x v="18"/>
    <x v="5"/>
    <x v="120"/>
    <x v="0"/>
    <x v="3"/>
    <x v="35"/>
    <x v="26"/>
  </r>
  <r>
    <x v="2406"/>
    <x v="46"/>
    <x v="0"/>
    <x v="6"/>
    <x v="85"/>
    <x v="5"/>
    <x v="9"/>
    <x v="69"/>
    <x v="26"/>
  </r>
  <r>
    <x v="2407"/>
    <x v="34"/>
    <x v="11"/>
    <x v="6"/>
    <x v="93"/>
    <x v="5"/>
    <x v="0"/>
    <x v="30"/>
    <x v="26"/>
  </r>
  <r>
    <x v="2408"/>
    <x v="47"/>
    <x v="6"/>
    <x v="9"/>
    <x v="105"/>
    <x v="3"/>
    <x v="5"/>
    <x v="40"/>
    <x v="26"/>
  </r>
  <r>
    <x v="2409"/>
    <x v="10"/>
    <x v="4"/>
    <x v="0"/>
    <x v="13"/>
    <x v="0"/>
    <x v="3"/>
    <x v="209"/>
    <x v="26"/>
  </r>
  <r>
    <x v="2410"/>
    <x v="8"/>
    <x v="13"/>
    <x v="9"/>
    <x v="92"/>
    <x v="8"/>
    <x v="9"/>
    <x v="155"/>
    <x v="26"/>
  </r>
  <r>
    <x v="2411"/>
    <x v="73"/>
    <x v="5"/>
    <x v="0"/>
    <x v="36"/>
    <x v="4"/>
    <x v="3"/>
    <x v="62"/>
    <x v="26"/>
  </r>
  <r>
    <x v="2412"/>
    <x v="81"/>
    <x v="4"/>
    <x v="0"/>
    <x v="21"/>
    <x v="11"/>
    <x v="1"/>
    <x v="77"/>
    <x v="26"/>
  </r>
  <r>
    <x v="2413"/>
    <x v="70"/>
    <x v="1"/>
    <x v="7"/>
    <x v="14"/>
    <x v="5"/>
    <x v="6"/>
    <x v="7"/>
    <x v="26"/>
  </r>
  <r>
    <x v="2414"/>
    <x v="80"/>
    <x v="0"/>
    <x v="0"/>
    <x v="21"/>
    <x v="8"/>
    <x v="9"/>
    <x v="131"/>
    <x v="26"/>
  </r>
  <r>
    <x v="2415"/>
    <x v="58"/>
    <x v="11"/>
    <x v="5"/>
    <x v="4"/>
    <x v="1"/>
    <x v="10"/>
    <x v="150"/>
    <x v="26"/>
  </r>
  <r>
    <x v="2416"/>
    <x v="22"/>
    <x v="11"/>
    <x v="6"/>
    <x v="130"/>
    <x v="7"/>
    <x v="11"/>
    <x v="6"/>
    <x v="26"/>
  </r>
  <r>
    <x v="2417"/>
    <x v="36"/>
    <x v="4"/>
    <x v="3"/>
    <x v="0"/>
    <x v="0"/>
    <x v="1"/>
    <x v="41"/>
    <x v="26"/>
  </r>
  <r>
    <x v="2418"/>
    <x v="2"/>
    <x v="11"/>
    <x v="5"/>
    <x v="2"/>
    <x v="8"/>
    <x v="6"/>
    <x v="119"/>
    <x v="26"/>
  </r>
  <r>
    <x v="2419"/>
    <x v="85"/>
    <x v="0"/>
    <x v="0"/>
    <x v="65"/>
    <x v="0"/>
    <x v="4"/>
    <x v="39"/>
    <x v="26"/>
  </r>
  <r>
    <x v="2420"/>
    <x v="11"/>
    <x v="5"/>
    <x v="13"/>
    <x v="24"/>
    <x v="6"/>
    <x v="3"/>
    <x v="8"/>
    <x v="26"/>
  </r>
  <r>
    <x v="2421"/>
    <x v="54"/>
    <x v="23"/>
    <x v="7"/>
    <x v="54"/>
    <x v="11"/>
    <x v="6"/>
    <x v="11"/>
    <x v="27"/>
  </r>
  <r>
    <x v="2422"/>
    <x v="66"/>
    <x v="11"/>
    <x v="3"/>
    <x v="2"/>
    <x v="0"/>
    <x v="9"/>
    <x v="162"/>
    <x v="27"/>
  </r>
  <r>
    <x v="2423"/>
    <x v="15"/>
    <x v="0"/>
    <x v="7"/>
    <x v="13"/>
    <x v="11"/>
    <x v="9"/>
    <x v="293"/>
    <x v="27"/>
  </r>
  <r>
    <x v="2424"/>
    <x v="65"/>
    <x v="21"/>
    <x v="13"/>
    <x v="31"/>
    <x v="8"/>
    <x v="1"/>
    <x v="2"/>
    <x v="27"/>
  </r>
  <r>
    <x v="2425"/>
    <x v="25"/>
    <x v="1"/>
    <x v="3"/>
    <x v="77"/>
    <x v="8"/>
    <x v="1"/>
    <x v="61"/>
    <x v="27"/>
  </r>
  <r>
    <x v="2426"/>
    <x v="39"/>
    <x v="1"/>
    <x v="7"/>
    <x v="5"/>
    <x v="15"/>
    <x v="12"/>
    <x v="118"/>
    <x v="27"/>
  </r>
  <r>
    <x v="2427"/>
    <x v="36"/>
    <x v="21"/>
    <x v="7"/>
    <x v="25"/>
    <x v="8"/>
    <x v="1"/>
    <x v="61"/>
    <x v="27"/>
  </r>
  <r>
    <x v="2428"/>
    <x v="73"/>
    <x v="21"/>
    <x v="7"/>
    <x v="31"/>
    <x v="13"/>
    <x v="3"/>
    <x v="96"/>
    <x v="27"/>
  </r>
  <r>
    <x v="2429"/>
    <x v="82"/>
    <x v="20"/>
    <x v="3"/>
    <x v="104"/>
    <x v="7"/>
    <x v="10"/>
    <x v="35"/>
    <x v="27"/>
  </r>
  <r>
    <x v="2430"/>
    <x v="11"/>
    <x v="23"/>
    <x v="3"/>
    <x v="124"/>
    <x v="2"/>
    <x v="3"/>
    <x v="108"/>
    <x v="27"/>
  </r>
  <r>
    <x v="2431"/>
    <x v="21"/>
    <x v="6"/>
    <x v="3"/>
    <x v="107"/>
    <x v="2"/>
    <x v="3"/>
    <x v="32"/>
    <x v="27"/>
  </r>
  <r>
    <x v="2432"/>
    <x v="16"/>
    <x v="1"/>
    <x v="0"/>
    <x v="62"/>
    <x v="0"/>
    <x v="0"/>
    <x v="29"/>
    <x v="27"/>
  </r>
  <r>
    <x v="2433"/>
    <x v="79"/>
    <x v="4"/>
    <x v="12"/>
    <x v="37"/>
    <x v="0"/>
    <x v="4"/>
    <x v="58"/>
    <x v="27"/>
  </r>
  <r>
    <x v="2434"/>
    <x v="96"/>
    <x v="4"/>
    <x v="7"/>
    <x v="86"/>
    <x v="2"/>
    <x v="3"/>
    <x v="88"/>
    <x v="27"/>
  </r>
  <r>
    <x v="2435"/>
    <x v="23"/>
    <x v="4"/>
    <x v="0"/>
    <x v="10"/>
    <x v="5"/>
    <x v="10"/>
    <x v="108"/>
    <x v="27"/>
  </r>
  <r>
    <x v="2436"/>
    <x v="18"/>
    <x v="1"/>
    <x v="0"/>
    <x v="22"/>
    <x v="0"/>
    <x v="1"/>
    <x v="82"/>
    <x v="27"/>
  </r>
  <r>
    <x v="2437"/>
    <x v="12"/>
    <x v="5"/>
    <x v="8"/>
    <x v="76"/>
    <x v="5"/>
    <x v="5"/>
    <x v="39"/>
    <x v="27"/>
  </r>
  <r>
    <x v="2438"/>
    <x v="29"/>
    <x v="4"/>
    <x v="8"/>
    <x v="21"/>
    <x v="3"/>
    <x v="2"/>
    <x v="30"/>
    <x v="27"/>
  </r>
  <r>
    <x v="2439"/>
    <x v="2"/>
    <x v="18"/>
    <x v="3"/>
    <x v="27"/>
    <x v="11"/>
    <x v="1"/>
    <x v="54"/>
    <x v="27"/>
  </r>
  <r>
    <x v="2440"/>
    <x v="66"/>
    <x v="13"/>
    <x v="4"/>
    <x v="41"/>
    <x v="6"/>
    <x v="3"/>
    <x v="131"/>
    <x v="27"/>
  </r>
  <r>
    <x v="2441"/>
    <x v="9"/>
    <x v="13"/>
    <x v="9"/>
    <x v="57"/>
    <x v="0"/>
    <x v="4"/>
    <x v="69"/>
    <x v="27"/>
  </r>
  <r>
    <x v="2442"/>
    <x v="14"/>
    <x v="5"/>
    <x v="12"/>
    <x v="39"/>
    <x v="2"/>
    <x v="0"/>
    <x v="108"/>
    <x v="27"/>
  </r>
  <r>
    <x v="2443"/>
    <x v="55"/>
    <x v="16"/>
    <x v="3"/>
    <x v="69"/>
    <x v="11"/>
    <x v="6"/>
    <x v="32"/>
    <x v="27"/>
  </r>
  <r>
    <x v="2444"/>
    <x v="38"/>
    <x v="21"/>
    <x v="13"/>
    <x v="10"/>
    <x v="3"/>
    <x v="2"/>
    <x v="32"/>
    <x v="27"/>
  </r>
  <r>
    <x v="2445"/>
    <x v="80"/>
    <x v="6"/>
    <x v="5"/>
    <x v="92"/>
    <x v="11"/>
    <x v="6"/>
    <x v="82"/>
    <x v="27"/>
  </r>
  <r>
    <x v="2446"/>
    <x v="42"/>
    <x v="1"/>
    <x v="7"/>
    <x v="62"/>
    <x v="5"/>
    <x v="9"/>
    <x v="167"/>
    <x v="27"/>
  </r>
  <r>
    <x v="2447"/>
    <x v="71"/>
    <x v="7"/>
    <x v="9"/>
    <x v="133"/>
    <x v="0"/>
    <x v="0"/>
    <x v="82"/>
    <x v="27"/>
  </r>
  <r>
    <x v="2448"/>
    <x v="78"/>
    <x v="13"/>
    <x v="14"/>
    <x v="108"/>
    <x v="0"/>
    <x v="9"/>
    <x v="131"/>
    <x v="27"/>
  </r>
  <r>
    <x v="2449"/>
    <x v="74"/>
    <x v="0"/>
    <x v="13"/>
    <x v="21"/>
    <x v="8"/>
    <x v="4"/>
    <x v="45"/>
    <x v="27"/>
  </r>
  <r>
    <x v="2450"/>
    <x v="87"/>
    <x v="6"/>
    <x v="5"/>
    <x v="101"/>
    <x v="0"/>
    <x v="1"/>
    <x v="35"/>
    <x v="27"/>
  </r>
  <r>
    <x v="2451"/>
    <x v="6"/>
    <x v="11"/>
    <x v="8"/>
    <x v="12"/>
    <x v="11"/>
    <x v="6"/>
    <x v="32"/>
    <x v="27"/>
  </r>
  <r>
    <x v="2452"/>
    <x v="64"/>
    <x v="13"/>
    <x v="14"/>
    <x v="3"/>
    <x v="0"/>
    <x v="4"/>
    <x v="76"/>
    <x v="27"/>
  </r>
  <r>
    <x v="2453"/>
    <x v="37"/>
    <x v="0"/>
    <x v="8"/>
    <x v="50"/>
    <x v="0"/>
    <x v="9"/>
    <x v="82"/>
    <x v="27"/>
  </r>
  <r>
    <x v="297"/>
    <x v="76"/>
    <x v="3"/>
    <x v="4"/>
    <x v="52"/>
    <x v="1"/>
    <x v="1"/>
    <x v="24"/>
    <x v="27"/>
  </r>
  <r>
    <x v="2454"/>
    <x v="4"/>
    <x v="20"/>
    <x v="3"/>
    <x v="40"/>
    <x v="13"/>
    <x v="3"/>
    <x v="278"/>
    <x v="27"/>
  </r>
  <r>
    <x v="2455"/>
    <x v="35"/>
    <x v="0"/>
    <x v="13"/>
    <x v="221"/>
    <x v="9"/>
    <x v="7"/>
    <x v="32"/>
    <x v="27"/>
  </r>
  <r>
    <x v="2456"/>
    <x v="97"/>
    <x v="11"/>
    <x v="7"/>
    <x v="229"/>
    <x v="13"/>
    <x v="3"/>
    <x v="214"/>
    <x v="27"/>
  </r>
  <r>
    <x v="2457"/>
    <x v="13"/>
    <x v="18"/>
    <x v="3"/>
    <x v="97"/>
    <x v="7"/>
    <x v="2"/>
    <x v="202"/>
    <x v="27"/>
  </r>
  <r>
    <x v="2458"/>
    <x v="63"/>
    <x v="0"/>
    <x v="11"/>
    <x v="103"/>
    <x v="11"/>
    <x v="0"/>
    <x v="278"/>
    <x v="27"/>
  </r>
  <r>
    <x v="2459"/>
    <x v="8"/>
    <x v="20"/>
    <x v="5"/>
    <x v="152"/>
    <x v="11"/>
    <x v="1"/>
    <x v="84"/>
    <x v="27"/>
  </r>
  <r>
    <x v="2460"/>
    <x v="60"/>
    <x v="11"/>
    <x v="7"/>
    <x v="2"/>
    <x v="0"/>
    <x v="9"/>
    <x v="101"/>
    <x v="27"/>
  </r>
  <r>
    <x v="2461"/>
    <x v="52"/>
    <x v="5"/>
    <x v="12"/>
    <x v="13"/>
    <x v="2"/>
    <x v="1"/>
    <x v="108"/>
    <x v="27"/>
  </r>
  <r>
    <x v="2462"/>
    <x v="1"/>
    <x v="1"/>
    <x v="7"/>
    <x v="22"/>
    <x v="11"/>
    <x v="6"/>
    <x v="85"/>
    <x v="27"/>
  </r>
  <r>
    <x v="2463"/>
    <x v="68"/>
    <x v="20"/>
    <x v="6"/>
    <x v="96"/>
    <x v="9"/>
    <x v="7"/>
    <x v="131"/>
    <x v="27"/>
  </r>
  <r>
    <x v="2464"/>
    <x v="57"/>
    <x v="4"/>
    <x v="7"/>
    <x v="42"/>
    <x v="8"/>
    <x v="4"/>
    <x v="108"/>
    <x v="27"/>
  </r>
  <r>
    <x v="2465"/>
    <x v="3"/>
    <x v="11"/>
    <x v="5"/>
    <x v="27"/>
    <x v="3"/>
    <x v="10"/>
    <x v="144"/>
    <x v="27"/>
  </r>
  <r>
    <x v="2466"/>
    <x v="48"/>
    <x v="0"/>
    <x v="12"/>
    <x v="98"/>
    <x v="0"/>
    <x v="9"/>
    <x v="156"/>
    <x v="27"/>
  </r>
  <r>
    <x v="1293"/>
    <x v="91"/>
    <x v="5"/>
    <x v="13"/>
    <x v="124"/>
    <x v="0"/>
    <x v="9"/>
    <x v="189"/>
    <x v="27"/>
  </r>
  <r>
    <x v="2467"/>
    <x v="83"/>
    <x v="4"/>
    <x v="7"/>
    <x v="50"/>
    <x v="13"/>
    <x v="3"/>
    <x v="105"/>
    <x v="27"/>
  </r>
  <r>
    <x v="220"/>
    <x v="93"/>
    <x v="9"/>
    <x v="7"/>
    <x v="43"/>
    <x v="5"/>
    <x v="5"/>
    <x v="31"/>
    <x v="27"/>
  </r>
  <r>
    <x v="2468"/>
    <x v="99"/>
    <x v="1"/>
    <x v="3"/>
    <x v="19"/>
    <x v="13"/>
    <x v="3"/>
    <x v="31"/>
    <x v="27"/>
  </r>
  <r>
    <x v="2469"/>
    <x v="26"/>
    <x v="4"/>
    <x v="0"/>
    <x v="129"/>
    <x v="11"/>
    <x v="6"/>
    <x v="82"/>
    <x v="27"/>
  </r>
  <r>
    <x v="2470"/>
    <x v="24"/>
    <x v="0"/>
    <x v="0"/>
    <x v="10"/>
    <x v="13"/>
    <x v="3"/>
    <x v="65"/>
    <x v="27"/>
  </r>
  <r>
    <x v="2471"/>
    <x v="51"/>
    <x v="20"/>
    <x v="3"/>
    <x v="118"/>
    <x v="8"/>
    <x v="0"/>
    <x v="11"/>
    <x v="27"/>
  </r>
  <r>
    <x v="2472"/>
    <x v="72"/>
    <x v="7"/>
    <x v="5"/>
    <x v="1"/>
    <x v="8"/>
    <x v="1"/>
    <x v="97"/>
    <x v="27"/>
  </r>
  <r>
    <x v="2473"/>
    <x v="85"/>
    <x v="0"/>
    <x v="12"/>
    <x v="60"/>
    <x v="3"/>
    <x v="2"/>
    <x v="59"/>
    <x v="27"/>
  </r>
  <r>
    <x v="2474"/>
    <x v="98"/>
    <x v="13"/>
    <x v="9"/>
    <x v="152"/>
    <x v="2"/>
    <x v="3"/>
    <x v="103"/>
    <x v="27"/>
  </r>
  <r>
    <x v="2475"/>
    <x v="41"/>
    <x v="6"/>
    <x v="6"/>
    <x v="100"/>
    <x v="8"/>
    <x v="4"/>
    <x v="144"/>
    <x v="27"/>
  </r>
  <r>
    <x v="2476"/>
    <x v="70"/>
    <x v="1"/>
    <x v="5"/>
    <x v="71"/>
    <x v="2"/>
    <x v="3"/>
    <x v="52"/>
    <x v="27"/>
  </r>
  <r>
    <x v="2477"/>
    <x v="45"/>
    <x v="0"/>
    <x v="8"/>
    <x v="59"/>
    <x v="2"/>
    <x v="3"/>
    <x v="36"/>
    <x v="27"/>
  </r>
  <r>
    <x v="2478"/>
    <x v="56"/>
    <x v="0"/>
    <x v="5"/>
    <x v="14"/>
    <x v="0"/>
    <x v="1"/>
    <x v="140"/>
    <x v="27"/>
  </r>
  <r>
    <x v="2479"/>
    <x v="22"/>
    <x v="11"/>
    <x v="6"/>
    <x v="117"/>
    <x v="11"/>
    <x v="0"/>
    <x v="28"/>
    <x v="27"/>
  </r>
  <r>
    <x v="2480"/>
    <x v="5"/>
    <x v="1"/>
    <x v="3"/>
    <x v="48"/>
    <x v="8"/>
    <x v="0"/>
    <x v="41"/>
    <x v="27"/>
  </r>
  <r>
    <x v="2481"/>
    <x v="43"/>
    <x v="8"/>
    <x v="12"/>
    <x v="21"/>
    <x v="9"/>
    <x v="2"/>
    <x v="294"/>
    <x v="27"/>
  </r>
  <r>
    <x v="2482"/>
    <x v="81"/>
    <x v="23"/>
    <x v="6"/>
    <x v="0"/>
    <x v="11"/>
    <x v="0"/>
    <x v="236"/>
    <x v="27"/>
  </r>
  <r>
    <x v="2483"/>
    <x v="27"/>
    <x v="23"/>
    <x v="3"/>
    <x v="125"/>
    <x v="13"/>
    <x v="3"/>
    <x v="18"/>
    <x v="27"/>
  </r>
  <r>
    <x v="2484"/>
    <x v="20"/>
    <x v="1"/>
    <x v="3"/>
    <x v="121"/>
    <x v="8"/>
    <x v="6"/>
    <x v="27"/>
    <x v="27"/>
  </r>
  <r>
    <x v="2485"/>
    <x v="19"/>
    <x v="1"/>
    <x v="3"/>
    <x v="17"/>
    <x v="0"/>
    <x v="3"/>
    <x v="295"/>
    <x v="27"/>
  </r>
  <r>
    <x v="2486"/>
    <x v="50"/>
    <x v="14"/>
    <x v="6"/>
    <x v="49"/>
    <x v="7"/>
    <x v="2"/>
    <x v="33"/>
    <x v="27"/>
  </r>
  <r>
    <x v="2487"/>
    <x v="30"/>
    <x v="6"/>
    <x v="2"/>
    <x v="121"/>
    <x v="2"/>
    <x v="0"/>
    <x v="51"/>
    <x v="27"/>
  </r>
  <r>
    <x v="2488"/>
    <x v="69"/>
    <x v="5"/>
    <x v="8"/>
    <x v="43"/>
    <x v="11"/>
    <x v="6"/>
    <x v="5"/>
    <x v="27"/>
  </r>
  <r>
    <x v="2489"/>
    <x v="31"/>
    <x v="4"/>
    <x v="12"/>
    <x v="56"/>
    <x v="11"/>
    <x v="0"/>
    <x v="10"/>
    <x v="27"/>
  </r>
  <r>
    <x v="2490"/>
    <x v="62"/>
    <x v="1"/>
    <x v="0"/>
    <x v="38"/>
    <x v="2"/>
    <x v="4"/>
    <x v="180"/>
    <x v="27"/>
  </r>
  <r>
    <x v="2491"/>
    <x v="61"/>
    <x v="18"/>
    <x v="6"/>
    <x v="141"/>
    <x v="0"/>
    <x v="0"/>
    <x v="100"/>
    <x v="27"/>
  </r>
  <r>
    <x v="2492"/>
    <x v="95"/>
    <x v="13"/>
    <x v="4"/>
    <x v="198"/>
    <x v="0"/>
    <x v="3"/>
    <x v="103"/>
    <x v="27"/>
  </r>
  <r>
    <x v="2493"/>
    <x v="7"/>
    <x v="15"/>
    <x v="4"/>
    <x v="2"/>
    <x v="5"/>
    <x v="4"/>
    <x v="296"/>
    <x v="27"/>
  </r>
  <r>
    <x v="2494"/>
    <x v="67"/>
    <x v="7"/>
    <x v="6"/>
    <x v="85"/>
    <x v="9"/>
    <x v="11"/>
    <x v="43"/>
    <x v="27"/>
  </r>
  <r>
    <x v="2495"/>
    <x v="33"/>
    <x v="1"/>
    <x v="6"/>
    <x v="92"/>
    <x v="4"/>
    <x v="3"/>
    <x v="6"/>
    <x v="27"/>
  </r>
  <r>
    <x v="2496"/>
    <x v="46"/>
    <x v="0"/>
    <x v="0"/>
    <x v="34"/>
    <x v="2"/>
    <x v="0"/>
    <x v="76"/>
    <x v="27"/>
  </r>
  <r>
    <x v="2497"/>
    <x v="89"/>
    <x v="18"/>
    <x v="5"/>
    <x v="159"/>
    <x v="8"/>
    <x v="4"/>
    <x v="30"/>
    <x v="27"/>
  </r>
  <r>
    <x v="2498"/>
    <x v="0"/>
    <x v="0"/>
    <x v="3"/>
    <x v="24"/>
    <x v="11"/>
    <x v="9"/>
    <x v="25"/>
    <x v="27"/>
  </r>
  <r>
    <x v="2499"/>
    <x v="11"/>
    <x v="5"/>
    <x v="11"/>
    <x v="0"/>
    <x v="8"/>
    <x v="0"/>
    <x v="117"/>
    <x v="27"/>
  </r>
  <r>
    <x v="2500"/>
    <x v="44"/>
    <x v="4"/>
    <x v="8"/>
    <x v="88"/>
    <x v="2"/>
    <x v="3"/>
    <x v="228"/>
    <x v="27"/>
  </r>
  <r>
    <x v="2501"/>
    <x v="23"/>
    <x v="5"/>
    <x v="13"/>
    <x v="116"/>
    <x v="6"/>
    <x v="3"/>
    <x v="13"/>
    <x v="27"/>
  </r>
  <r>
    <x v="2502"/>
    <x v="28"/>
    <x v="23"/>
    <x v="8"/>
    <x v="125"/>
    <x v="8"/>
    <x v="3"/>
    <x v="137"/>
    <x v="27"/>
  </r>
  <r>
    <x v="2503"/>
    <x v="59"/>
    <x v="1"/>
    <x v="8"/>
    <x v="43"/>
    <x v="0"/>
    <x v="9"/>
    <x v="100"/>
    <x v="27"/>
  </r>
  <r>
    <x v="2504"/>
    <x v="40"/>
    <x v="11"/>
    <x v="5"/>
    <x v="82"/>
    <x v="16"/>
    <x v="12"/>
    <x v="11"/>
    <x v="27"/>
  </r>
  <r>
    <x v="2505"/>
    <x v="84"/>
    <x v="4"/>
    <x v="5"/>
    <x v="42"/>
    <x v="2"/>
    <x v="3"/>
    <x v="8"/>
    <x v="27"/>
  </r>
  <r>
    <x v="2506"/>
    <x v="47"/>
    <x v="0"/>
    <x v="3"/>
    <x v="35"/>
    <x v="2"/>
    <x v="3"/>
    <x v="288"/>
    <x v="27"/>
  </r>
  <r>
    <x v="2507"/>
    <x v="25"/>
    <x v="11"/>
    <x v="5"/>
    <x v="99"/>
    <x v="5"/>
    <x v="5"/>
    <x v="17"/>
    <x v="28"/>
  </r>
  <r>
    <x v="2508"/>
    <x v="36"/>
    <x v="1"/>
    <x v="3"/>
    <x v="36"/>
    <x v="8"/>
    <x v="1"/>
    <x v="10"/>
    <x v="28"/>
  </r>
  <r>
    <x v="2509"/>
    <x v="58"/>
    <x v="18"/>
    <x v="6"/>
    <x v="99"/>
    <x v="16"/>
    <x v="15"/>
    <x v="69"/>
    <x v="28"/>
  </r>
  <r>
    <x v="2510"/>
    <x v="32"/>
    <x v="2"/>
    <x v="9"/>
    <x v="3"/>
    <x v="0"/>
    <x v="9"/>
    <x v="77"/>
    <x v="28"/>
  </r>
  <r>
    <x v="2511"/>
    <x v="63"/>
    <x v="0"/>
    <x v="13"/>
    <x v="230"/>
    <x v="2"/>
    <x v="3"/>
    <x v="168"/>
    <x v="28"/>
  </r>
  <r>
    <x v="2512"/>
    <x v="19"/>
    <x v="17"/>
    <x v="0"/>
    <x v="5"/>
    <x v="5"/>
    <x v="6"/>
    <x v="168"/>
    <x v="28"/>
  </r>
  <r>
    <x v="2513"/>
    <x v="23"/>
    <x v="8"/>
    <x v="3"/>
    <x v="37"/>
    <x v="9"/>
    <x v="2"/>
    <x v="162"/>
    <x v="28"/>
  </r>
  <r>
    <x v="2514"/>
    <x v="37"/>
    <x v="0"/>
    <x v="5"/>
    <x v="43"/>
    <x v="8"/>
    <x v="1"/>
    <x v="4"/>
    <x v="28"/>
  </r>
  <r>
    <x v="2515"/>
    <x v="18"/>
    <x v="1"/>
    <x v="8"/>
    <x v="66"/>
    <x v="0"/>
    <x v="1"/>
    <x v="28"/>
    <x v="28"/>
  </r>
  <r>
    <x v="2516"/>
    <x v="0"/>
    <x v="0"/>
    <x v="5"/>
    <x v="107"/>
    <x v="0"/>
    <x v="0"/>
    <x v="4"/>
    <x v="28"/>
  </r>
  <r>
    <x v="2517"/>
    <x v="76"/>
    <x v="3"/>
    <x v="4"/>
    <x v="104"/>
    <x v="11"/>
    <x v="6"/>
    <x v="28"/>
    <x v="28"/>
  </r>
  <r>
    <x v="2518"/>
    <x v="90"/>
    <x v="11"/>
    <x v="3"/>
    <x v="93"/>
    <x v="0"/>
    <x v="4"/>
    <x v="148"/>
    <x v="28"/>
  </r>
  <r>
    <x v="2519"/>
    <x v="64"/>
    <x v="3"/>
    <x v="5"/>
    <x v="118"/>
    <x v="0"/>
    <x v="6"/>
    <x v="35"/>
    <x v="28"/>
  </r>
  <r>
    <x v="2520"/>
    <x v="97"/>
    <x v="11"/>
    <x v="3"/>
    <x v="52"/>
    <x v="8"/>
    <x v="0"/>
    <x v="137"/>
    <x v="28"/>
  </r>
  <r>
    <x v="2521"/>
    <x v="51"/>
    <x v="11"/>
    <x v="7"/>
    <x v="68"/>
    <x v="8"/>
    <x v="0"/>
    <x v="137"/>
    <x v="28"/>
  </r>
  <r>
    <x v="2522"/>
    <x v="66"/>
    <x v="13"/>
    <x v="9"/>
    <x v="2"/>
    <x v="0"/>
    <x v="3"/>
    <x v="297"/>
    <x v="28"/>
  </r>
  <r>
    <x v="2523"/>
    <x v="50"/>
    <x v="3"/>
    <x v="5"/>
    <x v="108"/>
    <x v="8"/>
    <x v="0"/>
    <x v="44"/>
    <x v="28"/>
  </r>
  <r>
    <x v="2524"/>
    <x v="28"/>
    <x v="5"/>
    <x v="7"/>
    <x v="51"/>
    <x v="4"/>
    <x v="3"/>
    <x v="98"/>
    <x v="28"/>
  </r>
  <r>
    <x v="2525"/>
    <x v="91"/>
    <x v="9"/>
    <x v="7"/>
    <x v="110"/>
    <x v="8"/>
    <x v="6"/>
    <x v="101"/>
    <x v="28"/>
  </r>
  <r>
    <x v="2526"/>
    <x v="54"/>
    <x v="5"/>
    <x v="3"/>
    <x v="16"/>
    <x v="5"/>
    <x v="1"/>
    <x v="144"/>
    <x v="28"/>
  </r>
  <r>
    <x v="2527"/>
    <x v="84"/>
    <x v="9"/>
    <x v="7"/>
    <x v="32"/>
    <x v="8"/>
    <x v="6"/>
    <x v="71"/>
    <x v="28"/>
  </r>
  <r>
    <x v="2528"/>
    <x v="48"/>
    <x v="6"/>
    <x v="4"/>
    <x v="136"/>
    <x v="2"/>
    <x v="4"/>
    <x v="10"/>
    <x v="28"/>
  </r>
  <r>
    <x v="2529"/>
    <x v="45"/>
    <x v="6"/>
    <x v="14"/>
    <x v="92"/>
    <x v="8"/>
    <x v="1"/>
    <x v="28"/>
    <x v="28"/>
  </r>
  <r>
    <x v="2530"/>
    <x v="75"/>
    <x v="19"/>
    <x v="0"/>
    <x v="22"/>
    <x v="0"/>
    <x v="1"/>
    <x v="181"/>
    <x v="28"/>
  </r>
  <r>
    <x v="2531"/>
    <x v="60"/>
    <x v="20"/>
    <x v="5"/>
    <x v="12"/>
    <x v="8"/>
    <x v="9"/>
    <x v="84"/>
    <x v="28"/>
  </r>
  <r>
    <x v="2532"/>
    <x v="9"/>
    <x v="13"/>
    <x v="4"/>
    <x v="215"/>
    <x v="7"/>
    <x v="6"/>
    <x v="76"/>
    <x v="28"/>
  </r>
  <r>
    <x v="2533"/>
    <x v="70"/>
    <x v="15"/>
    <x v="5"/>
    <x v="47"/>
    <x v="2"/>
    <x v="4"/>
    <x v="53"/>
    <x v="28"/>
  </r>
  <r>
    <x v="2534"/>
    <x v="77"/>
    <x v="13"/>
    <x v="9"/>
    <x v="104"/>
    <x v="3"/>
    <x v="10"/>
    <x v="37"/>
    <x v="28"/>
  </r>
  <r>
    <x v="2535"/>
    <x v="79"/>
    <x v="5"/>
    <x v="7"/>
    <x v="64"/>
    <x v="0"/>
    <x v="4"/>
    <x v="71"/>
    <x v="28"/>
  </r>
  <r>
    <x v="2536"/>
    <x v="38"/>
    <x v="16"/>
    <x v="0"/>
    <x v="105"/>
    <x v="2"/>
    <x v="4"/>
    <x v="40"/>
    <x v="28"/>
  </r>
  <r>
    <x v="2537"/>
    <x v="8"/>
    <x v="15"/>
    <x v="3"/>
    <x v="93"/>
    <x v="11"/>
    <x v="0"/>
    <x v="71"/>
    <x v="28"/>
  </r>
  <r>
    <x v="2538"/>
    <x v="6"/>
    <x v="11"/>
    <x v="4"/>
    <x v="93"/>
    <x v="15"/>
    <x v="12"/>
    <x v="6"/>
    <x v="28"/>
  </r>
  <r>
    <x v="2539"/>
    <x v="47"/>
    <x v="6"/>
    <x v="0"/>
    <x v="22"/>
    <x v="2"/>
    <x v="3"/>
    <x v="13"/>
    <x v="28"/>
  </r>
  <r>
    <x v="2540"/>
    <x v="16"/>
    <x v="1"/>
    <x v="5"/>
    <x v="75"/>
    <x v="0"/>
    <x v="0"/>
    <x v="182"/>
    <x v="28"/>
  </r>
  <r>
    <x v="2541"/>
    <x v="1"/>
    <x v="1"/>
    <x v="7"/>
    <x v="105"/>
    <x v="11"/>
    <x v="10"/>
    <x v="7"/>
    <x v="28"/>
  </r>
  <r>
    <x v="2542"/>
    <x v="68"/>
    <x v="11"/>
    <x v="6"/>
    <x v="4"/>
    <x v="2"/>
    <x v="3"/>
    <x v="28"/>
    <x v="28"/>
  </r>
  <r>
    <x v="2543"/>
    <x v="17"/>
    <x v="1"/>
    <x v="3"/>
    <x v="62"/>
    <x v="2"/>
    <x v="4"/>
    <x v="47"/>
    <x v="28"/>
  </r>
  <r>
    <x v="2544"/>
    <x v="46"/>
    <x v="0"/>
    <x v="12"/>
    <x v="72"/>
    <x v="11"/>
    <x v="1"/>
    <x v="25"/>
    <x v="28"/>
  </r>
  <r>
    <x v="2545"/>
    <x v="39"/>
    <x v="1"/>
    <x v="5"/>
    <x v="62"/>
    <x v="2"/>
    <x v="3"/>
    <x v="47"/>
    <x v="28"/>
  </r>
  <r>
    <x v="2546"/>
    <x v="44"/>
    <x v="9"/>
    <x v="12"/>
    <x v="0"/>
    <x v="1"/>
    <x v="5"/>
    <x v="43"/>
    <x v="28"/>
  </r>
  <r>
    <x v="2547"/>
    <x v="29"/>
    <x v="9"/>
    <x v="8"/>
    <x v="132"/>
    <x v="3"/>
    <x v="5"/>
    <x v="5"/>
    <x v="28"/>
  </r>
  <r>
    <x v="2548"/>
    <x v="65"/>
    <x v="9"/>
    <x v="3"/>
    <x v="76"/>
    <x v="3"/>
    <x v="10"/>
    <x v="197"/>
    <x v="28"/>
  </r>
  <r>
    <x v="2549"/>
    <x v="59"/>
    <x v="14"/>
    <x v="7"/>
    <x v="1"/>
    <x v="1"/>
    <x v="4"/>
    <x v="297"/>
    <x v="28"/>
  </r>
  <r>
    <x v="2550"/>
    <x v="14"/>
    <x v="4"/>
    <x v="3"/>
    <x v="70"/>
    <x v="0"/>
    <x v="1"/>
    <x v="13"/>
    <x v="28"/>
  </r>
  <r>
    <x v="2551"/>
    <x v="61"/>
    <x v="18"/>
    <x v="5"/>
    <x v="2"/>
    <x v="4"/>
    <x v="3"/>
    <x v="47"/>
    <x v="28"/>
  </r>
  <r>
    <x v="2552"/>
    <x v="3"/>
    <x v="3"/>
    <x v="2"/>
    <x v="12"/>
    <x v="11"/>
    <x v="4"/>
    <x v="146"/>
    <x v="28"/>
  </r>
  <r>
    <x v="2553"/>
    <x v="33"/>
    <x v="18"/>
    <x v="2"/>
    <x v="134"/>
    <x v="0"/>
    <x v="4"/>
    <x v="18"/>
    <x v="28"/>
  </r>
  <r>
    <x v="2554"/>
    <x v="73"/>
    <x v="4"/>
    <x v="12"/>
    <x v="21"/>
    <x v="3"/>
    <x v="5"/>
    <x v="168"/>
    <x v="28"/>
  </r>
  <r>
    <x v="2555"/>
    <x v="81"/>
    <x v="5"/>
    <x v="11"/>
    <x v="86"/>
    <x v="2"/>
    <x v="0"/>
    <x v="144"/>
    <x v="28"/>
  </r>
  <r>
    <x v="2556"/>
    <x v="71"/>
    <x v="0"/>
    <x v="8"/>
    <x v="34"/>
    <x v="5"/>
    <x v="1"/>
    <x v="168"/>
    <x v="28"/>
  </r>
  <r>
    <x v="2557"/>
    <x v="40"/>
    <x v="18"/>
    <x v="5"/>
    <x v="44"/>
    <x v="11"/>
    <x v="0"/>
    <x v="2"/>
    <x v="28"/>
  </r>
  <r>
    <x v="2558"/>
    <x v="4"/>
    <x v="13"/>
    <x v="4"/>
    <x v="47"/>
    <x v="2"/>
    <x v="4"/>
    <x v="47"/>
    <x v="28"/>
  </r>
  <r>
    <x v="2559"/>
    <x v="59"/>
    <x v="1"/>
    <x v="3"/>
    <x v="49"/>
    <x v="0"/>
    <x v="3"/>
    <x v="17"/>
    <x v="28"/>
  </r>
  <r>
    <x v="2560"/>
    <x v="85"/>
    <x v="16"/>
    <x v="3"/>
    <x v="0"/>
    <x v="5"/>
    <x v="4"/>
    <x v="62"/>
    <x v="28"/>
  </r>
  <r>
    <x v="2561"/>
    <x v="94"/>
    <x v="12"/>
    <x v="0"/>
    <x v="65"/>
    <x v="2"/>
    <x v="4"/>
    <x v="58"/>
    <x v="28"/>
  </r>
  <r>
    <x v="2562"/>
    <x v="4"/>
    <x v="11"/>
    <x v="6"/>
    <x v="45"/>
    <x v="1"/>
    <x v="5"/>
    <x v="182"/>
    <x v="28"/>
  </r>
  <r>
    <x v="2563"/>
    <x v="53"/>
    <x v="3"/>
    <x v="9"/>
    <x v="52"/>
    <x v="0"/>
    <x v="6"/>
    <x v="45"/>
    <x v="28"/>
  </r>
  <r>
    <x v="2564"/>
    <x v="43"/>
    <x v="7"/>
    <x v="3"/>
    <x v="51"/>
    <x v="0"/>
    <x v="3"/>
    <x v="156"/>
    <x v="28"/>
  </r>
  <r>
    <x v="2565"/>
    <x v="80"/>
    <x v="0"/>
    <x v="0"/>
    <x v="21"/>
    <x v="8"/>
    <x v="1"/>
    <x v="298"/>
    <x v="28"/>
  </r>
  <r>
    <x v="2566"/>
    <x v="88"/>
    <x v="15"/>
    <x v="6"/>
    <x v="45"/>
    <x v="0"/>
    <x v="3"/>
    <x v="71"/>
    <x v="28"/>
  </r>
  <r>
    <x v="2567"/>
    <x v="56"/>
    <x v="0"/>
    <x v="6"/>
    <x v="0"/>
    <x v="6"/>
    <x v="3"/>
    <x v="62"/>
    <x v="28"/>
  </r>
  <r>
    <x v="2568"/>
    <x v="96"/>
    <x v="7"/>
    <x v="6"/>
    <x v="43"/>
    <x v="0"/>
    <x v="3"/>
    <x v="38"/>
    <x v="28"/>
  </r>
  <r>
    <x v="2569"/>
    <x v="93"/>
    <x v="4"/>
    <x v="3"/>
    <x v="37"/>
    <x v="8"/>
    <x v="0"/>
    <x v="1"/>
    <x v="28"/>
  </r>
  <r>
    <x v="2570"/>
    <x v="57"/>
    <x v="12"/>
    <x v="7"/>
    <x v="24"/>
    <x v="4"/>
    <x v="3"/>
    <x v="34"/>
    <x v="28"/>
  </r>
  <r>
    <x v="2571"/>
    <x v="87"/>
    <x v="6"/>
    <x v="5"/>
    <x v="5"/>
    <x v="5"/>
    <x v="4"/>
    <x v="226"/>
    <x v="28"/>
  </r>
  <r>
    <x v="2572"/>
    <x v="13"/>
    <x v="1"/>
    <x v="8"/>
    <x v="14"/>
    <x v="4"/>
    <x v="3"/>
    <x v="140"/>
    <x v="28"/>
  </r>
  <r>
    <x v="2573"/>
    <x v="72"/>
    <x v="7"/>
    <x v="4"/>
    <x v="14"/>
    <x v="5"/>
    <x v="6"/>
    <x v="39"/>
    <x v="28"/>
  </r>
  <r>
    <x v="2574"/>
    <x v="85"/>
    <x v="8"/>
    <x v="13"/>
    <x v="59"/>
    <x v="4"/>
    <x v="3"/>
    <x v="84"/>
    <x v="28"/>
  </r>
  <r>
    <x v="2575"/>
    <x v="99"/>
    <x v="1"/>
    <x v="4"/>
    <x v="80"/>
    <x v="8"/>
    <x v="9"/>
    <x v="21"/>
    <x v="28"/>
  </r>
  <r>
    <x v="2576"/>
    <x v="7"/>
    <x v="3"/>
    <x v="4"/>
    <x v="52"/>
    <x v="1"/>
    <x v="6"/>
    <x v="218"/>
    <x v="28"/>
  </r>
  <r>
    <x v="2577"/>
    <x v="15"/>
    <x v="0"/>
    <x v="12"/>
    <x v="122"/>
    <x v="8"/>
    <x v="0"/>
    <x v="138"/>
    <x v="28"/>
  </r>
  <r>
    <x v="2578"/>
    <x v="70"/>
    <x v="1"/>
    <x v="6"/>
    <x v="80"/>
    <x v="5"/>
    <x v="4"/>
    <x v="25"/>
    <x v="28"/>
  </r>
  <r>
    <x v="2579"/>
    <x v="30"/>
    <x v="0"/>
    <x v="15"/>
    <x v="132"/>
    <x v="4"/>
    <x v="3"/>
    <x v="147"/>
    <x v="28"/>
  </r>
  <r>
    <x v="2580"/>
    <x v="29"/>
    <x v="5"/>
    <x v="12"/>
    <x v="35"/>
    <x v="0"/>
    <x v="1"/>
    <x v="145"/>
    <x v="28"/>
  </r>
  <r>
    <x v="2581"/>
    <x v="27"/>
    <x v="1"/>
    <x v="7"/>
    <x v="74"/>
    <x v="11"/>
    <x v="1"/>
    <x v="45"/>
    <x v="28"/>
  </r>
  <r>
    <x v="2582"/>
    <x v="81"/>
    <x v="12"/>
    <x v="7"/>
    <x v="21"/>
    <x v="6"/>
    <x v="3"/>
    <x v="27"/>
    <x v="28"/>
  </r>
  <r>
    <x v="2583"/>
    <x v="28"/>
    <x v="12"/>
    <x v="0"/>
    <x v="86"/>
    <x v="5"/>
    <x v="4"/>
    <x v="88"/>
    <x v="28"/>
  </r>
  <r>
    <x v="2584"/>
    <x v="41"/>
    <x v="6"/>
    <x v="5"/>
    <x v="121"/>
    <x v="11"/>
    <x v="0"/>
    <x v="47"/>
    <x v="28"/>
  </r>
  <r>
    <x v="2585"/>
    <x v="83"/>
    <x v="9"/>
    <x v="3"/>
    <x v="42"/>
    <x v="2"/>
    <x v="9"/>
    <x v="76"/>
    <x v="28"/>
  </r>
  <r>
    <x v="2586"/>
    <x v="69"/>
    <x v="4"/>
    <x v="8"/>
    <x v="50"/>
    <x v="5"/>
    <x v="5"/>
    <x v="30"/>
    <x v="28"/>
  </r>
  <r>
    <x v="2587"/>
    <x v="20"/>
    <x v="7"/>
    <x v="3"/>
    <x v="43"/>
    <x v="5"/>
    <x v="5"/>
    <x v="20"/>
    <x v="28"/>
  </r>
  <r>
    <x v="2588"/>
    <x v="98"/>
    <x v="13"/>
    <x v="9"/>
    <x v="130"/>
    <x v="2"/>
    <x v="3"/>
    <x v="20"/>
    <x v="28"/>
  </r>
  <r>
    <x v="2589"/>
    <x v="10"/>
    <x v="17"/>
    <x v="4"/>
    <x v="80"/>
    <x v="11"/>
    <x v="0"/>
    <x v="37"/>
    <x v="28"/>
  </r>
  <r>
    <x v="2590"/>
    <x v="86"/>
    <x v="0"/>
    <x v="3"/>
    <x v="98"/>
    <x v="8"/>
    <x v="9"/>
    <x v="27"/>
    <x v="28"/>
  </r>
  <r>
    <x v="2591"/>
    <x v="31"/>
    <x v="4"/>
    <x v="0"/>
    <x v="221"/>
    <x v="5"/>
    <x v="6"/>
    <x v="71"/>
    <x v="28"/>
  </r>
  <r>
    <x v="2592"/>
    <x v="57"/>
    <x v="5"/>
    <x v="11"/>
    <x v="36"/>
    <x v="2"/>
    <x v="3"/>
    <x v="39"/>
    <x v="28"/>
  </r>
  <r>
    <x v="2593"/>
    <x v="39"/>
    <x v="10"/>
    <x v="3"/>
    <x v="66"/>
    <x v="3"/>
    <x v="10"/>
    <x v="18"/>
    <x v="28"/>
  </r>
  <r>
    <x v="2594"/>
    <x v="22"/>
    <x v="1"/>
    <x v="5"/>
    <x v="17"/>
    <x v="5"/>
    <x v="5"/>
    <x v="18"/>
    <x v="28"/>
  </r>
  <r>
    <x v="2595"/>
    <x v="35"/>
    <x v="0"/>
    <x v="6"/>
    <x v="36"/>
    <x v="2"/>
    <x v="0"/>
    <x v="13"/>
    <x v="28"/>
  </r>
  <r>
    <x v="2596"/>
    <x v="52"/>
    <x v="4"/>
    <x v="3"/>
    <x v="51"/>
    <x v="5"/>
    <x v="5"/>
    <x v="81"/>
    <x v="28"/>
  </r>
  <r>
    <x v="2597"/>
    <x v="34"/>
    <x v="2"/>
    <x v="4"/>
    <x v="8"/>
    <x v="1"/>
    <x v="5"/>
    <x v="28"/>
    <x v="28"/>
  </r>
  <r>
    <x v="2598"/>
    <x v="33"/>
    <x v="17"/>
    <x v="7"/>
    <x v="18"/>
    <x v="0"/>
    <x v="6"/>
    <x v="25"/>
    <x v="29"/>
  </r>
  <r>
    <x v="2599"/>
    <x v="75"/>
    <x v="17"/>
    <x v="3"/>
    <x v="15"/>
    <x v="4"/>
    <x v="3"/>
    <x v="92"/>
    <x v="29"/>
  </r>
  <r>
    <x v="2600"/>
    <x v="32"/>
    <x v="2"/>
    <x v="4"/>
    <x v="20"/>
    <x v="14"/>
    <x v="7"/>
    <x v="131"/>
    <x v="29"/>
  </r>
  <r>
    <x v="2601"/>
    <x v="26"/>
    <x v="4"/>
    <x v="8"/>
    <x v="129"/>
    <x v="8"/>
    <x v="3"/>
    <x v="36"/>
    <x v="29"/>
  </r>
  <r>
    <x v="192"/>
    <x v="18"/>
    <x v="20"/>
    <x v="7"/>
    <x v="216"/>
    <x v="0"/>
    <x v="0"/>
    <x v="227"/>
    <x v="29"/>
  </r>
  <r>
    <x v="2602"/>
    <x v="56"/>
    <x v="8"/>
    <x v="13"/>
    <x v="42"/>
    <x v="14"/>
    <x v="13"/>
    <x v="47"/>
    <x v="29"/>
  </r>
  <r>
    <x v="2603"/>
    <x v="85"/>
    <x v="0"/>
    <x v="3"/>
    <x v="19"/>
    <x v="4"/>
    <x v="3"/>
    <x v="22"/>
    <x v="29"/>
  </r>
  <r>
    <x v="2604"/>
    <x v="14"/>
    <x v="9"/>
    <x v="8"/>
    <x v="30"/>
    <x v="1"/>
    <x v="10"/>
    <x v="55"/>
    <x v="29"/>
  </r>
  <r>
    <x v="2605"/>
    <x v="17"/>
    <x v="1"/>
    <x v="3"/>
    <x v="64"/>
    <x v="4"/>
    <x v="3"/>
    <x v="140"/>
    <x v="29"/>
  </r>
  <r>
    <x v="2606"/>
    <x v="26"/>
    <x v="5"/>
    <x v="8"/>
    <x v="37"/>
    <x v="1"/>
    <x v="6"/>
    <x v="299"/>
    <x v="29"/>
  </r>
  <r>
    <x v="2607"/>
    <x v="11"/>
    <x v="12"/>
    <x v="12"/>
    <x v="65"/>
    <x v="0"/>
    <x v="9"/>
    <x v="71"/>
    <x v="29"/>
  </r>
  <r>
    <x v="2608"/>
    <x v="39"/>
    <x v="10"/>
    <x v="0"/>
    <x v="74"/>
    <x v="2"/>
    <x v="4"/>
    <x v="11"/>
    <x v="29"/>
  </r>
  <r>
    <x v="2609"/>
    <x v="11"/>
    <x v="5"/>
    <x v="8"/>
    <x v="1"/>
    <x v="6"/>
    <x v="3"/>
    <x v="300"/>
    <x v="29"/>
  </r>
  <r>
    <x v="2610"/>
    <x v="21"/>
    <x v="9"/>
    <x v="0"/>
    <x v="24"/>
    <x v="8"/>
    <x v="9"/>
    <x v="21"/>
    <x v="29"/>
  </r>
  <r>
    <x v="2611"/>
    <x v="70"/>
    <x v="1"/>
    <x v="0"/>
    <x v="77"/>
    <x v="1"/>
    <x v="5"/>
    <x v="223"/>
    <x v="29"/>
  </r>
  <r>
    <x v="2612"/>
    <x v="59"/>
    <x v="14"/>
    <x v="5"/>
    <x v="9"/>
    <x v="21"/>
    <x v="15"/>
    <x v="30"/>
    <x v="29"/>
  </r>
  <r>
    <x v="2613"/>
    <x v="27"/>
    <x v="1"/>
    <x v="6"/>
    <x v="22"/>
    <x v="5"/>
    <x v="5"/>
    <x v="9"/>
    <x v="29"/>
  </r>
  <r>
    <x v="2614"/>
    <x v="7"/>
    <x v="20"/>
    <x v="6"/>
    <x v="57"/>
    <x v="8"/>
    <x v="1"/>
    <x v="182"/>
    <x v="29"/>
  </r>
  <r>
    <x v="2615"/>
    <x v="50"/>
    <x v="13"/>
    <x v="9"/>
    <x v="8"/>
    <x v="5"/>
    <x v="9"/>
    <x v="53"/>
    <x v="29"/>
  </r>
  <r>
    <x v="2616"/>
    <x v="10"/>
    <x v="17"/>
    <x v="5"/>
    <x v="222"/>
    <x v="3"/>
    <x v="2"/>
    <x v="145"/>
    <x v="29"/>
  </r>
  <r>
    <x v="2617"/>
    <x v="49"/>
    <x v="4"/>
    <x v="3"/>
    <x v="10"/>
    <x v="2"/>
    <x v="4"/>
    <x v="101"/>
    <x v="29"/>
  </r>
  <r>
    <x v="2618"/>
    <x v="20"/>
    <x v="0"/>
    <x v="3"/>
    <x v="69"/>
    <x v="0"/>
    <x v="4"/>
    <x v="70"/>
    <x v="29"/>
  </r>
  <r>
    <x v="2619"/>
    <x v="81"/>
    <x v="4"/>
    <x v="8"/>
    <x v="10"/>
    <x v="2"/>
    <x v="0"/>
    <x v="11"/>
    <x v="29"/>
  </r>
  <r>
    <x v="2620"/>
    <x v="88"/>
    <x v="11"/>
    <x v="3"/>
    <x v="8"/>
    <x v="0"/>
    <x v="3"/>
    <x v="6"/>
    <x v="29"/>
  </r>
  <r>
    <x v="2621"/>
    <x v="28"/>
    <x v="4"/>
    <x v="0"/>
    <x v="65"/>
    <x v="8"/>
    <x v="3"/>
    <x v="30"/>
    <x v="29"/>
  </r>
  <r>
    <x v="2622"/>
    <x v="99"/>
    <x v="1"/>
    <x v="6"/>
    <x v="75"/>
    <x v="2"/>
    <x v="3"/>
    <x v="52"/>
    <x v="29"/>
  </r>
  <r>
    <x v="2623"/>
    <x v="68"/>
    <x v="3"/>
    <x v="9"/>
    <x v="52"/>
    <x v="2"/>
    <x v="9"/>
    <x v="47"/>
    <x v="29"/>
  </r>
  <r>
    <x v="2624"/>
    <x v="86"/>
    <x v="0"/>
    <x v="0"/>
    <x v="56"/>
    <x v="0"/>
    <x v="9"/>
    <x v="258"/>
    <x v="29"/>
  </r>
  <r>
    <x v="2625"/>
    <x v="12"/>
    <x v="9"/>
    <x v="8"/>
    <x v="54"/>
    <x v="0"/>
    <x v="3"/>
    <x v="156"/>
    <x v="29"/>
  </r>
  <r>
    <x v="2626"/>
    <x v="58"/>
    <x v="18"/>
    <x v="6"/>
    <x v="213"/>
    <x v="11"/>
    <x v="6"/>
    <x v="71"/>
    <x v="29"/>
  </r>
  <r>
    <x v="2627"/>
    <x v="52"/>
    <x v="5"/>
    <x v="3"/>
    <x v="1"/>
    <x v="4"/>
    <x v="3"/>
    <x v="28"/>
    <x v="29"/>
  </r>
  <r>
    <x v="2628"/>
    <x v="79"/>
    <x v="5"/>
    <x v="6"/>
    <x v="100"/>
    <x v="1"/>
    <x v="10"/>
    <x v="71"/>
    <x v="29"/>
  </r>
  <r>
    <x v="2629"/>
    <x v="28"/>
    <x v="5"/>
    <x v="8"/>
    <x v="13"/>
    <x v="5"/>
    <x v="6"/>
    <x v="146"/>
    <x v="29"/>
  </r>
  <r>
    <x v="2630"/>
    <x v="96"/>
    <x v="0"/>
    <x v="5"/>
    <x v="151"/>
    <x v="1"/>
    <x v="0"/>
    <x v="22"/>
    <x v="29"/>
  </r>
  <r>
    <x v="2631"/>
    <x v="83"/>
    <x v="12"/>
    <x v="8"/>
    <x v="42"/>
    <x v="0"/>
    <x v="1"/>
    <x v="35"/>
    <x v="29"/>
  </r>
  <r>
    <x v="2632"/>
    <x v="45"/>
    <x v="6"/>
    <x v="5"/>
    <x v="146"/>
    <x v="5"/>
    <x v="10"/>
    <x v="51"/>
    <x v="29"/>
  </r>
  <r>
    <x v="2633"/>
    <x v="76"/>
    <x v="20"/>
    <x v="6"/>
    <x v="8"/>
    <x v="2"/>
    <x v="3"/>
    <x v="21"/>
    <x v="29"/>
  </r>
  <r>
    <x v="2634"/>
    <x v="80"/>
    <x v="6"/>
    <x v="4"/>
    <x v="105"/>
    <x v="8"/>
    <x v="4"/>
    <x v="0"/>
    <x v="29"/>
  </r>
  <r>
    <x v="2635"/>
    <x v="73"/>
    <x v="12"/>
    <x v="12"/>
    <x v="86"/>
    <x v="0"/>
    <x v="0"/>
    <x v="210"/>
    <x v="29"/>
  </r>
  <r>
    <x v="2636"/>
    <x v="31"/>
    <x v="9"/>
    <x v="7"/>
    <x v="149"/>
    <x v="2"/>
    <x v="3"/>
    <x v="30"/>
    <x v="29"/>
  </r>
  <r>
    <x v="2637"/>
    <x v="8"/>
    <x v="15"/>
    <x v="6"/>
    <x v="68"/>
    <x v="15"/>
    <x v="13"/>
    <x v="62"/>
    <x v="29"/>
  </r>
  <r>
    <x v="2638"/>
    <x v="97"/>
    <x v="3"/>
    <x v="5"/>
    <x v="134"/>
    <x v="11"/>
    <x v="6"/>
    <x v="6"/>
    <x v="29"/>
  </r>
  <r>
    <x v="2639"/>
    <x v="93"/>
    <x v="1"/>
    <x v="0"/>
    <x v="62"/>
    <x v="1"/>
    <x v="5"/>
    <x v="87"/>
    <x v="29"/>
  </r>
  <r>
    <x v="2640"/>
    <x v="22"/>
    <x v="11"/>
    <x v="6"/>
    <x v="112"/>
    <x v="5"/>
    <x v="4"/>
    <x v="13"/>
    <x v="29"/>
  </r>
  <r>
    <x v="2641"/>
    <x v="38"/>
    <x v="16"/>
    <x v="3"/>
    <x v="39"/>
    <x v="21"/>
    <x v="17"/>
    <x v="25"/>
    <x v="29"/>
  </r>
  <r>
    <x v="2642"/>
    <x v="92"/>
    <x v="0"/>
    <x v="12"/>
    <x v="125"/>
    <x v="2"/>
    <x v="9"/>
    <x v="301"/>
    <x v="29"/>
  </r>
  <r>
    <x v="2643"/>
    <x v="5"/>
    <x v="17"/>
    <x v="3"/>
    <x v="17"/>
    <x v="11"/>
    <x v="6"/>
    <x v="83"/>
    <x v="29"/>
  </r>
  <r>
    <x v="2644"/>
    <x v="25"/>
    <x v="17"/>
    <x v="5"/>
    <x v="92"/>
    <x v="5"/>
    <x v="1"/>
    <x v="21"/>
    <x v="29"/>
  </r>
  <r>
    <x v="2645"/>
    <x v="60"/>
    <x v="3"/>
    <x v="5"/>
    <x v="3"/>
    <x v="5"/>
    <x v="1"/>
    <x v="125"/>
    <x v="29"/>
  </r>
  <r>
    <x v="2646"/>
    <x v="3"/>
    <x v="13"/>
    <x v="2"/>
    <x v="46"/>
    <x v="9"/>
    <x v="7"/>
    <x v="28"/>
    <x v="29"/>
  </r>
  <r>
    <x v="2647"/>
    <x v="30"/>
    <x v="0"/>
    <x v="13"/>
    <x v="58"/>
    <x v="2"/>
    <x v="3"/>
    <x v="234"/>
    <x v="29"/>
  </r>
  <r>
    <x v="2648"/>
    <x v="1"/>
    <x v="1"/>
    <x v="8"/>
    <x v="48"/>
    <x v="8"/>
    <x v="1"/>
    <x v="43"/>
    <x v="29"/>
  </r>
  <r>
    <x v="2649"/>
    <x v="57"/>
    <x v="4"/>
    <x v="3"/>
    <x v="0"/>
    <x v="1"/>
    <x v="5"/>
    <x v="35"/>
    <x v="29"/>
  </r>
  <r>
    <x v="2650"/>
    <x v="24"/>
    <x v="0"/>
    <x v="6"/>
    <x v="24"/>
    <x v="11"/>
    <x v="0"/>
    <x v="30"/>
    <x v="29"/>
  </r>
  <r>
    <x v="2651"/>
    <x v="94"/>
    <x v="4"/>
    <x v="8"/>
    <x v="21"/>
    <x v="4"/>
    <x v="3"/>
    <x v="17"/>
    <x v="29"/>
  </r>
  <r>
    <x v="2652"/>
    <x v="77"/>
    <x v="13"/>
    <x v="4"/>
    <x v="12"/>
    <x v="2"/>
    <x v="3"/>
    <x v="27"/>
    <x v="29"/>
  </r>
  <r>
    <x v="2653"/>
    <x v="37"/>
    <x v="0"/>
    <x v="6"/>
    <x v="110"/>
    <x v="2"/>
    <x v="4"/>
    <x v="11"/>
    <x v="29"/>
  </r>
  <r>
    <x v="2654"/>
    <x v="29"/>
    <x v="4"/>
    <x v="12"/>
    <x v="70"/>
    <x v="2"/>
    <x v="4"/>
    <x v="82"/>
    <x v="29"/>
  </r>
  <r>
    <x v="2655"/>
    <x v="15"/>
    <x v="6"/>
    <x v="5"/>
    <x v="62"/>
    <x v="0"/>
    <x v="4"/>
    <x v="59"/>
    <x v="29"/>
  </r>
  <r>
    <x v="2656"/>
    <x v="54"/>
    <x v="9"/>
    <x v="8"/>
    <x v="13"/>
    <x v="11"/>
    <x v="6"/>
    <x v="140"/>
    <x v="29"/>
  </r>
  <r>
    <x v="2657"/>
    <x v="89"/>
    <x v="15"/>
    <x v="7"/>
    <x v="45"/>
    <x v="7"/>
    <x v="6"/>
    <x v="81"/>
    <x v="29"/>
  </r>
  <r>
    <x v="2658"/>
    <x v="2"/>
    <x v="2"/>
    <x v="3"/>
    <x v="213"/>
    <x v="8"/>
    <x v="0"/>
    <x v="31"/>
    <x v="29"/>
  </r>
  <r>
    <x v="2659"/>
    <x v="66"/>
    <x v="3"/>
    <x v="3"/>
    <x v="213"/>
    <x v="4"/>
    <x v="3"/>
    <x v="24"/>
    <x v="29"/>
  </r>
  <r>
    <x v="2660"/>
    <x v="19"/>
    <x v="6"/>
    <x v="9"/>
    <x v="49"/>
    <x v="8"/>
    <x v="3"/>
    <x v="166"/>
    <x v="29"/>
  </r>
  <r>
    <x v="2661"/>
    <x v="41"/>
    <x v="6"/>
    <x v="6"/>
    <x v="107"/>
    <x v="4"/>
    <x v="3"/>
    <x v="144"/>
    <x v="29"/>
  </r>
  <r>
    <x v="2662"/>
    <x v="51"/>
    <x v="11"/>
    <x v="7"/>
    <x v="222"/>
    <x v="0"/>
    <x v="3"/>
    <x v="144"/>
    <x v="29"/>
  </r>
  <r>
    <x v="2663"/>
    <x v="98"/>
    <x v="18"/>
    <x v="4"/>
    <x v="68"/>
    <x v="4"/>
    <x v="3"/>
    <x v="47"/>
    <x v="29"/>
  </r>
  <r>
    <x v="2664"/>
    <x v="64"/>
    <x v="3"/>
    <x v="4"/>
    <x v="57"/>
    <x v="4"/>
    <x v="3"/>
    <x v="6"/>
    <x v="29"/>
  </r>
  <r>
    <x v="2665"/>
    <x v="46"/>
    <x v="0"/>
    <x v="8"/>
    <x v="88"/>
    <x v="2"/>
    <x v="3"/>
    <x v="7"/>
    <x v="29"/>
  </r>
  <r>
    <x v="2666"/>
    <x v="78"/>
    <x v="3"/>
    <x v="9"/>
    <x v="40"/>
    <x v="0"/>
    <x v="4"/>
    <x v="37"/>
    <x v="29"/>
  </r>
  <r>
    <x v="2667"/>
    <x v="16"/>
    <x v="1"/>
    <x v="0"/>
    <x v="9"/>
    <x v="2"/>
    <x v="4"/>
    <x v="62"/>
    <x v="29"/>
  </r>
  <r>
    <x v="2668"/>
    <x v="48"/>
    <x v="0"/>
    <x v="8"/>
    <x v="86"/>
    <x v="2"/>
    <x v="3"/>
    <x v="21"/>
    <x v="29"/>
  </r>
  <r>
    <x v="2669"/>
    <x v="95"/>
    <x v="20"/>
    <x v="6"/>
    <x v="144"/>
    <x v="3"/>
    <x v="0"/>
    <x v="111"/>
    <x v="29"/>
  </r>
  <r>
    <x v="2670"/>
    <x v="53"/>
    <x v="13"/>
    <x v="9"/>
    <x v="215"/>
    <x v="2"/>
    <x v="3"/>
    <x v="302"/>
    <x v="29"/>
  </r>
  <r>
    <x v="2671"/>
    <x v="0"/>
    <x v="8"/>
    <x v="15"/>
    <x v="131"/>
    <x v="0"/>
    <x v="3"/>
    <x v="35"/>
    <x v="29"/>
  </r>
  <r>
    <x v="2672"/>
    <x v="61"/>
    <x v="11"/>
    <x v="5"/>
    <x v="45"/>
    <x v="8"/>
    <x v="1"/>
    <x v="131"/>
    <x v="29"/>
  </r>
  <r>
    <x v="2673"/>
    <x v="44"/>
    <x v="4"/>
    <x v="13"/>
    <x v="56"/>
    <x v="15"/>
    <x v="12"/>
    <x v="125"/>
    <x v="29"/>
  </r>
  <r>
    <x v="2674"/>
    <x v="55"/>
    <x v="16"/>
    <x v="12"/>
    <x v="86"/>
    <x v="2"/>
    <x v="3"/>
    <x v="109"/>
    <x v="29"/>
  </r>
  <r>
    <x v="2675"/>
    <x v="6"/>
    <x v="18"/>
    <x v="5"/>
    <x v="93"/>
    <x v="8"/>
    <x v="1"/>
    <x v="8"/>
    <x v="29"/>
  </r>
  <r>
    <x v="2676"/>
    <x v="87"/>
    <x v="6"/>
    <x v="5"/>
    <x v="90"/>
    <x v="1"/>
    <x v="2"/>
    <x v="32"/>
    <x v="29"/>
  </r>
  <r>
    <x v="2677"/>
    <x v="69"/>
    <x v="4"/>
    <x v="7"/>
    <x v="25"/>
    <x v="2"/>
    <x v="3"/>
    <x v="40"/>
    <x v="29"/>
  </r>
  <r>
    <x v="2678"/>
    <x v="71"/>
    <x v="7"/>
    <x v="5"/>
    <x v="110"/>
    <x v="12"/>
    <x v="13"/>
    <x v="47"/>
    <x v="29"/>
  </r>
  <r>
    <x v="2679"/>
    <x v="13"/>
    <x v="11"/>
    <x v="3"/>
    <x v="99"/>
    <x v="8"/>
    <x v="0"/>
    <x v="228"/>
    <x v="29"/>
  </r>
  <r>
    <x v="2680"/>
    <x v="34"/>
    <x v="2"/>
    <x v="5"/>
    <x v="44"/>
    <x v="5"/>
    <x v="5"/>
    <x v="73"/>
    <x v="29"/>
  </r>
  <r>
    <x v="2681"/>
    <x v="40"/>
    <x v="17"/>
    <x v="5"/>
    <x v="141"/>
    <x v="0"/>
    <x v="4"/>
    <x v="38"/>
    <x v="29"/>
  </r>
  <r>
    <x v="2682"/>
    <x v="35"/>
    <x v="0"/>
    <x v="3"/>
    <x v="116"/>
    <x v="8"/>
    <x v="0"/>
    <x v="42"/>
    <x v="29"/>
  </r>
  <r>
    <x v="2683"/>
    <x v="69"/>
    <x v="5"/>
    <x v="7"/>
    <x v="30"/>
    <x v="1"/>
    <x v="6"/>
    <x v="140"/>
    <x v="29"/>
  </r>
  <r>
    <x v="2684"/>
    <x v="84"/>
    <x v="4"/>
    <x v="0"/>
    <x v="24"/>
    <x v="8"/>
    <x v="9"/>
    <x v="52"/>
    <x v="29"/>
  </r>
  <r>
    <x v="2685"/>
    <x v="67"/>
    <x v="7"/>
    <x v="7"/>
    <x v="11"/>
    <x v="2"/>
    <x v="3"/>
    <x v="110"/>
    <x v="29"/>
  </r>
  <r>
    <x v="2686"/>
    <x v="72"/>
    <x v="0"/>
    <x v="0"/>
    <x v="51"/>
    <x v="7"/>
    <x v="11"/>
    <x v="27"/>
    <x v="29"/>
  </r>
  <r>
    <x v="2687"/>
    <x v="43"/>
    <x v="7"/>
    <x v="7"/>
    <x v="54"/>
    <x v="5"/>
    <x v="0"/>
    <x v="25"/>
    <x v="29"/>
  </r>
  <r>
    <x v="2688"/>
    <x v="49"/>
    <x v="5"/>
    <x v="12"/>
    <x v="110"/>
    <x v="2"/>
    <x v="4"/>
    <x v="73"/>
    <x v="30"/>
  </r>
  <r>
    <x v="2689"/>
    <x v="18"/>
    <x v="15"/>
    <x v="3"/>
    <x v="61"/>
    <x v="11"/>
    <x v="6"/>
    <x v="13"/>
    <x v="30"/>
  </r>
  <r>
    <x v="2690"/>
    <x v="98"/>
    <x v="13"/>
    <x v="3"/>
    <x v="102"/>
    <x v="0"/>
    <x v="0"/>
    <x v="41"/>
    <x v="30"/>
  </r>
  <r>
    <x v="2691"/>
    <x v="76"/>
    <x v="13"/>
    <x v="2"/>
    <x v="52"/>
    <x v="0"/>
    <x v="3"/>
    <x v="13"/>
    <x v="30"/>
  </r>
  <r>
    <x v="2692"/>
    <x v="24"/>
    <x v="6"/>
    <x v="9"/>
    <x v="106"/>
    <x v="11"/>
    <x v="4"/>
    <x v="97"/>
    <x v="30"/>
  </r>
  <r>
    <x v="2693"/>
    <x v="34"/>
    <x v="11"/>
    <x v="5"/>
    <x v="95"/>
    <x v="6"/>
    <x v="4"/>
    <x v="47"/>
    <x v="30"/>
  </r>
  <r>
    <x v="2694"/>
    <x v="8"/>
    <x v="20"/>
    <x v="4"/>
    <x v="46"/>
    <x v="4"/>
    <x v="3"/>
    <x v="18"/>
    <x v="30"/>
  </r>
  <r>
    <x v="2695"/>
    <x v="81"/>
    <x v="9"/>
    <x v="8"/>
    <x v="13"/>
    <x v="0"/>
    <x v="0"/>
    <x v="61"/>
    <x v="30"/>
  </r>
  <r>
    <x v="2696"/>
    <x v="19"/>
    <x v="6"/>
    <x v="3"/>
    <x v="5"/>
    <x v="2"/>
    <x v="3"/>
    <x v="278"/>
    <x v="30"/>
  </r>
  <r>
    <x v="2697"/>
    <x v="69"/>
    <x v="4"/>
    <x v="8"/>
    <x v="86"/>
    <x v="13"/>
    <x v="3"/>
    <x v="54"/>
    <x v="30"/>
  </r>
  <r>
    <x v="2698"/>
    <x v="13"/>
    <x v="11"/>
    <x v="3"/>
    <x v="138"/>
    <x v="8"/>
    <x v="4"/>
    <x v="88"/>
    <x v="30"/>
  </r>
  <r>
    <x v="2699"/>
    <x v="59"/>
    <x v="4"/>
    <x v="0"/>
    <x v="50"/>
    <x v="13"/>
    <x v="3"/>
    <x v="18"/>
    <x v="30"/>
  </r>
  <r>
    <x v="2700"/>
    <x v="85"/>
    <x v="16"/>
    <x v="7"/>
    <x v="151"/>
    <x v="4"/>
    <x v="3"/>
    <x v="32"/>
    <x v="30"/>
  </r>
  <r>
    <x v="2701"/>
    <x v="0"/>
    <x v="16"/>
    <x v="5"/>
    <x v="85"/>
    <x v="1"/>
    <x v="10"/>
    <x v="100"/>
    <x v="30"/>
  </r>
  <r>
    <x v="2702"/>
    <x v="40"/>
    <x v="2"/>
    <x v="7"/>
    <x v="44"/>
    <x v="9"/>
    <x v="7"/>
    <x v="38"/>
    <x v="30"/>
  </r>
  <r>
    <x v="2703"/>
    <x v="56"/>
    <x v="12"/>
    <x v="8"/>
    <x v="103"/>
    <x v="0"/>
    <x v="3"/>
    <x v="104"/>
    <x v="30"/>
  </r>
  <r>
    <x v="2704"/>
    <x v="97"/>
    <x v="20"/>
    <x v="9"/>
    <x v="68"/>
    <x v="8"/>
    <x v="1"/>
    <x v="18"/>
    <x v="30"/>
  </r>
  <r>
    <x v="2705"/>
    <x v="77"/>
    <x v="13"/>
    <x v="5"/>
    <x v="115"/>
    <x v="8"/>
    <x v="1"/>
    <x v="58"/>
    <x v="30"/>
  </r>
  <r>
    <x v="2706"/>
    <x v="75"/>
    <x v="1"/>
    <x v="4"/>
    <x v="62"/>
    <x v="3"/>
    <x v="10"/>
    <x v="62"/>
    <x v="30"/>
  </r>
  <r>
    <x v="2707"/>
    <x v="91"/>
    <x v="5"/>
    <x v="12"/>
    <x v="24"/>
    <x v="0"/>
    <x v="4"/>
    <x v="144"/>
    <x v="30"/>
  </r>
  <r>
    <x v="2708"/>
    <x v="2"/>
    <x v="11"/>
    <x v="7"/>
    <x v="115"/>
    <x v="11"/>
    <x v="1"/>
    <x v="82"/>
    <x v="30"/>
  </r>
  <r>
    <x v="2709"/>
    <x v="50"/>
    <x v="2"/>
    <x v="4"/>
    <x v="144"/>
    <x v="0"/>
    <x v="3"/>
    <x v="162"/>
    <x v="30"/>
  </r>
  <r>
    <x v="2710"/>
    <x v="10"/>
    <x v="1"/>
    <x v="5"/>
    <x v="15"/>
    <x v="0"/>
    <x v="4"/>
    <x v="303"/>
    <x v="30"/>
  </r>
  <r>
    <x v="2711"/>
    <x v="96"/>
    <x v="8"/>
    <x v="0"/>
    <x v="64"/>
    <x v="1"/>
    <x v="1"/>
    <x v="61"/>
    <x v="30"/>
  </r>
  <r>
    <x v="2712"/>
    <x v="84"/>
    <x v="1"/>
    <x v="7"/>
    <x v="30"/>
    <x v="11"/>
    <x v="4"/>
    <x v="35"/>
    <x v="30"/>
  </r>
  <r>
    <x v="2713"/>
    <x v="11"/>
    <x v="12"/>
    <x v="13"/>
    <x v="21"/>
    <x v="11"/>
    <x v="0"/>
    <x v="10"/>
    <x v="30"/>
  </r>
  <r>
    <x v="2714"/>
    <x v="39"/>
    <x v="17"/>
    <x v="6"/>
    <x v="62"/>
    <x v="13"/>
    <x v="3"/>
    <x v="65"/>
    <x v="30"/>
  </r>
  <r>
    <x v="2715"/>
    <x v="88"/>
    <x v="13"/>
    <x v="14"/>
    <x v="82"/>
    <x v="7"/>
    <x v="2"/>
    <x v="18"/>
    <x v="30"/>
  </r>
  <r>
    <x v="2716"/>
    <x v="36"/>
    <x v="5"/>
    <x v="11"/>
    <x v="69"/>
    <x v="0"/>
    <x v="1"/>
    <x v="168"/>
    <x v="30"/>
  </r>
  <r>
    <x v="2717"/>
    <x v="72"/>
    <x v="4"/>
    <x v="8"/>
    <x v="103"/>
    <x v="7"/>
    <x v="10"/>
    <x v="2"/>
    <x v="30"/>
  </r>
  <r>
    <x v="2718"/>
    <x v="32"/>
    <x v="11"/>
    <x v="5"/>
    <x v="12"/>
    <x v="0"/>
    <x v="4"/>
    <x v="269"/>
    <x v="30"/>
  </r>
  <r>
    <x v="2719"/>
    <x v="5"/>
    <x v="1"/>
    <x v="4"/>
    <x v="18"/>
    <x v="11"/>
    <x v="1"/>
    <x v="2"/>
    <x v="30"/>
  </r>
  <r>
    <x v="2720"/>
    <x v="48"/>
    <x v="6"/>
    <x v="5"/>
    <x v="15"/>
    <x v="8"/>
    <x v="0"/>
    <x v="111"/>
    <x v="30"/>
  </r>
  <r>
    <x v="2721"/>
    <x v="12"/>
    <x v="19"/>
    <x v="7"/>
    <x v="11"/>
    <x v="11"/>
    <x v="1"/>
    <x v="54"/>
    <x v="30"/>
  </r>
  <r>
    <x v="2722"/>
    <x v="62"/>
    <x v="19"/>
    <x v="7"/>
    <x v="14"/>
    <x v="2"/>
    <x v="3"/>
    <x v="50"/>
    <x v="30"/>
  </r>
  <r>
    <x v="2723"/>
    <x v="27"/>
    <x v="9"/>
    <x v="0"/>
    <x v="65"/>
    <x v="13"/>
    <x v="3"/>
    <x v="103"/>
    <x v="30"/>
  </r>
  <r>
    <x v="2724"/>
    <x v="3"/>
    <x v="3"/>
    <x v="2"/>
    <x v="20"/>
    <x v="0"/>
    <x v="4"/>
    <x v="35"/>
    <x v="30"/>
  </r>
  <r>
    <x v="2725"/>
    <x v="92"/>
    <x v="0"/>
    <x v="7"/>
    <x v="0"/>
    <x v="11"/>
    <x v="0"/>
    <x v="76"/>
    <x v="30"/>
  </r>
  <r>
    <x v="2726"/>
    <x v="70"/>
    <x v="1"/>
    <x v="3"/>
    <x v="22"/>
    <x v="4"/>
    <x v="4"/>
    <x v="34"/>
    <x v="30"/>
  </r>
  <r>
    <x v="2727"/>
    <x v="38"/>
    <x v="4"/>
    <x v="0"/>
    <x v="21"/>
    <x v="6"/>
    <x v="3"/>
    <x v="62"/>
    <x v="30"/>
  </r>
  <r>
    <x v="2728"/>
    <x v="20"/>
    <x v="0"/>
    <x v="3"/>
    <x v="69"/>
    <x v="3"/>
    <x v="5"/>
    <x v="15"/>
    <x v="30"/>
  </r>
  <r>
    <x v="2729"/>
    <x v="83"/>
    <x v="9"/>
    <x v="7"/>
    <x v="31"/>
    <x v="2"/>
    <x v="3"/>
    <x v="7"/>
    <x v="30"/>
  </r>
  <r>
    <x v="2730"/>
    <x v="89"/>
    <x v="1"/>
    <x v="4"/>
    <x v="106"/>
    <x v="2"/>
    <x v="0"/>
    <x v="71"/>
    <x v="30"/>
  </r>
  <r>
    <x v="2648"/>
    <x v="79"/>
    <x v="12"/>
    <x v="8"/>
    <x v="25"/>
    <x v="0"/>
    <x v="1"/>
    <x v="28"/>
    <x v="30"/>
  </r>
  <r>
    <x v="2731"/>
    <x v="44"/>
    <x v="4"/>
    <x v="12"/>
    <x v="21"/>
    <x v="13"/>
    <x v="3"/>
    <x v="110"/>
    <x v="30"/>
  </r>
  <r>
    <x v="2732"/>
    <x v="15"/>
    <x v="0"/>
    <x v="6"/>
    <x v="13"/>
    <x v="13"/>
    <x v="3"/>
    <x v="65"/>
    <x v="30"/>
  </r>
  <r>
    <x v="2733"/>
    <x v="28"/>
    <x v="9"/>
    <x v="13"/>
    <x v="37"/>
    <x v="13"/>
    <x v="3"/>
    <x v="24"/>
    <x v="30"/>
  </r>
  <r>
    <x v="2734"/>
    <x v="93"/>
    <x v="14"/>
    <x v="6"/>
    <x v="15"/>
    <x v="5"/>
    <x v="0"/>
    <x v="304"/>
    <x v="30"/>
  </r>
  <r>
    <x v="2735"/>
    <x v="85"/>
    <x v="7"/>
    <x v="6"/>
    <x v="39"/>
    <x v="8"/>
    <x v="4"/>
    <x v="96"/>
    <x v="30"/>
  </r>
  <r>
    <x v="2736"/>
    <x v="45"/>
    <x v="6"/>
    <x v="2"/>
    <x v="100"/>
    <x v="0"/>
    <x v="3"/>
    <x v="305"/>
    <x v="30"/>
  </r>
  <r>
    <x v="2737"/>
    <x v="90"/>
    <x v="6"/>
    <x v="5"/>
    <x v="158"/>
    <x v="0"/>
    <x v="9"/>
    <x v="9"/>
    <x v="30"/>
  </r>
  <r>
    <x v="2738"/>
    <x v="63"/>
    <x v="0"/>
    <x v="11"/>
    <x v="129"/>
    <x v="11"/>
    <x v="6"/>
    <x v="76"/>
    <x v="30"/>
  </r>
  <r>
    <x v="2739"/>
    <x v="43"/>
    <x v="12"/>
    <x v="7"/>
    <x v="69"/>
    <x v="5"/>
    <x v="10"/>
    <x v="73"/>
    <x v="30"/>
  </r>
  <r>
    <x v="2740"/>
    <x v="29"/>
    <x v="12"/>
    <x v="0"/>
    <x v="69"/>
    <x v="0"/>
    <x v="1"/>
    <x v="82"/>
    <x v="30"/>
  </r>
  <r>
    <x v="2741"/>
    <x v="58"/>
    <x v="11"/>
    <x v="5"/>
    <x v="82"/>
    <x v="5"/>
    <x v="10"/>
    <x v="71"/>
    <x v="30"/>
  </r>
  <r>
    <x v="2742"/>
    <x v="74"/>
    <x v="0"/>
    <x v="3"/>
    <x v="42"/>
    <x v="1"/>
    <x v="7"/>
    <x v="10"/>
    <x v="30"/>
  </r>
  <r>
    <x v="2743"/>
    <x v="90"/>
    <x v="5"/>
    <x v="7"/>
    <x v="30"/>
    <x v="0"/>
    <x v="9"/>
    <x v="145"/>
    <x v="30"/>
  </r>
  <r>
    <x v="2744"/>
    <x v="16"/>
    <x v="1"/>
    <x v="3"/>
    <x v="22"/>
    <x v="8"/>
    <x v="4"/>
    <x v="156"/>
    <x v="30"/>
  </r>
  <r>
    <x v="2745"/>
    <x v="54"/>
    <x v="12"/>
    <x v="8"/>
    <x v="31"/>
    <x v="5"/>
    <x v="1"/>
    <x v="10"/>
    <x v="30"/>
  </r>
  <r>
    <x v="2746"/>
    <x v="4"/>
    <x v="20"/>
    <x v="5"/>
    <x v="7"/>
    <x v="5"/>
    <x v="1"/>
    <x v="82"/>
    <x v="30"/>
  </r>
  <r>
    <x v="2747"/>
    <x v="46"/>
    <x v="0"/>
    <x v="6"/>
    <x v="35"/>
    <x v="8"/>
    <x v="4"/>
    <x v="4"/>
    <x v="30"/>
  </r>
  <r>
    <x v="2748"/>
    <x v="7"/>
    <x v="20"/>
    <x v="4"/>
    <x v="12"/>
    <x v="13"/>
    <x v="3"/>
    <x v="91"/>
    <x v="30"/>
  </r>
  <r>
    <x v="2749"/>
    <x v="23"/>
    <x v="7"/>
    <x v="6"/>
    <x v="43"/>
    <x v="12"/>
    <x v="19"/>
    <x v="62"/>
    <x v="30"/>
  </r>
  <r>
    <x v="2750"/>
    <x v="61"/>
    <x v="17"/>
    <x v="6"/>
    <x v="90"/>
    <x v="13"/>
    <x v="3"/>
    <x v="37"/>
    <x v="30"/>
  </r>
  <r>
    <x v="2751"/>
    <x v="6"/>
    <x v="17"/>
    <x v="3"/>
    <x v="28"/>
    <x v="13"/>
    <x v="3"/>
    <x v="73"/>
    <x v="30"/>
  </r>
  <r>
    <x v="2752"/>
    <x v="17"/>
    <x v="1"/>
    <x v="0"/>
    <x v="55"/>
    <x v="14"/>
    <x v="13"/>
    <x v="117"/>
    <x v="30"/>
  </r>
  <r>
    <x v="2753"/>
    <x v="1"/>
    <x v="17"/>
    <x v="5"/>
    <x v="90"/>
    <x v="13"/>
    <x v="3"/>
    <x v="129"/>
    <x v="30"/>
  </r>
  <r>
    <x v="2754"/>
    <x v="26"/>
    <x v="5"/>
    <x v="13"/>
    <x v="65"/>
    <x v="6"/>
    <x v="3"/>
    <x v="4"/>
    <x v="30"/>
  </r>
  <r>
    <x v="2755"/>
    <x v="37"/>
    <x v="7"/>
    <x v="7"/>
    <x v="0"/>
    <x v="11"/>
    <x v="0"/>
    <x v="84"/>
    <x v="30"/>
  </r>
  <r>
    <x v="2756"/>
    <x v="42"/>
    <x v="9"/>
    <x v="12"/>
    <x v="51"/>
    <x v="2"/>
    <x v="3"/>
    <x v="59"/>
    <x v="30"/>
  </r>
  <r>
    <x v="2757"/>
    <x v="30"/>
    <x v="0"/>
    <x v="0"/>
    <x v="59"/>
    <x v="8"/>
    <x v="9"/>
    <x v="50"/>
    <x v="30"/>
  </r>
  <r>
    <x v="2758"/>
    <x v="66"/>
    <x v="13"/>
    <x v="9"/>
    <x v="52"/>
    <x v="8"/>
    <x v="4"/>
    <x v="55"/>
    <x v="30"/>
  </r>
  <r>
    <x v="2759"/>
    <x v="22"/>
    <x v="18"/>
    <x v="4"/>
    <x v="53"/>
    <x v="2"/>
    <x v="9"/>
    <x v="87"/>
    <x v="30"/>
  </r>
  <r>
    <x v="2760"/>
    <x v="51"/>
    <x v="13"/>
    <x v="9"/>
    <x v="108"/>
    <x v="4"/>
    <x v="9"/>
    <x v="58"/>
    <x v="30"/>
  </r>
  <r>
    <x v="2761"/>
    <x v="94"/>
    <x v="12"/>
    <x v="12"/>
    <x v="21"/>
    <x v="2"/>
    <x v="4"/>
    <x v="152"/>
    <x v="30"/>
  </r>
  <r>
    <x v="2762"/>
    <x v="25"/>
    <x v="1"/>
    <x v="6"/>
    <x v="114"/>
    <x v="2"/>
    <x v="9"/>
    <x v="47"/>
    <x v="30"/>
  </r>
  <r>
    <x v="2763"/>
    <x v="47"/>
    <x v="0"/>
    <x v="9"/>
    <x v="11"/>
    <x v="2"/>
    <x v="9"/>
    <x v="109"/>
    <x v="30"/>
  </r>
  <r>
    <x v="2764"/>
    <x v="60"/>
    <x v="20"/>
    <x v="6"/>
    <x v="57"/>
    <x v="5"/>
    <x v="9"/>
    <x v="91"/>
    <x v="30"/>
  </r>
  <r>
    <x v="2765"/>
    <x v="71"/>
    <x v="0"/>
    <x v="7"/>
    <x v="51"/>
    <x v="8"/>
    <x v="9"/>
    <x v="306"/>
    <x v="30"/>
  </r>
  <r>
    <x v="2766"/>
    <x v="21"/>
    <x v="6"/>
    <x v="5"/>
    <x v="5"/>
    <x v="8"/>
    <x v="9"/>
    <x v="34"/>
    <x v="30"/>
  </r>
  <r>
    <x v="2767"/>
    <x v="68"/>
    <x v="13"/>
    <x v="2"/>
    <x v="8"/>
    <x v="4"/>
    <x v="9"/>
    <x v="307"/>
    <x v="30"/>
  </r>
  <r>
    <x v="448"/>
    <x v="33"/>
    <x v="11"/>
    <x v="4"/>
    <x v="28"/>
    <x v="11"/>
    <x v="4"/>
    <x v="175"/>
    <x v="30"/>
  </r>
  <r>
    <x v="2768"/>
    <x v="35"/>
    <x v="0"/>
    <x v="13"/>
    <x v="231"/>
    <x v="4"/>
    <x v="4"/>
    <x v="70"/>
    <x v="30"/>
  </r>
  <r>
    <x v="2769"/>
    <x v="57"/>
    <x v="5"/>
    <x v="11"/>
    <x v="50"/>
    <x v="0"/>
    <x v="0"/>
    <x v="44"/>
    <x v="30"/>
  </r>
  <r>
    <x v="2770"/>
    <x v="55"/>
    <x v="12"/>
    <x v="3"/>
    <x v="125"/>
    <x v="0"/>
    <x v="0"/>
    <x v="6"/>
    <x v="30"/>
  </r>
  <r>
    <x v="2771"/>
    <x v="87"/>
    <x v="6"/>
    <x v="4"/>
    <x v="116"/>
    <x v="8"/>
    <x v="4"/>
    <x v="12"/>
    <x v="30"/>
  </r>
  <r>
    <x v="2772"/>
    <x v="80"/>
    <x v="6"/>
    <x v="9"/>
    <x v="105"/>
    <x v="3"/>
    <x v="10"/>
    <x v="85"/>
    <x v="30"/>
  </r>
  <r>
    <x v="2773"/>
    <x v="52"/>
    <x v="5"/>
    <x v="8"/>
    <x v="69"/>
    <x v="0"/>
    <x v="0"/>
    <x v="21"/>
    <x v="30"/>
  </r>
  <r>
    <x v="2774"/>
    <x v="95"/>
    <x v="13"/>
    <x v="4"/>
    <x v="108"/>
    <x v="5"/>
    <x v="6"/>
    <x v="54"/>
    <x v="30"/>
  </r>
  <r>
    <x v="2775"/>
    <x v="14"/>
    <x v="12"/>
    <x v="3"/>
    <x v="51"/>
    <x v="0"/>
    <x v="4"/>
    <x v="48"/>
    <x v="30"/>
  </r>
  <r>
    <x v="2776"/>
    <x v="54"/>
    <x v="1"/>
    <x v="0"/>
    <x v="114"/>
    <x v="4"/>
    <x v="3"/>
    <x v="58"/>
    <x v="31"/>
  </r>
  <r>
    <x v="2777"/>
    <x v="11"/>
    <x v="10"/>
    <x v="3"/>
    <x v="15"/>
    <x v="8"/>
    <x v="9"/>
    <x v="20"/>
    <x v="31"/>
  </r>
  <r>
    <x v="2778"/>
    <x v="85"/>
    <x v="16"/>
    <x v="4"/>
    <x v="51"/>
    <x v="9"/>
    <x v="2"/>
    <x v="149"/>
    <x v="31"/>
  </r>
  <r>
    <x v="2779"/>
    <x v="26"/>
    <x v="4"/>
    <x v="0"/>
    <x v="65"/>
    <x v="6"/>
    <x v="3"/>
    <x v="41"/>
    <x v="31"/>
  </r>
  <r>
    <x v="2780"/>
    <x v="31"/>
    <x v="4"/>
    <x v="8"/>
    <x v="51"/>
    <x v="8"/>
    <x v="1"/>
    <x v="32"/>
    <x v="31"/>
  </r>
  <r>
    <x v="2781"/>
    <x v="16"/>
    <x v="15"/>
    <x v="6"/>
    <x v="8"/>
    <x v="5"/>
    <x v="1"/>
    <x v="31"/>
    <x v="31"/>
  </r>
  <r>
    <x v="2782"/>
    <x v="7"/>
    <x v="13"/>
    <x v="2"/>
    <x v="47"/>
    <x v="8"/>
    <x v="4"/>
    <x v="105"/>
    <x v="31"/>
  </r>
  <r>
    <x v="2783"/>
    <x v="83"/>
    <x v="9"/>
    <x v="18"/>
    <x v="76"/>
    <x v="2"/>
    <x v="3"/>
    <x v="148"/>
    <x v="31"/>
  </r>
  <r>
    <x v="2784"/>
    <x v="88"/>
    <x v="2"/>
    <x v="6"/>
    <x v="2"/>
    <x v="1"/>
    <x v="10"/>
    <x v="76"/>
    <x v="31"/>
  </r>
  <r>
    <x v="2785"/>
    <x v="29"/>
    <x v="9"/>
    <x v="0"/>
    <x v="0"/>
    <x v="0"/>
    <x v="4"/>
    <x v="69"/>
    <x v="31"/>
  </r>
  <r>
    <x v="2786"/>
    <x v="12"/>
    <x v="5"/>
    <x v="8"/>
    <x v="123"/>
    <x v="0"/>
    <x v="3"/>
    <x v="20"/>
    <x v="31"/>
  </r>
  <r>
    <x v="2787"/>
    <x v="41"/>
    <x v="0"/>
    <x v="6"/>
    <x v="125"/>
    <x v="8"/>
    <x v="0"/>
    <x v="10"/>
    <x v="31"/>
  </r>
  <r>
    <x v="2788"/>
    <x v="38"/>
    <x v="9"/>
    <x v="3"/>
    <x v="34"/>
    <x v="4"/>
    <x v="3"/>
    <x v="62"/>
    <x v="31"/>
  </r>
  <r>
    <x v="2789"/>
    <x v="98"/>
    <x v="20"/>
    <x v="9"/>
    <x v="115"/>
    <x v="0"/>
    <x v="0"/>
    <x v="95"/>
    <x v="31"/>
  </r>
  <r>
    <x v="2790"/>
    <x v="25"/>
    <x v="1"/>
    <x v="3"/>
    <x v="66"/>
    <x v="11"/>
    <x v="1"/>
    <x v="18"/>
    <x v="31"/>
  </r>
  <r>
    <x v="2791"/>
    <x v="55"/>
    <x v="5"/>
    <x v="12"/>
    <x v="42"/>
    <x v="11"/>
    <x v="5"/>
    <x v="73"/>
    <x v="31"/>
  </r>
  <r>
    <x v="2792"/>
    <x v="96"/>
    <x v="7"/>
    <x v="6"/>
    <x v="24"/>
    <x v="15"/>
    <x v="13"/>
    <x v="13"/>
    <x v="31"/>
  </r>
  <r>
    <x v="2793"/>
    <x v="49"/>
    <x v="4"/>
    <x v="3"/>
    <x v="21"/>
    <x v="2"/>
    <x v="0"/>
    <x v="131"/>
    <x v="31"/>
  </r>
  <r>
    <x v="2794"/>
    <x v="77"/>
    <x v="13"/>
    <x v="4"/>
    <x v="47"/>
    <x v="2"/>
    <x v="4"/>
    <x v="101"/>
    <x v="31"/>
  </r>
  <r>
    <x v="2795"/>
    <x v="28"/>
    <x v="6"/>
    <x v="2"/>
    <x v="121"/>
    <x v="0"/>
    <x v="9"/>
    <x v="308"/>
    <x v="31"/>
  </r>
  <r>
    <x v="2796"/>
    <x v="97"/>
    <x v="20"/>
    <x v="9"/>
    <x v="215"/>
    <x v="7"/>
    <x v="5"/>
    <x v="238"/>
    <x v="31"/>
  </r>
  <r>
    <x v="2797"/>
    <x v="89"/>
    <x v="20"/>
    <x v="5"/>
    <x v="47"/>
    <x v="2"/>
    <x v="4"/>
    <x v="6"/>
    <x v="31"/>
  </r>
  <r>
    <x v="2798"/>
    <x v="93"/>
    <x v="14"/>
    <x v="7"/>
    <x v="74"/>
    <x v="16"/>
    <x v="2"/>
    <x v="36"/>
    <x v="31"/>
  </r>
  <r>
    <x v="2799"/>
    <x v="59"/>
    <x v="9"/>
    <x v="3"/>
    <x v="42"/>
    <x v="0"/>
    <x v="0"/>
    <x v="20"/>
    <x v="31"/>
  </r>
  <r>
    <x v="2800"/>
    <x v="17"/>
    <x v="1"/>
    <x v="6"/>
    <x v="19"/>
    <x v="8"/>
    <x v="0"/>
    <x v="2"/>
    <x v="31"/>
  </r>
  <r>
    <x v="2801"/>
    <x v="15"/>
    <x v="6"/>
    <x v="6"/>
    <x v="5"/>
    <x v="8"/>
    <x v="0"/>
    <x v="37"/>
    <x v="31"/>
  </r>
  <r>
    <x v="2802"/>
    <x v="94"/>
    <x v="4"/>
    <x v="3"/>
    <x v="149"/>
    <x v="2"/>
    <x v="3"/>
    <x v="97"/>
    <x v="31"/>
  </r>
  <r>
    <x v="2803"/>
    <x v="36"/>
    <x v="4"/>
    <x v="0"/>
    <x v="37"/>
    <x v="1"/>
    <x v="5"/>
    <x v="77"/>
    <x v="31"/>
  </r>
  <r>
    <x v="2804"/>
    <x v="57"/>
    <x v="10"/>
    <x v="8"/>
    <x v="5"/>
    <x v="3"/>
    <x v="5"/>
    <x v="309"/>
    <x v="31"/>
  </r>
  <r>
    <x v="2805"/>
    <x v="69"/>
    <x v="4"/>
    <x v="8"/>
    <x v="37"/>
    <x v="2"/>
    <x v="0"/>
    <x v="77"/>
    <x v="31"/>
  </r>
  <r>
    <x v="2806"/>
    <x v="80"/>
    <x v="0"/>
    <x v="7"/>
    <x v="42"/>
    <x v="2"/>
    <x v="3"/>
    <x v="74"/>
    <x v="31"/>
  </r>
  <r>
    <x v="2807"/>
    <x v="5"/>
    <x v="1"/>
    <x v="7"/>
    <x v="38"/>
    <x v="7"/>
    <x v="2"/>
    <x v="32"/>
    <x v="31"/>
  </r>
  <r>
    <x v="2808"/>
    <x v="51"/>
    <x v="20"/>
    <x v="3"/>
    <x v="47"/>
    <x v="0"/>
    <x v="9"/>
    <x v="66"/>
    <x v="31"/>
  </r>
  <r>
    <x v="2809"/>
    <x v="40"/>
    <x v="17"/>
    <x v="4"/>
    <x v="120"/>
    <x v="5"/>
    <x v="2"/>
    <x v="11"/>
    <x v="31"/>
  </r>
  <r>
    <x v="2810"/>
    <x v="66"/>
    <x v="20"/>
    <x v="6"/>
    <x v="3"/>
    <x v="2"/>
    <x v="3"/>
    <x v="11"/>
    <x v="31"/>
  </r>
  <r>
    <x v="2811"/>
    <x v="23"/>
    <x v="0"/>
    <x v="7"/>
    <x v="59"/>
    <x v="0"/>
    <x v="4"/>
    <x v="100"/>
    <x v="31"/>
  </r>
  <r>
    <x v="2812"/>
    <x v="46"/>
    <x v="0"/>
    <x v="7"/>
    <x v="51"/>
    <x v="2"/>
    <x v="0"/>
    <x v="11"/>
    <x v="31"/>
  </r>
  <r>
    <x v="2813"/>
    <x v="45"/>
    <x v="0"/>
    <x v="0"/>
    <x v="42"/>
    <x v="8"/>
    <x v="1"/>
    <x v="109"/>
    <x v="31"/>
  </r>
  <r>
    <x v="2814"/>
    <x v="2"/>
    <x v="17"/>
    <x v="5"/>
    <x v="214"/>
    <x v="2"/>
    <x v="4"/>
    <x v="38"/>
    <x v="31"/>
  </r>
  <r>
    <x v="2815"/>
    <x v="74"/>
    <x v="8"/>
    <x v="0"/>
    <x v="109"/>
    <x v="5"/>
    <x v="0"/>
    <x v="1"/>
    <x v="31"/>
  </r>
  <r>
    <x v="2816"/>
    <x v="75"/>
    <x v="1"/>
    <x v="0"/>
    <x v="64"/>
    <x v="7"/>
    <x v="2"/>
    <x v="7"/>
    <x v="31"/>
  </r>
  <r>
    <x v="2817"/>
    <x v="44"/>
    <x v="5"/>
    <x v="0"/>
    <x v="42"/>
    <x v="0"/>
    <x v="3"/>
    <x v="25"/>
    <x v="31"/>
  </r>
  <r>
    <x v="2818"/>
    <x v="21"/>
    <x v="1"/>
    <x v="7"/>
    <x v="14"/>
    <x v="8"/>
    <x v="3"/>
    <x v="77"/>
    <x v="31"/>
  </r>
  <r>
    <x v="2819"/>
    <x v="82"/>
    <x v="13"/>
    <x v="9"/>
    <x v="52"/>
    <x v="2"/>
    <x v="3"/>
    <x v="53"/>
    <x v="31"/>
  </r>
  <r>
    <x v="2820"/>
    <x v="10"/>
    <x v="1"/>
    <x v="6"/>
    <x v="9"/>
    <x v="8"/>
    <x v="4"/>
    <x v="24"/>
    <x v="31"/>
  </r>
  <r>
    <x v="2821"/>
    <x v="33"/>
    <x v="2"/>
    <x v="5"/>
    <x v="93"/>
    <x v="2"/>
    <x v="0"/>
    <x v="24"/>
    <x v="31"/>
  </r>
  <r>
    <x v="2822"/>
    <x v="56"/>
    <x v="7"/>
    <x v="9"/>
    <x v="22"/>
    <x v="7"/>
    <x v="2"/>
    <x v="105"/>
    <x v="31"/>
  </r>
  <r>
    <x v="2823"/>
    <x v="72"/>
    <x v="5"/>
    <x v="8"/>
    <x v="36"/>
    <x v="0"/>
    <x v="1"/>
    <x v="95"/>
    <x v="31"/>
  </r>
  <r>
    <x v="2824"/>
    <x v="62"/>
    <x v="17"/>
    <x v="3"/>
    <x v="14"/>
    <x v="0"/>
    <x v="3"/>
    <x v="108"/>
    <x v="31"/>
  </r>
  <r>
    <x v="2825"/>
    <x v="53"/>
    <x v="2"/>
    <x v="0"/>
    <x v="67"/>
    <x v="3"/>
    <x v="10"/>
    <x v="31"/>
    <x v="31"/>
  </r>
  <r>
    <x v="2826"/>
    <x v="39"/>
    <x v="9"/>
    <x v="8"/>
    <x v="32"/>
    <x v="0"/>
    <x v="0"/>
    <x v="28"/>
    <x v="31"/>
  </r>
  <r>
    <x v="2827"/>
    <x v="14"/>
    <x v="17"/>
    <x v="6"/>
    <x v="101"/>
    <x v="2"/>
    <x v="4"/>
    <x v="9"/>
    <x v="31"/>
  </r>
  <r>
    <x v="2828"/>
    <x v="87"/>
    <x v="0"/>
    <x v="7"/>
    <x v="37"/>
    <x v="0"/>
    <x v="9"/>
    <x v="90"/>
    <x v="31"/>
  </r>
  <r>
    <x v="2829"/>
    <x v="0"/>
    <x v="7"/>
    <x v="6"/>
    <x v="30"/>
    <x v="2"/>
    <x v="4"/>
    <x v="47"/>
    <x v="31"/>
  </r>
  <r>
    <x v="2830"/>
    <x v="24"/>
    <x v="6"/>
    <x v="5"/>
    <x v="9"/>
    <x v="5"/>
    <x v="6"/>
    <x v="2"/>
    <x v="31"/>
  </r>
  <r>
    <x v="2831"/>
    <x v="91"/>
    <x v="6"/>
    <x v="4"/>
    <x v="17"/>
    <x v="2"/>
    <x v="3"/>
    <x v="34"/>
    <x v="31"/>
  </r>
  <r>
    <x v="2832"/>
    <x v="47"/>
    <x v="0"/>
    <x v="0"/>
    <x v="21"/>
    <x v="2"/>
    <x v="3"/>
    <x v="13"/>
    <x v="31"/>
  </r>
  <r>
    <x v="2833"/>
    <x v="73"/>
    <x v="4"/>
    <x v="12"/>
    <x v="221"/>
    <x v="5"/>
    <x v="1"/>
    <x v="146"/>
    <x v="31"/>
  </r>
  <r>
    <x v="2834"/>
    <x v="81"/>
    <x v="5"/>
    <x v="7"/>
    <x v="42"/>
    <x v="0"/>
    <x v="4"/>
    <x v="50"/>
    <x v="31"/>
  </r>
  <r>
    <x v="2835"/>
    <x v="78"/>
    <x v="13"/>
    <x v="2"/>
    <x v="12"/>
    <x v="11"/>
    <x v="6"/>
    <x v="38"/>
    <x v="31"/>
  </r>
  <r>
    <x v="2836"/>
    <x v="71"/>
    <x v="0"/>
    <x v="8"/>
    <x v="125"/>
    <x v="8"/>
    <x v="0"/>
    <x v="108"/>
    <x v="31"/>
  </r>
  <r>
    <x v="2837"/>
    <x v="22"/>
    <x v="2"/>
    <x v="4"/>
    <x v="232"/>
    <x v="2"/>
    <x v="3"/>
    <x v="52"/>
    <x v="31"/>
  </r>
  <r>
    <x v="2838"/>
    <x v="76"/>
    <x v="13"/>
    <x v="9"/>
    <x v="82"/>
    <x v="11"/>
    <x v="9"/>
    <x v="155"/>
    <x v="31"/>
  </r>
  <r>
    <x v="2839"/>
    <x v="67"/>
    <x v="4"/>
    <x v="7"/>
    <x v="149"/>
    <x v="14"/>
    <x v="12"/>
    <x v="11"/>
    <x v="31"/>
  </r>
  <r>
    <x v="2840"/>
    <x v="6"/>
    <x v="2"/>
    <x v="6"/>
    <x v="3"/>
    <x v="11"/>
    <x v="6"/>
    <x v="51"/>
    <x v="31"/>
  </r>
  <r>
    <x v="2841"/>
    <x v="37"/>
    <x v="0"/>
    <x v="7"/>
    <x v="21"/>
    <x v="2"/>
    <x v="4"/>
    <x v="147"/>
    <x v="31"/>
  </r>
  <r>
    <x v="2842"/>
    <x v="60"/>
    <x v="20"/>
    <x v="6"/>
    <x v="102"/>
    <x v="7"/>
    <x v="10"/>
    <x v="254"/>
    <x v="31"/>
  </r>
  <r>
    <x v="2843"/>
    <x v="34"/>
    <x v="17"/>
    <x v="4"/>
    <x v="136"/>
    <x v="2"/>
    <x v="4"/>
    <x v="73"/>
    <x v="31"/>
  </r>
  <r>
    <x v="2844"/>
    <x v="4"/>
    <x v="20"/>
    <x v="9"/>
    <x v="8"/>
    <x v="11"/>
    <x v="1"/>
    <x v="54"/>
    <x v="31"/>
  </r>
  <r>
    <x v="2845"/>
    <x v="35"/>
    <x v="0"/>
    <x v="7"/>
    <x v="37"/>
    <x v="4"/>
    <x v="4"/>
    <x v="35"/>
    <x v="31"/>
  </r>
  <r>
    <x v="2846"/>
    <x v="79"/>
    <x v="9"/>
    <x v="3"/>
    <x v="116"/>
    <x v="15"/>
    <x v="13"/>
    <x v="4"/>
    <x v="31"/>
  </r>
  <r>
    <x v="2847"/>
    <x v="30"/>
    <x v="6"/>
    <x v="3"/>
    <x v="62"/>
    <x v="2"/>
    <x v="1"/>
    <x v="71"/>
    <x v="31"/>
  </r>
  <r>
    <x v="2848"/>
    <x v="99"/>
    <x v="2"/>
    <x v="6"/>
    <x v="8"/>
    <x v="8"/>
    <x v="9"/>
    <x v="22"/>
    <x v="31"/>
  </r>
  <r>
    <x v="2849"/>
    <x v="43"/>
    <x v="4"/>
    <x v="0"/>
    <x v="21"/>
    <x v="3"/>
    <x v="5"/>
    <x v="310"/>
    <x v="31"/>
  </r>
  <r>
    <x v="2850"/>
    <x v="18"/>
    <x v="17"/>
    <x v="5"/>
    <x v="127"/>
    <x v="3"/>
    <x v="2"/>
    <x v="145"/>
    <x v="31"/>
  </r>
  <r>
    <x v="2851"/>
    <x v="8"/>
    <x v="15"/>
    <x v="6"/>
    <x v="2"/>
    <x v="0"/>
    <x v="3"/>
    <x v="300"/>
    <x v="31"/>
  </r>
  <r>
    <x v="2852"/>
    <x v="1"/>
    <x v="2"/>
    <x v="6"/>
    <x v="228"/>
    <x v="0"/>
    <x v="3"/>
    <x v="99"/>
    <x v="31"/>
  </r>
  <r>
    <x v="2853"/>
    <x v="84"/>
    <x v="4"/>
    <x v="8"/>
    <x v="88"/>
    <x v="8"/>
    <x v="6"/>
    <x v="278"/>
    <x v="31"/>
  </r>
  <r>
    <x v="2854"/>
    <x v="27"/>
    <x v="1"/>
    <x v="3"/>
    <x v="9"/>
    <x v="8"/>
    <x v="4"/>
    <x v="20"/>
    <x v="31"/>
  </r>
  <r>
    <x v="2855"/>
    <x v="64"/>
    <x v="2"/>
    <x v="4"/>
    <x v="8"/>
    <x v="5"/>
    <x v="1"/>
    <x v="77"/>
    <x v="31"/>
  </r>
  <r>
    <x v="2856"/>
    <x v="63"/>
    <x v="0"/>
    <x v="3"/>
    <x v="0"/>
    <x v="9"/>
    <x v="7"/>
    <x v="254"/>
    <x v="31"/>
  </r>
  <r>
    <x v="2857"/>
    <x v="58"/>
    <x v="2"/>
    <x v="6"/>
    <x v="4"/>
    <x v="1"/>
    <x v="5"/>
    <x v="71"/>
    <x v="31"/>
  </r>
  <r>
    <x v="2858"/>
    <x v="13"/>
    <x v="2"/>
    <x v="3"/>
    <x v="20"/>
    <x v="2"/>
    <x v="9"/>
    <x v="38"/>
    <x v="31"/>
  </r>
  <r>
    <x v="2859"/>
    <x v="9"/>
    <x v="20"/>
    <x v="9"/>
    <x v="52"/>
    <x v="8"/>
    <x v="1"/>
    <x v="311"/>
    <x v="31"/>
  </r>
  <r>
    <x v="2860"/>
    <x v="42"/>
    <x v="17"/>
    <x v="5"/>
    <x v="17"/>
    <x v="0"/>
    <x v="3"/>
    <x v="84"/>
    <x v="31"/>
  </r>
  <r>
    <x v="2861"/>
    <x v="32"/>
    <x v="2"/>
    <x v="4"/>
    <x v="3"/>
    <x v="11"/>
    <x v="1"/>
    <x v="22"/>
    <x v="31"/>
  </r>
  <r>
    <x v="2862"/>
    <x v="52"/>
    <x v="0"/>
    <x v="13"/>
    <x v="51"/>
    <x v="7"/>
    <x v="2"/>
    <x v="278"/>
    <x v="31"/>
  </r>
  <r>
    <x v="2863"/>
    <x v="61"/>
    <x v="17"/>
    <x v="4"/>
    <x v="136"/>
    <x v="0"/>
    <x v="0"/>
    <x v="34"/>
    <x v="31"/>
  </r>
  <r>
    <x v="2864"/>
    <x v="68"/>
    <x v="16"/>
    <x v="6"/>
    <x v="15"/>
    <x v="4"/>
    <x v="3"/>
    <x v="146"/>
    <x v="3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3">
  <r>
    <x v="0"/>
    <x v="0"/>
    <x v="0"/>
  </r>
  <r>
    <x v="1"/>
    <x v="1"/>
    <x v="0"/>
  </r>
  <r>
    <x v="2"/>
    <x v="2"/>
    <x v="0"/>
  </r>
  <r>
    <x v="3"/>
    <x v="3"/>
    <x v="0"/>
  </r>
  <r>
    <x v="4"/>
    <x v="4"/>
    <x v="0"/>
  </r>
  <r>
    <x v="5"/>
    <x v="5"/>
    <x v="0"/>
  </r>
  <r>
    <x v="6"/>
    <x v="6"/>
    <x v="0"/>
  </r>
  <r>
    <x v="7"/>
    <x v="7"/>
    <x v="0"/>
  </r>
  <r>
    <x v="8"/>
    <x v="8"/>
    <x v="0"/>
  </r>
  <r>
    <x v="9"/>
    <x v="9"/>
    <x v="0"/>
  </r>
  <r>
    <x v="10"/>
    <x v="10"/>
    <x v="0"/>
  </r>
  <r>
    <x v="11"/>
    <x v="11"/>
    <x v="0"/>
  </r>
  <r>
    <x v="12"/>
    <x v="12"/>
    <x v="0"/>
  </r>
  <r>
    <x v="13"/>
    <x v="13"/>
    <x v="0"/>
  </r>
  <r>
    <x v="14"/>
    <x v="14"/>
    <x v="0"/>
  </r>
  <r>
    <x v="15"/>
    <x v="15"/>
    <x v="0"/>
  </r>
  <r>
    <x v="16"/>
    <x v="16"/>
    <x v="0"/>
  </r>
  <r>
    <x v="17"/>
    <x v="17"/>
    <x v="0"/>
  </r>
  <r>
    <x v="18"/>
    <x v="18"/>
    <x v="0"/>
  </r>
  <r>
    <x v="19"/>
    <x v="19"/>
    <x v="0"/>
  </r>
  <r>
    <x v="20"/>
    <x v="20"/>
    <x v="0"/>
  </r>
  <r>
    <x v="21"/>
    <x v="21"/>
    <x v="0"/>
  </r>
  <r>
    <x v="22"/>
    <x v="22"/>
    <x v="0"/>
  </r>
  <r>
    <x v="23"/>
    <x v="23"/>
    <x v="0"/>
  </r>
  <r>
    <x v="24"/>
    <x v="24"/>
    <x v="0"/>
  </r>
  <r>
    <x v="25"/>
    <x v="25"/>
    <x v="0"/>
  </r>
  <r>
    <x v="26"/>
    <x v="26"/>
    <x v="0"/>
  </r>
  <r>
    <x v="27"/>
    <x v="27"/>
    <x v="0"/>
  </r>
  <r>
    <x v="28"/>
    <x v="28"/>
    <x v="0"/>
  </r>
  <r>
    <x v="29"/>
    <x v="29"/>
    <x v="0"/>
  </r>
  <r>
    <x v="30"/>
    <x v="30"/>
    <x v="0"/>
  </r>
  <r>
    <x v="31"/>
    <x v="31"/>
    <x v="0"/>
  </r>
  <r>
    <x v="32"/>
    <x v="32"/>
    <x v="0"/>
  </r>
  <r>
    <x v="33"/>
    <x v="33"/>
    <x v="0"/>
  </r>
  <r>
    <x v="34"/>
    <x v="34"/>
    <x v="0"/>
  </r>
  <r>
    <x v="35"/>
    <x v="35"/>
    <x v="0"/>
  </r>
  <r>
    <x v="35"/>
    <x v="36"/>
    <x v="0"/>
  </r>
  <r>
    <x v="36"/>
    <x v="37"/>
    <x v="0"/>
  </r>
  <r>
    <x v="37"/>
    <x v="38"/>
    <x v="0"/>
  </r>
  <r>
    <x v="38"/>
    <x v="39"/>
    <x v="1"/>
  </r>
  <r>
    <x v="39"/>
    <x v="40"/>
    <x v="1"/>
  </r>
  <r>
    <x v="39"/>
    <x v="41"/>
    <x v="1"/>
  </r>
  <r>
    <x v="40"/>
    <x v="42"/>
    <x v="1"/>
  </r>
  <r>
    <x v="40"/>
    <x v="43"/>
    <x v="1"/>
  </r>
  <r>
    <x v="41"/>
    <x v="44"/>
    <x v="1"/>
  </r>
  <r>
    <x v="42"/>
    <x v="45"/>
    <x v="1"/>
  </r>
  <r>
    <x v="42"/>
    <x v="46"/>
    <x v="1"/>
  </r>
  <r>
    <x v="43"/>
    <x v="47"/>
    <x v="1"/>
  </r>
  <r>
    <x v="43"/>
    <x v="48"/>
    <x v="1"/>
  </r>
  <r>
    <x v="44"/>
    <x v="49"/>
    <x v="1"/>
  </r>
  <r>
    <x v="1"/>
    <x v="50"/>
    <x v="1"/>
  </r>
  <r>
    <x v="45"/>
    <x v="51"/>
    <x v="1"/>
  </r>
  <r>
    <x v="45"/>
    <x v="52"/>
    <x v="1"/>
  </r>
  <r>
    <x v="46"/>
    <x v="53"/>
    <x v="1"/>
  </r>
  <r>
    <x v="46"/>
    <x v="54"/>
    <x v="1"/>
  </r>
  <r>
    <x v="47"/>
    <x v="55"/>
    <x v="1"/>
  </r>
  <r>
    <x v="47"/>
    <x v="56"/>
    <x v="1"/>
  </r>
  <r>
    <x v="47"/>
    <x v="57"/>
    <x v="1"/>
  </r>
  <r>
    <x v="47"/>
    <x v="58"/>
    <x v="1"/>
  </r>
  <r>
    <x v="4"/>
    <x v="59"/>
    <x v="1"/>
  </r>
  <r>
    <x v="4"/>
    <x v="60"/>
    <x v="1"/>
  </r>
  <r>
    <x v="4"/>
    <x v="61"/>
    <x v="1"/>
  </r>
  <r>
    <x v="4"/>
    <x v="62"/>
    <x v="1"/>
  </r>
  <r>
    <x v="4"/>
    <x v="63"/>
    <x v="1"/>
  </r>
  <r>
    <x v="4"/>
    <x v="64"/>
    <x v="1"/>
  </r>
  <r>
    <x v="48"/>
    <x v="65"/>
    <x v="1"/>
  </r>
  <r>
    <x v="48"/>
    <x v="66"/>
    <x v="1"/>
  </r>
  <r>
    <x v="48"/>
    <x v="67"/>
    <x v="1"/>
  </r>
  <r>
    <x v="49"/>
    <x v="68"/>
    <x v="1"/>
  </r>
  <r>
    <x v="49"/>
    <x v="69"/>
    <x v="1"/>
  </r>
  <r>
    <x v="49"/>
    <x v="70"/>
    <x v="1"/>
  </r>
  <r>
    <x v="49"/>
    <x v="71"/>
    <x v="1"/>
  </r>
  <r>
    <x v="50"/>
    <x v="72"/>
    <x v="1"/>
  </r>
  <r>
    <x v="6"/>
    <x v="73"/>
    <x v="1"/>
  </r>
  <r>
    <x v="6"/>
    <x v="74"/>
    <x v="1"/>
  </r>
  <r>
    <x v="51"/>
    <x v="75"/>
    <x v="1"/>
  </r>
  <r>
    <x v="52"/>
    <x v="76"/>
    <x v="1"/>
  </r>
  <r>
    <x v="53"/>
    <x v="77"/>
    <x v="1"/>
  </r>
  <r>
    <x v="53"/>
    <x v="78"/>
    <x v="1"/>
  </r>
  <r>
    <x v="54"/>
    <x v="79"/>
    <x v="1"/>
  </r>
  <r>
    <x v="55"/>
    <x v="80"/>
    <x v="1"/>
  </r>
  <r>
    <x v="56"/>
    <x v="81"/>
    <x v="1"/>
  </r>
  <r>
    <x v="10"/>
    <x v="82"/>
    <x v="1"/>
  </r>
  <r>
    <x v="10"/>
    <x v="83"/>
    <x v="1"/>
  </r>
  <r>
    <x v="11"/>
    <x v="84"/>
    <x v="1"/>
  </r>
  <r>
    <x v="11"/>
    <x v="85"/>
    <x v="1"/>
  </r>
  <r>
    <x v="11"/>
    <x v="86"/>
    <x v="1"/>
  </r>
  <r>
    <x v="14"/>
    <x v="87"/>
    <x v="1"/>
  </r>
  <r>
    <x v="14"/>
    <x v="88"/>
    <x v="1"/>
  </r>
  <r>
    <x v="15"/>
    <x v="89"/>
    <x v="1"/>
  </r>
  <r>
    <x v="57"/>
    <x v="90"/>
    <x v="1"/>
  </r>
  <r>
    <x v="57"/>
    <x v="91"/>
    <x v="1"/>
  </r>
  <r>
    <x v="57"/>
    <x v="92"/>
    <x v="1"/>
  </r>
  <r>
    <x v="16"/>
    <x v="93"/>
    <x v="1"/>
  </r>
  <r>
    <x v="16"/>
    <x v="94"/>
    <x v="1"/>
  </r>
  <r>
    <x v="16"/>
    <x v="95"/>
    <x v="1"/>
  </r>
  <r>
    <x v="17"/>
    <x v="96"/>
    <x v="1"/>
  </r>
  <r>
    <x v="58"/>
    <x v="97"/>
    <x v="1"/>
  </r>
  <r>
    <x v="58"/>
    <x v="98"/>
    <x v="1"/>
  </r>
  <r>
    <x v="58"/>
    <x v="99"/>
    <x v="1"/>
  </r>
  <r>
    <x v="20"/>
    <x v="100"/>
    <x v="1"/>
  </r>
  <r>
    <x v="59"/>
    <x v="101"/>
    <x v="1"/>
  </r>
  <r>
    <x v="60"/>
    <x v="102"/>
    <x v="1"/>
  </r>
  <r>
    <x v="61"/>
    <x v="103"/>
    <x v="1"/>
  </r>
  <r>
    <x v="62"/>
    <x v="104"/>
    <x v="1"/>
  </r>
  <r>
    <x v="63"/>
    <x v="105"/>
    <x v="1"/>
  </r>
  <r>
    <x v="64"/>
    <x v="106"/>
    <x v="1"/>
  </r>
  <r>
    <x v="29"/>
    <x v="107"/>
    <x v="1"/>
  </r>
  <r>
    <x v="29"/>
    <x v="108"/>
    <x v="1"/>
  </r>
  <r>
    <x v="31"/>
    <x v="109"/>
    <x v="1"/>
  </r>
  <r>
    <x v="33"/>
    <x v="110"/>
    <x v="1"/>
  </r>
  <r>
    <x v="33"/>
    <x v="111"/>
    <x v="1"/>
  </r>
  <r>
    <x v="65"/>
    <x v="112"/>
    <x v="1"/>
  </r>
  <r>
    <x v="35"/>
    <x v="113"/>
    <x v="1"/>
  </r>
  <r>
    <x v="35"/>
    <x v="114"/>
    <x v="1"/>
  </r>
  <r>
    <x v="35"/>
    <x v="115"/>
    <x v="1"/>
  </r>
  <r>
    <x v="35"/>
    <x v="116"/>
    <x v="1"/>
  </r>
  <r>
    <x v="37"/>
    <x v="117"/>
    <x v="1"/>
  </r>
  <r>
    <x v="38"/>
    <x v="118"/>
    <x v="2"/>
  </r>
  <r>
    <x v="42"/>
    <x v="119"/>
    <x v="2"/>
  </r>
  <r>
    <x v="66"/>
    <x v="120"/>
    <x v="2"/>
  </r>
  <r>
    <x v="67"/>
    <x v="121"/>
    <x v="2"/>
  </r>
  <r>
    <x v="68"/>
    <x v="122"/>
    <x v="2"/>
  </r>
  <r>
    <x v="2"/>
    <x v="123"/>
    <x v="2"/>
  </r>
  <r>
    <x v="2"/>
    <x v="124"/>
    <x v="2"/>
  </r>
  <r>
    <x v="45"/>
    <x v="125"/>
    <x v="2"/>
  </r>
  <r>
    <x v="3"/>
    <x v="126"/>
    <x v="2"/>
  </r>
  <r>
    <x v="47"/>
    <x v="127"/>
    <x v="2"/>
  </r>
  <r>
    <x v="69"/>
    <x v="128"/>
    <x v="2"/>
  </r>
  <r>
    <x v="4"/>
    <x v="129"/>
    <x v="2"/>
  </r>
  <r>
    <x v="4"/>
    <x v="130"/>
    <x v="2"/>
  </r>
  <r>
    <x v="4"/>
    <x v="131"/>
    <x v="2"/>
  </r>
  <r>
    <x v="49"/>
    <x v="132"/>
    <x v="2"/>
  </r>
  <r>
    <x v="50"/>
    <x v="133"/>
    <x v="2"/>
  </r>
  <r>
    <x v="70"/>
    <x v="134"/>
    <x v="2"/>
  </r>
  <r>
    <x v="6"/>
    <x v="135"/>
    <x v="2"/>
  </r>
  <r>
    <x v="71"/>
    <x v="136"/>
    <x v="2"/>
  </r>
  <r>
    <x v="8"/>
    <x v="137"/>
    <x v="2"/>
  </r>
  <r>
    <x v="72"/>
    <x v="138"/>
    <x v="2"/>
  </r>
  <r>
    <x v="55"/>
    <x v="139"/>
    <x v="2"/>
  </r>
  <r>
    <x v="10"/>
    <x v="140"/>
    <x v="2"/>
  </r>
  <r>
    <x v="14"/>
    <x v="141"/>
    <x v="2"/>
  </r>
  <r>
    <x v="57"/>
    <x v="142"/>
    <x v="2"/>
  </r>
  <r>
    <x v="16"/>
    <x v="143"/>
    <x v="2"/>
  </r>
  <r>
    <x v="17"/>
    <x v="144"/>
    <x v="2"/>
  </r>
  <r>
    <x v="73"/>
    <x v="145"/>
    <x v="2"/>
  </r>
  <r>
    <x v="73"/>
    <x v="146"/>
    <x v="2"/>
  </r>
  <r>
    <x v="74"/>
    <x v="147"/>
    <x v="2"/>
  </r>
  <r>
    <x v="20"/>
    <x v="148"/>
    <x v="2"/>
  </r>
  <r>
    <x v="75"/>
    <x v="149"/>
    <x v="2"/>
  </r>
  <r>
    <x v="76"/>
    <x v="150"/>
    <x v="2"/>
  </r>
  <r>
    <x v="77"/>
    <x v="151"/>
    <x v="2"/>
  </r>
  <r>
    <x v="25"/>
    <x v="152"/>
    <x v="2"/>
  </r>
  <r>
    <x v="78"/>
    <x v="153"/>
    <x v="2"/>
  </r>
  <r>
    <x v="27"/>
    <x v="154"/>
    <x v="2"/>
  </r>
  <r>
    <x v="79"/>
    <x v="155"/>
    <x v="2"/>
  </r>
  <r>
    <x v="80"/>
    <x v="156"/>
    <x v="2"/>
  </r>
  <r>
    <x v="81"/>
    <x v="157"/>
    <x v="2"/>
  </r>
  <r>
    <x v="29"/>
    <x v="158"/>
    <x v="2"/>
  </r>
  <r>
    <x v="29"/>
    <x v="159"/>
    <x v="2"/>
  </r>
  <r>
    <x v="31"/>
    <x v="160"/>
    <x v="2"/>
  </r>
  <r>
    <x v="32"/>
    <x v="161"/>
    <x v="2"/>
  </r>
  <r>
    <x v="33"/>
    <x v="162"/>
    <x v="2"/>
  </r>
  <r>
    <x v="34"/>
    <x v="163"/>
    <x v="2"/>
  </r>
  <r>
    <x v="34"/>
    <x v="164"/>
    <x v="2"/>
  </r>
  <r>
    <x v="35"/>
    <x v="165"/>
    <x v="2"/>
  </r>
  <r>
    <x v="36"/>
    <x v="166"/>
    <x v="2"/>
  </r>
  <r>
    <x v="37"/>
    <x v="167"/>
    <x v="2"/>
  </r>
  <r>
    <x v="82"/>
    <x v="168"/>
    <x v="3"/>
  </r>
  <r>
    <x v="83"/>
    <x v="169"/>
    <x v="3"/>
  </r>
  <r>
    <x v="84"/>
    <x v="170"/>
    <x v="3"/>
  </r>
  <r>
    <x v="85"/>
    <x v="171"/>
    <x v="3"/>
  </r>
  <r>
    <x v="86"/>
    <x v="172"/>
    <x v="3"/>
  </r>
  <r>
    <x v="87"/>
    <x v="173"/>
    <x v="3"/>
  </r>
  <r>
    <x v="88"/>
    <x v="174"/>
    <x v="3"/>
  </r>
  <r>
    <x v="89"/>
    <x v="175"/>
    <x v="3"/>
  </r>
  <r>
    <x v="90"/>
    <x v="176"/>
    <x v="3"/>
  </r>
  <r>
    <x v="66"/>
    <x v="177"/>
    <x v="3"/>
  </r>
  <r>
    <x v="66"/>
    <x v="178"/>
    <x v="3"/>
  </r>
  <r>
    <x v="44"/>
    <x v="179"/>
    <x v="3"/>
  </r>
  <r>
    <x v="1"/>
    <x v="180"/>
    <x v="3"/>
  </r>
  <r>
    <x v="91"/>
    <x v="181"/>
    <x v="3"/>
  </r>
  <r>
    <x v="69"/>
    <x v="182"/>
    <x v="3"/>
  </r>
  <r>
    <x v="92"/>
    <x v="183"/>
    <x v="3"/>
  </r>
  <r>
    <x v="49"/>
    <x v="184"/>
    <x v="3"/>
  </r>
  <r>
    <x v="7"/>
    <x v="185"/>
    <x v="3"/>
  </r>
  <r>
    <x v="71"/>
    <x v="186"/>
    <x v="3"/>
  </r>
  <r>
    <x v="93"/>
    <x v="187"/>
    <x v="3"/>
  </r>
  <r>
    <x v="72"/>
    <x v="188"/>
    <x v="3"/>
  </r>
  <r>
    <x v="12"/>
    <x v="189"/>
    <x v="3"/>
  </r>
  <r>
    <x v="13"/>
    <x v="190"/>
    <x v="3"/>
  </r>
  <r>
    <x v="16"/>
    <x v="191"/>
    <x v="3"/>
  </r>
  <r>
    <x v="20"/>
    <x v="192"/>
    <x v="3"/>
  </r>
  <r>
    <x v="94"/>
    <x v="193"/>
    <x v="3"/>
  </r>
  <r>
    <x v="26"/>
    <x v="194"/>
    <x v="3"/>
  </r>
  <r>
    <x v="27"/>
    <x v="195"/>
    <x v="3"/>
  </r>
  <r>
    <x v="79"/>
    <x v="196"/>
    <x v="3"/>
  </r>
  <r>
    <x v="81"/>
    <x v="197"/>
    <x v="3"/>
  </r>
  <r>
    <x v="31"/>
    <x v="198"/>
    <x v="3"/>
  </r>
  <r>
    <x v="32"/>
    <x v="199"/>
    <x v="3"/>
  </r>
  <r>
    <x v="65"/>
    <x v="200"/>
    <x v="3"/>
  </r>
  <r>
    <x v="35"/>
    <x v="201"/>
    <x v="3"/>
  </r>
  <r>
    <x v="37"/>
    <x v="202"/>
    <x v="3"/>
  </r>
  <r>
    <x v="85"/>
    <x v="203"/>
    <x v="4"/>
  </r>
  <r>
    <x v="1"/>
    <x v="204"/>
    <x v="4"/>
  </r>
  <r>
    <x v="91"/>
    <x v="205"/>
    <x v="4"/>
  </r>
  <r>
    <x v="91"/>
    <x v="206"/>
    <x v="4"/>
  </r>
  <r>
    <x v="95"/>
    <x v="207"/>
    <x v="4"/>
  </r>
  <r>
    <x v="68"/>
    <x v="208"/>
    <x v="4"/>
  </r>
  <r>
    <x v="3"/>
    <x v="209"/>
    <x v="4"/>
  </r>
  <r>
    <x v="3"/>
    <x v="210"/>
    <x v="4"/>
  </r>
  <r>
    <x v="96"/>
    <x v="211"/>
    <x v="4"/>
  </r>
  <r>
    <x v="4"/>
    <x v="212"/>
    <x v="4"/>
  </r>
  <r>
    <x v="48"/>
    <x v="213"/>
    <x v="4"/>
  </r>
  <r>
    <x v="49"/>
    <x v="214"/>
    <x v="4"/>
  </r>
  <r>
    <x v="50"/>
    <x v="215"/>
    <x v="4"/>
  </r>
  <r>
    <x v="97"/>
    <x v="216"/>
    <x v="4"/>
  </r>
  <r>
    <x v="52"/>
    <x v="217"/>
    <x v="4"/>
  </r>
  <r>
    <x v="52"/>
    <x v="218"/>
    <x v="4"/>
  </r>
  <r>
    <x v="54"/>
    <x v="219"/>
    <x v="4"/>
  </r>
  <r>
    <x v="10"/>
    <x v="220"/>
    <x v="4"/>
  </r>
  <r>
    <x v="13"/>
    <x v="221"/>
    <x v="4"/>
  </r>
  <r>
    <x v="14"/>
    <x v="222"/>
    <x v="4"/>
  </r>
  <r>
    <x v="15"/>
    <x v="223"/>
    <x v="4"/>
  </r>
  <r>
    <x v="98"/>
    <x v="224"/>
    <x v="4"/>
  </r>
  <r>
    <x v="99"/>
    <x v="225"/>
    <x v="4"/>
  </r>
  <r>
    <x v="57"/>
    <x v="226"/>
    <x v="4"/>
  </r>
  <r>
    <x v="16"/>
    <x v="227"/>
    <x v="4"/>
  </r>
  <r>
    <x v="17"/>
    <x v="228"/>
    <x v="4"/>
  </r>
  <r>
    <x v="58"/>
    <x v="229"/>
    <x v="4"/>
  </r>
  <r>
    <x v="18"/>
    <x v="230"/>
    <x v="4"/>
  </r>
  <r>
    <x v="100"/>
    <x v="231"/>
    <x v="4"/>
  </r>
  <r>
    <x v="101"/>
    <x v="232"/>
    <x v="4"/>
  </r>
  <r>
    <x v="102"/>
    <x v="233"/>
    <x v="4"/>
  </r>
  <r>
    <x v="103"/>
    <x v="234"/>
    <x v="4"/>
  </r>
  <r>
    <x v="104"/>
    <x v="235"/>
    <x v="4"/>
  </r>
  <r>
    <x v="60"/>
    <x v="236"/>
    <x v="4"/>
  </r>
  <r>
    <x v="105"/>
    <x v="237"/>
    <x v="4"/>
  </r>
  <r>
    <x v="106"/>
    <x v="238"/>
    <x v="4"/>
  </r>
  <r>
    <x v="107"/>
    <x v="239"/>
    <x v="4"/>
  </r>
  <r>
    <x v="108"/>
    <x v="240"/>
    <x v="4"/>
  </r>
  <r>
    <x v="23"/>
    <x v="241"/>
    <x v="4"/>
  </r>
  <r>
    <x v="61"/>
    <x v="242"/>
    <x v="4"/>
  </r>
  <r>
    <x v="25"/>
    <x v="243"/>
    <x v="4"/>
  </r>
  <r>
    <x v="26"/>
    <x v="244"/>
    <x v="4"/>
  </r>
  <r>
    <x v="63"/>
    <x v="245"/>
    <x v="4"/>
  </r>
  <r>
    <x v="78"/>
    <x v="246"/>
    <x v="4"/>
  </r>
  <r>
    <x v="78"/>
    <x v="247"/>
    <x v="4"/>
  </r>
  <r>
    <x v="79"/>
    <x v="248"/>
    <x v="4"/>
  </r>
  <r>
    <x v="64"/>
    <x v="249"/>
    <x v="4"/>
  </r>
  <r>
    <x v="29"/>
    <x v="250"/>
    <x v="4"/>
  </r>
  <r>
    <x v="30"/>
    <x v="251"/>
    <x v="4"/>
  </r>
  <r>
    <x v="31"/>
    <x v="252"/>
    <x v="4"/>
  </r>
  <r>
    <x v="32"/>
    <x v="253"/>
    <x v="4"/>
  </r>
  <r>
    <x v="65"/>
    <x v="254"/>
    <x v="4"/>
  </r>
  <r>
    <x v="34"/>
    <x v="255"/>
    <x v="4"/>
  </r>
  <r>
    <x v="35"/>
    <x v="256"/>
    <x v="4"/>
  </r>
  <r>
    <x v="36"/>
    <x v="257"/>
    <x v="4"/>
  </r>
  <r>
    <x v="37"/>
    <x v="258"/>
    <x v="4"/>
  </r>
  <r>
    <x v="109"/>
    <x v="259"/>
    <x v="5"/>
  </r>
  <r>
    <x v="87"/>
    <x v="260"/>
    <x v="5"/>
  </r>
  <r>
    <x v="89"/>
    <x v="261"/>
    <x v="5"/>
  </r>
  <r>
    <x v="110"/>
    <x v="262"/>
    <x v="5"/>
  </r>
  <r>
    <x v="66"/>
    <x v="263"/>
    <x v="5"/>
  </r>
  <r>
    <x v="45"/>
    <x v="264"/>
    <x v="5"/>
  </r>
  <r>
    <x v="3"/>
    <x v="265"/>
    <x v="5"/>
  </r>
  <r>
    <x v="47"/>
    <x v="266"/>
    <x v="5"/>
  </r>
  <r>
    <x v="111"/>
    <x v="267"/>
    <x v="5"/>
  </r>
  <r>
    <x v="48"/>
    <x v="268"/>
    <x v="5"/>
  </r>
  <r>
    <x v="50"/>
    <x v="269"/>
    <x v="5"/>
  </r>
  <r>
    <x v="112"/>
    <x v="270"/>
    <x v="5"/>
  </r>
  <r>
    <x v="113"/>
    <x v="271"/>
    <x v="5"/>
  </r>
  <r>
    <x v="7"/>
    <x v="272"/>
    <x v="5"/>
  </r>
  <r>
    <x v="51"/>
    <x v="273"/>
    <x v="5"/>
  </r>
  <r>
    <x v="52"/>
    <x v="274"/>
    <x v="5"/>
  </r>
  <r>
    <x v="53"/>
    <x v="275"/>
    <x v="5"/>
  </r>
  <r>
    <x v="55"/>
    <x v="276"/>
    <x v="5"/>
  </r>
  <r>
    <x v="56"/>
    <x v="277"/>
    <x v="5"/>
  </r>
  <r>
    <x v="56"/>
    <x v="278"/>
    <x v="5"/>
  </r>
  <r>
    <x v="10"/>
    <x v="279"/>
    <x v="5"/>
  </r>
  <r>
    <x v="12"/>
    <x v="280"/>
    <x v="5"/>
  </r>
  <r>
    <x v="12"/>
    <x v="280"/>
    <x v="5"/>
  </r>
  <r>
    <x v="13"/>
    <x v="281"/>
    <x v="5"/>
  </r>
  <r>
    <x v="15"/>
    <x v="282"/>
    <x v="5"/>
  </r>
  <r>
    <x v="57"/>
    <x v="283"/>
    <x v="5"/>
  </r>
  <r>
    <x v="17"/>
    <x v="284"/>
    <x v="5"/>
  </r>
  <r>
    <x v="73"/>
    <x v="285"/>
    <x v="5"/>
  </r>
  <r>
    <x v="74"/>
    <x v="286"/>
    <x v="5"/>
  </r>
  <r>
    <x v="20"/>
    <x v="287"/>
    <x v="5"/>
  </r>
  <r>
    <x v="21"/>
    <x v="288"/>
    <x v="5"/>
  </r>
  <r>
    <x v="101"/>
    <x v="289"/>
    <x v="5"/>
  </r>
  <r>
    <x v="114"/>
    <x v="290"/>
    <x v="5"/>
  </r>
  <r>
    <x v="105"/>
    <x v="291"/>
    <x v="5"/>
  </r>
  <r>
    <x v="115"/>
    <x v="292"/>
    <x v="5"/>
  </r>
  <r>
    <x v="108"/>
    <x v="293"/>
    <x v="5"/>
  </r>
  <r>
    <x v="62"/>
    <x v="294"/>
    <x v="5"/>
  </r>
  <r>
    <x v="116"/>
    <x v="295"/>
    <x v="5"/>
  </r>
  <r>
    <x v="78"/>
    <x v="296"/>
    <x v="5"/>
  </r>
  <r>
    <x v="27"/>
    <x v="297"/>
    <x v="5"/>
  </r>
  <r>
    <x v="79"/>
    <x v="298"/>
    <x v="5"/>
  </r>
  <r>
    <x v="28"/>
    <x v="299"/>
    <x v="5"/>
  </r>
  <r>
    <x v="81"/>
    <x v="300"/>
    <x v="5"/>
  </r>
  <r>
    <x v="29"/>
    <x v="301"/>
    <x v="5"/>
  </r>
  <r>
    <x v="30"/>
    <x v="302"/>
    <x v="5"/>
  </r>
  <r>
    <x v="31"/>
    <x v="303"/>
    <x v="5"/>
  </r>
  <r>
    <x v="117"/>
    <x v="304"/>
    <x v="5"/>
  </r>
  <r>
    <x v="32"/>
    <x v="305"/>
    <x v="5"/>
  </r>
  <r>
    <x v="33"/>
    <x v="306"/>
    <x v="5"/>
  </r>
  <r>
    <x v="65"/>
    <x v="307"/>
    <x v="5"/>
  </r>
  <r>
    <x v="34"/>
    <x v="308"/>
    <x v="5"/>
  </r>
  <r>
    <x v="35"/>
    <x v="309"/>
    <x v="5"/>
  </r>
  <r>
    <x v="36"/>
    <x v="310"/>
    <x v="5"/>
  </r>
  <r>
    <x v="37"/>
    <x v="311"/>
    <x v="5"/>
  </r>
  <r>
    <x v="45"/>
    <x v="312"/>
    <x v="6"/>
  </r>
  <r>
    <x v="47"/>
    <x v="313"/>
    <x v="6"/>
  </r>
  <r>
    <x v="48"/>
    <x v="314"/>
    <x v="6"/>
  </r>
  <r>
    <x v="49"/>
    <x v="315"/>
    <x v="6"/>
  </r>
  <r>
    <x v="50"/>
    <x v="316"/>
    <x v="6"/>
  </r>
  <r>
    <x v="118"/>
    <x v="317"/>
    <x v="6"/>
  </r>
  <r>
    <x v="8"/>
    <x v="318"/>
    <x v="6"/>
  </r>
  <r>
    <x v="72"/>
    <x v="319"/>
    <x v="6"/>
  </r>
  <r>
    <x v="55"/>
    <x v="320"/>
    <x v="6"/>
  </r>
  <r>
    <x v="10"/>
    <x v="321"/>
    <x v="6"/>
  </r>
  <r>
    <x v="14"/>
    <x v="322"/>
    <x v="6"/>
  </r>
  <r>
    <x v="15"/>
    <x v="323"/>
    <x v="6"/>
  </r>
  <r>
    <x v="98"/>
    <x v="324"/>
    <x v="6"/>
  </r>
  <r>
    <x v="57"/>
    <x v="325"/>
    <x v="6"/>
  </r>
  <r>
    <x v="16"/>
    <x v="326"/>
    <x v="6"/>
  </r>
  <r>
    <x v="17"/>
    <x v="327"/>
    <x v="6"/>
  </r>
  <r>
    <x v="73"/>
    <x v="328"/>
    <x v="6"/>
  </r>
  <r>
    <x v="74"/>
    <x v="329"/>
    <x v="6"/>
  </r>
  <r>
    <x v="19"/>
    <x v="330"/>
    <x v="6"/>
  </r>
  <r>
    <x v="20"/>
    <x v="331"/>
    <x v="6"/>
  </r>
  <r>
    <x v="21"/>
    <x v="332"/>
    <x v="6"/>
  </r>
  <r>
    <x v="119"/>
    <x v="333"/>
    <x v="6"/>
  </r>
  <r>
    <x v="120"/>
    <x v="334"/>
    <x v="6"/>
  </r>
  <r>
    <x v="77"/>
    <x v="335"/>
    <x v="6"/>
  </r>
  <r>
    <x v="107"/>
    <x v="336"/>
    <x v="6"/>
  </r>
  <r>
    <x v="121"/>
    <x v="337"/>
    <x v="6"/>
  </r>
  <r>
    <x v="25"/>
    <x v="338"/>
    <x v="6"/>
  </r>
  <r>
    <x v="62"/>
    <x v="339"/>
    <x v="6"/>
  </r>
  <r>
    <x v="35"/>
    <x v="340"/>
    <x v="6"/>
  </r>
  <r>
    <x v="86"/>
    <x v="341"/>
    <x v="7"/>
  </r>
  <r>
    <x v="122"/>
    <x v="342"/>
    <x v="7"/>
  </r>
  <r>
    <x v="66"/>
    <x v="343"/>
    <x v="7"/>
  </r>
  <r>
    <x v="68"/>
    <x v="344"/>
    <x v="7"/>
  </r>
  <r>
    <x v="2"/>
    <x v="345"/>
    <x v="7"/>
  </r>
  <r>
    <x v="3"/>
    <x v="346"/>
    <x v="7"/>
  </r>
  <r>
    <x v="123"/>
    <x v="347"/>
    <x v="7"/>
  </r>
  <r>
    <x v="48"/>
    <x v="348"/>
    <x v="7"/>
  </r>
  <r>
    <x v="70"/>
    <x v="349"/>
    <x v="7"/>
  </r>
  <r>
    <x v="7"/>
    <x v="350"/>
    <x v="7"/>
  </r>
  <r>
    <x v="51"/>
    <x v="351"/>
    <x v="7"/>
  </r>
  <r>
    <x v="8"/>
    <x v="352"/>
    <x v="7"/>
  </r>
  <r>
    <x v="14"/>
    <x v="353"/>
    <x v="7"/>
  </r>
  <r>
    <x v="15"/>
    <x v="354"/>
    <x v="7"/>
  </r>
  <r>
    <x v="15"/>
    <x v="354"/>
    <x v="7"/>
  </r>
  <r>
    <x v="57"/>
    <x v="355"/>
    <x v="7"/>
  </r>
  <r>
    <x v="16"/>
    <x v="356"/>
    <x v="7"/>
  </r>
  <r>
    <x v="17"/>
    <x v="357"/>
    <x v="7"/>
  </r>
  <r>
    <x v="58"/>
    <x v="358"/>
    <x v="7"/>
  </r>
  <r>
    <x v="18"/>
    <x v="359"/>
    <x v="7"/>
  </r>
  <r>
    <x v="21"/>
    <x v="360"/>
    <x v="7"/>
  </r>
  <r>
    <x v="22"/>
    <x v="361"/>
    <x v="7"/>
  </r>
  <r>
    <x v="27"/>
    <x v="362"/>
    <x v="7"/>
  </r>
  <r>
    <x v="30"/>
    <x v="363"/>
    <x v="7"/>
  </r>
  <r>
    <x v="32"/>
    <x v="364"/>
    <x v="7"/>
  </r>
  <r>
    <x v="34"/>
    <x v="365"/>
    <x v="7"/>
  </r>
  <r>
    <x v="36"/>
    <x v="366"/>
    <x v="7"/>
  </r>
  <r>
    <x v="37"/>
    <x v="367"/>
    <x v="7"/>
  </r>
  <r>
    <x v="124"/>
    <x v="368"/>
    <x v="8"/>
  </r>
  <r>
    <x v="124"/>
    <x v="369"/>
    <x v="8"/>
  </r>
  <r>
    <x v="125"/>
    <x v="370"/>
    <x v="8"/>
  </r>
  <r>
    <x v="126"/>
    <x v="371"/>
    <x v="8"/>
  </r>
  <r>
    <x v="126"/>
    <x v="372"/>
    <x v="8"/>
  </r>
  <r>
    <x v="86"/>
    <x v="373"/>
    <x v="8"/>
  </r>
  <r>
    <x v="86"/>
    <x v="374"/>
    <x v="8"/>
  </r>
  <r>
    <x v="2"/>
    <x v="375"/>
    <x v="8"/>
  </r>
  <r>
    <x v="2"/>
    <x v="376"/>
    <x v="8"/>
  </r>
  <r>
    <x v="45"/>
    <x v="377"/>
    <x v="8"/>
  </r>
  <r>
    <x v="47"/>
    <x v="378"/>
    <x v="8"/>
  </r>
  <r>
    <x v="47"/>
    <x v="379"/>
    <x v="8"/>
  </r>
  <r>
    <x v="127"/>
    <x v="380"/>
    <x v="8"/>
  </r>
  <r>
    <x v="127"/>
    <x v="381"/>
    <x v="8"/>
  </r>
  <r>
    <x v="127"/>
    <x v="382"/>
    <x v="8"/>
  </r>
  <r>
    <x v="127"/>
    <x v="383"/>
    <x v="8"/>
  </r>
  <r>
    <x v="128"/>
    <x v="384"/>
    <x v="8"/>
  </r>
  <r>
    <x v="128"/>
    <x v="385"/>
    <x v="8"/>
  </r>
  <r>
    <x v="92"/>
    <x v="386"/>
    <x v="8"/>
  </r>
  <r>
    <x v="92"/>
    <x v="387"/>
    <x v="8"/>
  </r>
  <r>
    <x v="92"/>
    <x v="388"/>
    <x v="8"/>
  </r>
  <r>
    <x v="129"/>
    <x v="389"/>
    <x v="8"/>
  </r>
  <r>
    <x v="111"/>
    <x v="390"/>
    <x v="8"/>
  </r>
  <r>
    <x v="5"/>
    <x v="391"/>
    <x v="8"/>
  </r>
  <r>
    <x v="118"/>
    <x v="392"/>
    <x v="8"/>
  </r>
  <r>
    <x v="7"/>
    <x v="393"/>
    <x v="8"/>
  </r>
  <r>
    <x v="8"/>
    <x v="394"/>
    <x v="8"/>
  </r>
  <r>
    <x v="97"/>
    <x v="395"/>
    <x v="8"/>
  </r>
  <r>
    <x v="52"/>
    <x v="396"/>
    <x v="8"/>
  </r>
  <r>
    <x v="55"/>
    <x v="397"/>
    <x v="8"/>
  </r>
  <r>
    <x v="56"/>
    <x v="398"/>
    <x v="8"/>
  </r>
  <r>
    <x v="9"/>
    <x v="399"/>
    <x v="8"/>
  </r>
  <r>
    <x v="13"/>
    <x v="400"/>
    <x v="8"/>
  </r>
  <r>
    <x v="14"/>
    <x v="401"/>
    <x v="8"/>
  </r>
  <r>
    <x v="98"/>
    <x v="402"/>
    <x v="8"/>
  </r>
  <r>
    <x v="98"/>
    <x v="403"/>
    <x v="8"/>
  </r>
  <r>
    <x v="98"/>
    <x v="404"/>
    <x v="8"/>
  </r>
  <r>
    <x v="57"/>
    <x v="405"/>
    <x v="8"/>
  </r>
  <r>
    <x v="57"/>
    <x v="406"/>
    <x v="8"/>
  </r>
  <r>
    <x v="57"/>
    <x v="407"/>
    <x v="8"/>
  </r>
  <r>
    <x v="57"/>
    <x v="408"/>
    <x v="8"/>
  </r>
  <r>
    <x v="16"/>
    <x v="409"/>
    <x v="8"/>
  </r>
  <r>
    <x v="17"/>
    <x v="410"/>
    <x v="8"/>
  </r>
  <r>
    <x v="17"/>
    <x v="411"/>
    <x v="8"/>
  </r>
  <r>
    <x v="17"/>
    <x v="412"/>
    <x v="8"/>
  </r>
  <r>
    <x v="17"/>
    <x v="413"/>
    <x v="8"/>
  </r>
  <r>
    <x v="17"/>
    <x v="414"/>
    <x v="8"/>
  </r>
  <r>
    <x v="73"/>
    <x v="415"/>
    <x v="8"/>
  </r>
  <r>
    <x v="18"/>
    <x v="416"/>
    <x v="8"/>
  </r>
  <r>
    <x v="101"/>
    <x v="417"/>
    <x v="8"/>
  </r>
  <r>
    <x v="102"/>
    <x v="418"/>
    <x v="8"/>
  </r>
  <r>
    <x v="114"/>
    <x v="419"/>
    <x v="8"/>
  </r>
  <r>
    <x v="106"/>
    <x v="420"/>
    <x v="8"/>
  </r>
  <r>
    <x v="78"/>
    <x v="421"/>
    <x v="8"/>
  </r>
  <r>
    <x v="30"/>
    <x v="422"/>
    <x v="8"/>
  </r>
  <r>
    <x v="32"/>
    <x v="423"/>
    <x v="8"/>
  </r>
  <r>
    <x v="65"/>
    <x v="424"/>
    <x v="8"/>
  </r>
  <r>
    <x v="65"/>
    <x v="425"/>
    <x v="8"/>
  </r>
  <r>
    <x v="65"/>
    <x v="426"/>
    <x v="8"/>
  </r>
  <r>
    <x v="34"/>
    <x v="427"/>
    <x v="8"/>
  </r>
  <r>
    <x v="34"/>
    <x v="428"/>
    <x v="8"/>
  </r>
  <r>
    <x v="34"/>
    <x v="429"/>
    <x v="8"/>
  </r>
  <r>
    <x v="35"/>
    <x v="430"/>
    <x v="8"/>
  </r>
  <r>
    <x v="36"/>
    <x v="431"/>
    <x v="8"/>
  </r>
  <r>
    <x v="84"/>
    <x v="432"/>
    <x v="9"/>
  </r>
  <r>
    <x v="85"/>
    <x v="433"/>
    <x v="9"/>
  </r>
  <r>
    <x v="45"/>
    <x v="434"/>
    <x v="9"/>
  </r>
  <r>
    <x v="69"/>
    <x v="435"/>
    <x v="9"/>
  </r>
  <r>
    <x v="92"/>
    <x v="436"/>
    <x v="9"/>
  </r>
  <r>
    <x v="123"/>
    <x v="437"/>
    <x v="9"/>
  </r>
  <r>
    <x v="96"/>
    <x v="438"/>
    <x v="9"/>
  </r>
  <r>
    <x v="4"/>
    <x v="439"/>
    <x v="9"/>
  </r>
  <r>
    <x v="112"/>
    <x v="440"/>
    <x v="9"/>
  </r>
  <r>
    <x v="10"/>
    <x v="441"/>
    <x v="9"/>
  </r>
  <r>
    <x v="11"/>
    <x v="442"/>
    <x v="9"/>
  </r>
  <r>
    <x v="12"/>
    <x v="443"/>
    <x v="9"/>
  </r>
  <r>
    <x v="12"/>
    <x v="444"/>
    <x v="9"/>
  </r>
  <r>
    <x v="14"/>
    <x v="445"/>
    <x v="9"/>
  </r>
  <r>
    <x v="98"/>
    <x v="446"/>
    <x v="9"/>
  </r>
  <r>
    <x v="57"/>
    <x v="447"/>
    <x v="9"/>
  </r>
  <r>
    <x v="16"/>
    <x v="448"/>
    <x v="9"/>
  </r>
  <r>
    <x v="59"/>
    <x v="449"/>
    <x v="9"/>
  </r>
  <r>
    <x v="102"/>
    <x v="450"/>
    <x v="9"/>
  </r>
  <r>
    <x v="77"/>
    <x v="451"/>
    <x v="9"/>
  </r>
  <r>
    <x v="107"/>
    <x v="452"/>
    <x v="9"/>
  </r>
  <r>
    <x v="121"/>
    <x v="453"/>
    <x v="9"/>
  </r>
  <r>
    <x v="23"/>
    <x v="454"/>
    <x v="9"/>
  </r>
  <r>
    <x v="25"/>
    <x v="455"/>
    <x v="9"/>
  </r>
  <r>
    <x v="63"/>
    <x v="456"/>
    <x v="9"/>
  </r>
  <r>
    <x v="27"/>
    <x v="457"/>
    <x v="9"/>
  </r>
  <r>
    <x v="27"/>
    <x v="458"/>
    <x v="9"/>
  </r>
  <r>
    <x v="80"/>
    <x v="459"/>
    <x v="9"/>
  </r>
  <r>
    <x v="64"/>
    <x v="460"/>
    <x v="9"/>
  </r>
  <r>
    <x v="30"/>
    <x v="461"/>
    <x v="9"/>
  </r>
  <r>
    <x v="126"/>
    <x v="462"/>
    <x v="10"/>
  </r>
  <r>
    <x v="42"/>
    <x v="463"/>
    <x v="10"/>
  </r>
  <r>
    <x v="89"/>
    <x v="464"/>
    <x v="10"/>
  </r>
  <r>
    <x v="110"/>
    <x v="465"/>
    <x v="10"/>
  </r>
  <r>
    <x v="67"/>
    <x v="466"/>
    <x v="10"/>
  </r>
  <r>
    <x v="44"/>
    <x v="467"/>
    <x v="10"/>
  </r>
  <r>
    <x v="1"/>
    <x v="468"/>
    <x v="10"/>
  </r>
  <r>
    <x v="68"/>
    <x v="469"/>
    <x v="10"/>
  </r>
  <r>
    <x v="2"/>
    <x v="470"/>
    <x v="10"/>
  </r>
  <r>
    <x v="2"/>
    <x v="471"/>
    <x v="10"/>
  </r>
  <r>
    <x v="3"/>
    <x v="472"/>
    <x v="10"/>
  </r>
  <r>
    <x v="3"/>
    <x v="473"/>
    <x v="10"/>
  </r>
  <r>
    <x v="47"/>
    <x v="474"/>
    <x v="10"/>
  </r>
  <r>
    <x v="4"/>
    <x v="475"/>
    <x v="10"/>
  </r>
  <r>
    <x v="4"/>
    <x v="476"/>
    <x v="10"/>
  </r>
  <r>
    <x v="48"/>
    <x v="477"/>
    <x v="10"/>
  </r>
  <r>
    <x v="48"/>
    <x v="478"/>
    <x v="10"/>
  </r>
  <r>
    <x v="48"/>
    <x v="479"/>
    <x v="10"/>
  </r>
  <r>
    <x v="48"/>
    <x v="480"/>
    <x v="10"/>
  </r>
  <r>
    <x v="48"/>
    <x v="481"/>
    <x v="10"/>
  </r>
  <r>
    <x v="48"/>
    <x v="482"/>
    <x v="10"/>
  </r>
  <r>
    <x v="48"/>
    <x v="483"/>
    <x v="10"/>
  </r>
  <r>
    <x v="48"/>
    <x v="484"/>
    <x v="10"/>
  </r>
  <r>
    <x v="49"/>
    <x v="485"/>
    <x v="10"/>
  </r>
  <r>
    <x v="49"/>
    <x v="486"/>
    <x v="10"/>
  </r>
  <r>
    <x v="49"/>
    <x v="487"/>
    <x v="10"/>
  </r>
  <r>
    <x v="49"/>
    <x v="488"/>
    <x v="10"/>
  </r>
  <r>
    <x v="7"/>
    <x v="489"/>
    <x v="10"/>
  </r>
  <r>
    <x v="7"/>
    <x v="490"/>
    <x v="10"/>
  </r>
  <r>
    <x v="53"/>
    <x v="491"/>
    <x v="10"/>
  </r>
  <r>
    <x v="54"/>
    <x v="492"/>
    <x v="10"/>
  </r>
  <r>
    <x v="55"/>
    <x v="493"/>
    <x v="10"/>
  </r>
  <r>
    <x v="11"/>
    <x v="494"/>
    <x v="10"/>
  </r>
  <r>
    <x v="16"/>
    <x v="495"/>
    <x v="10"/>
  </r>
  <r>
    <x v="16"/>
    <x v="496"/>
    <x v="10"/>
  </r>
  <r>
    <x v="16"/>
    <x v="497"/>
    <x v="10"/>
  </r>
  <r>
    <x v="16"/>
    <x v="498"/>
    <x v="10"/>
  </r>
  <r>
    <x v="16"/>
    <x v="499"/>
    <x v="10"/>
  </r>
  <r>
    <x v="16"/>
    <x v="500"/>
    <x v="10"/>
  </r>
  <r>
    <x v="17"/>
    <x v="501"/>
    <x v="10"/>
  </r>
  <r>
    <x v="58"/>
    <x v="502"/>
    <x v="10"/>
  </r>
  <r>
    <x v="73"/>
    <x v="503"/>
    <x v="10"/>
  </r>
  <r>
    <x v="59"/>
    <x v="504"/>
    <x v="10"/>
  </r>
  <r>
    <x v="59"/>
    <x v="505"/>
    <x v="10"/>
  </r>
  <r>
    <x v="59"/>
    <x v="506"/>
    <x v="10"/>
  </r>
  <r>
    <x v="59"/>
    <x v="507"/>
    <x v="10"/>
  </r>
  <r>
    <x v="121"/>
    <x v="508"/>
    <x v="10"/>
  </r>
  <r>
    <x v="78"/>
    <x v="509"/>
    <x v="10"/>
  </r>
  <r>
    <x v="81"/>
    <x v="510"/>
    <x v="10"/>
  </r>
  <r>
    <x v="30"/>
    <x v="511"/>
    <x v="10"/>
  </r>
  <r>
    <x v="30"/>
    <x v="512"/>
    <x v="10"/>
  </r>
  <r>
    <x v="30"/>
    <x v="513"/>
    <x v="10"/>
  </r>
  <r>
    <x v="31"/>
    <x v="514"/>
    <x v="10"/>
  </r>
  <r>
    <x v="31"/>
    <x v="515"/>
    <x v="10"/>
  </r>
  <r>
    <x v="31"/>
    <x v="516"/>
    <x v="10"/>
  </r>
  <r>
    <x v="31"/>
    <x v="517"/>
    <x v="10"/>
  </r>
  <r>
    <x v="31"/>
    <x v="518"/>
    <x v="10"/>
  </r>
  <r>
    <x v="31"/>
    <x v="519"/>
    <x v="10"/>
  </r>
  <r>
    <x v="31"/>
    <x v="520"/>
    <x v="10"/>
  </r>
  <r>
    <x v="31"/>
    <x v="521"/>
    <x v="10"/>
  </r>
  <r>
    <x v="32"/>
    <x v="522"/>
    <x v="10"/>
  </r>
  <r>
    <x v="32"/>
    <x v="523"/>
    <x v="10"/>
  </r>
  <r>
    <x v="32"/>
    <x v="524"/>
    <x v="10"/>
  </r>
  <r>
    <x v="32"/>
    <x v="525"/>
    <x v="10"/>
  </r>
  <r>
    <x v="32"/>
    <x v="526"/>
    <x v="10"/>
  </r>
  <r>
    <x v="32"/>
    <x v="527"/>
    <x v="10"/>
  </r>
  <r>
    <x v="32"/>
    <x v="528"/>
    <x v="10"/>
  </r>
  <r>
    <x v="32"/>
    <x v="529"/>
    <x v="10"/>
  </r>
  <r>
    <x v="32"/>
    <x v="530"/>
    <x v="10"/>
  </r>
  <r>
    <x v="33"/>
    <x v="531"/>
    <x v="10"/>
  </r>
  <r>
    <x v="65"/>
    <x v="532"/>
    <x v="10"/>
  </r>
  <r>
    <x v="65"/>
    <x v="533"/>
    <x v="10"/>
  </r>
  <r>
    <x v="65"/>
    <x v="534"/>
    <x v="10"/>
  </r>
  <r>
    <x v="65"/>
    <x v="535"/>
    <x v="10"/>
  </r>
  <r>
    <x v="65"/>
    <x v="536"/>
    <x v="10"/>
  </r>
  <r>
    <x v="34"/>
    <x v="537"/>
    <x v="10"/>
  </r>
  <r>
    <x v="34"/>
    <x v="538"/>
    <x v="10"/>
  </r>
  <r>
    <x v="34"/>
    <x v="539"/>
    <x v="10"/>
  </r>
  <r>
    <x v="34"/>
    <x v="540"/>
    <x v="10"/>
  </r>
  <r>
    <x v="34"/>
    <x v="541"/>
    <x v="10"/>
  </r>
  <r>
    <x v="34"/>
    <x v="542"/>
    <x v="10"/>
  </r>
  <r>
    <x v="34"/>
    <x v="543"/>
    <x v="10"/>
  </r>
  <r>
    <x v="35"/>
    <x v="544"/>
    <x v="10"/>
  </r>
  <r>
    <x v="35"/>
    <x v="545"/>
    <x v="10"/>
  </r>
  <r>
    <x v="35"/>
    <x v="546"/>
    <x v="10"/>
  </r>
  <r>
    <x v="35"/>
    <x v="547"/>
    <x v="10"/>
  </r>
  <r>
    <x v="35"/>
    <x v="548"/>
    <x v="10"/>
  </r>
  <r>
    <x v="35"/>
    <x v="549"/>
    <x v="10"/>
  </r>
  <r>
    <x v="35"/>
    <x v="550"/>
    <x v="10"/>
  </r>
  <r>
    <x v="35"/>
    <x v="551"/>
    <x v="10"/>
  </r>
  <r>
    <x v="36"/>
    <x v="552"/>
    <x v="10"/>
  </r>
  <r>
    <x v="36"/>
    <x v="553"/>
    <x v="10"/>
  </r>
  <r>
    <x v="36"/>
    <x v="554"/>
    <x v="10"/>
  </r>
  <r>
    <x v="130"/>
    <x v="555"/>
    <x v="11"/>
  </r>
  <r>
    <x v="122"/>
    <x v="556"/>
    <x v="11"/>
  </r>
  <r>
    <x v="87"/>
    <x v="557"/>
    <x v="11"/>
  </r>
  <r>
    <x v="44"/>
    <x v="558"/>
    <x v="11"/>
  </r>
  <r>
    <x v="1"/>
    <x v="559"/>
    <x v="11"/>
  </r>
  <r>
    <x v="68"/>
    <x v="560"/>
    <x v="11"/>
  </r>
  <r>
    <x v="3"/>
    <x v="561"/>
    <x v="11"/>
  </r>
  <r>
    <x v="3"/>
    <x v="562"/>
    <x v="11"/>
  </r>
  <r>
    <x v="3"/>
    <x v="563"/>
    <x v="11"/>
  </r>
  <r>
    <x v="69"/>
    <x v="564"/>
    <x v="11"/>
  </r>
  <r>
    <x v="48"/>
    <x v="565"/>
    <x v="11"/>
  </r>
  <r>
    <x v="48"/>
    <x v="566"/>
    <x v="11"/>
  </r>
  <r>
    <x v="6"/>
    <x v="567"/>
    <x v="11"/>
  </r>
  <r>
    <x v="7"/>
    <x v="568"/>
    <x v="11"/>
  </r>
  <r>
    <x v="131"/>
    <x v="569"/>
    <x v="11"/>
  </r>
  <r>
    <x v="71"/>
    <x v="570"/>
    <x v="11"/>
  </r>
  <r>
    <x v="93"/>
    <x v="571"/>
    <x v="11"/>
  </r>
  <r>
    <x v="54"/>
    <x v="572"/>
    <x v="11"/>
  </r>
  <r>
    <x v="15"/>
    <x v="573"/>
    <x v="11"/>
  </r>
  <r>
    <x v="57"/>
    <x v="574"/>
    <x v="11"/>
  </r>
  <r>
    <x v="17"/>
    <x v="575"/>
    <x v="11"/>
  </r>
  <r>
    <x v="17"/>
    <x v="576"/>
    <x v="11"/>
  </r>
  <r>
    <x v="17"/>
    <x v="577"/>
    <x v="11"/>
  </r>
  <r>
    <x v="17"/>
    <x v="578"/>
    <x v="11"/>
  </r>
  <r>
    <x v="58"/>
    <x v="579"/>
    <x v="11"/>
  </r>
  <r>
    <x v="21"/>
    <x v="580"/>
    <x v="11"/>
  </r>
  <r>
    <x v="59"/>
    <x v="581"/>
    <x v="11"/>
  </r>
  <r>
    <x v="103"/>
    <x v="582"/>
    <x v="11"/>
  </r>
  <r>
    <x v="132"/>
    <x v="583"/>
    <x v="11"/>
  </r>
  <r>
    <x v="24"/>
    <x v="584"/>
    <x v="11"/>
  </r>
  <r>
    <x v="63"/>
    <x v="585"/>
    <x v="11"/>
  </r>
  <r>
    <x v="29"/>
    <x v="586"/>
    <x v="11"/>
  </r>
  <r>
    <x v="30"/>
    <x v="587"/>
    <x v="11"/>
  </r>
  <r>
    <x v="31"/>
    <x v="588"/>
    <x v="11"/>
  </r>
  <r>
    <x v="32"/>
    <x v="589"/>
    <x v="11"/>
  </r>
  <r>
    <x v="65"/>
    <x v="590"/>
    <x v="11"/>
  </r>
  <r>
    <x v="34"/>
    <x v="591"/>
    <x v="11"/>
  </r>
  <r>
    <x v="35"/>
    <x v="592"/>
    <x v="11"/>
  </r>
  <r>
    <x v="35"/>
    <x v="593"/>
    <x v="11"/>
  </r>
  <r>
    <x v="36"/>
    <x v="594"/>
    <x v="11"/>
  </r>
  <r>
    <x v="37"/>
    <x v="595"/>
    <x v="11"/>
  </r>
  <r>
    <x v="133"/>
    <x v="596"/>
    <x v="12"/>
  </r>
  <r>
    <x v="85"/>
    <x v="597"/>
    <x v="12"/>
  </r>
  <r>
    <x v="86"/>
    <x v="598"/>
    <x v="12"/>
  </r>
  <r>
    <x v="1"/>
    <x v="599"/>
    <x v="12"/>
  </r>
  <r>
    <x v="68"/>
    <x v="600"/>
    <x v="12"/>
  </r>
  <r>
    <x v="45"/>
    <x v="601"/>
    <x v="12"/>
  </r>
  <r>
    <x v="92"/>
    <x v="602"/>
    <x v="12"/>
  </r>
  <r>
    <x v="129"/>
    <x v="603"/>
    <x v="12"/>
  </r>
  <r>
    <x v="96"/>
    <x v="604"/>
    <x v="12"/>
  </r>
  <r>
    <x v="4"/>
    <x v="605"/>
    <x v="12"/>
  </r>
  <r>
    <x v="113"/>
    <x v="606"/>
    <x v="12"/>
  </r>
  <r>
    <x v="71"/>
    <x v="607"/>
    <x v="12"/>
  </r>
  <r>
    <x v="8"/>
    <x v="608"/>
    <x v="12"/>
  </r>
  <r>
    <x v="52"/>
    <x v="609"/>
    <x v="12"/>
  </r>
  <r>
    <x v="16"/>
    <x v="610"/>
    <x v="12"/>
  </r>
  <r>
    <x v="17"/>
    <x v="611"/>
    <x v="12"/>
  </r>
  <r>
    <x v="17"/>
    <x v="612"/>
    <x v="12"/>
  </r>
  <r>
    <x v="17"/>
    <x v="613"/>
    <x v="12"/>
  </r>
  <r>
    <x v="61"/>
    <x v="614"/>
    <x v="12"/>
  </r>
  <r>
    <x v="78"/>
    <x v="615"/>
    <x v="12"/>
  </r>
  <r>
    <x v="81"/>
    <x v="616"/>
    <x v="12"/>
  </r>
  <r>
    <x v="29"/>
    <x v="617"/>
    <x v="12"/>
  </r>
  <r>
    <x v="30"/>
    <x v="618"/>
    <x v="12"/>
  </r>
  <r>
    <x v="31"/>
    <x v="619"/>
    <x v="12"/>
  </r>
  <r>
    <x v="32"/>
    <x v="620"/>
    <x v="12"/>
  </r>
  <r>
    <x v="34"/>
    <x v="621"/>
    <x v="12"/>
  </r>
  <r>
    <x v="35"/>
    <x v="622"/>
    <x v="12"/>
  </r>
  <r>
    <x v="36"/>
    <x v="623"/>
    <x v="12"/>
  </r>
  <r>
    <x v="37"/>
    <x v="624"/>
    <x v="12"/>
  </r>
  <r>
    <x v="29"/>
    <x v="625"/>
    <x v="13"/>
  </r>
  <r>
    <x v="30"/>
    <x v="626"/>
    <x v="13"/>
  </r>
  <r>
    <x v="31"/>
    <x v="627"/>
    <x v="13"/>
  </r>
  <r>
    <x v="33"/>
    <x v="628"/>
    <x v="13"/>
  </r>
  <r>
    <x v="34"/>
    <x v="629"/>
    <x v="13"/>
  </r>
  <r>
    <x v="35"/>
    <x v="630"/>
    <x v="13"/>
  </r>
  <r>
    <x v="36"/>
    <x v="631"/>
    <x v="13"/>
  </r>
  <r>
    <x v="37"/>
    <x v="632"/>
    <x v="13"/>
  </r>
  <r>
    <x v="84"/>
    <x v="633"/>
    <x v="14"/>
  </r>
  <r>
    <x v="85"/>
    <x v="634"/>
    <x v="14"/>
  </r>
  <r>
    <x v="134"/>
    <x v="635"/>
    <x v="14"/>
  </r>
  <r>
    <x v="66"/>
    <x v="636"/>
    <x v="14"/>
  </r>
  <r>
    <x v="66"/>
    <x v="637"/>
    <x v="14"/>
  </r>
  <r>
    <x v="45"/>
    <x v="638"/>
    <x v="14"/>
  </r>
  <r>
    <x v="3"/>
    <x v="639"/>
    <x v="14"/>
  </r>
  <r>
    <x v="3"/>
    <x v="640"/>
    <x v="14"/>
  </r>
  <r>
    <x v="47"/>
    <x v="641"/>
    <x v="14"/>
  </r>
  <r>
    <x v="127"/>
    <x v="642"/>
    <x v="14"/>
  </r>
  <r>
    <x v="69"/>
    <x v="643"/>
    <x v="14"/>
  </r>
  <r>
    <x v="69"/>
    <x v="644"/>
    <x v="14"/>
  </r>
  <r>
    <x v="112"/>
    <x v="645"/>
    <x v="14"/>
  </r>
  <r>
    <x v="71"/>
    <x v="646"/>
    <x v="14"/>
  </r>
  <r>
    <x v="10"/>
    <x v="647"/>
    <x v="14"/>
  </r>
  <r>
    <x v="11"/>
    <x v="648"/>
    <x v="14"/>
  </r>
  <r>
    <x v="13"/>
    <x v="649"/>
    <x v="14"/>
  </r>
  <r>
    <x v="13"/>
    <x v="650"/>
    <x v="14"/>
  </r>
  <r>
    <x v="13"/>
    <x v="651"/>
    <x v="14"/>
  </r>
  <r>
    <x v="14"/>
    <x v="652"/>
    <x v="14"/>
  </r>
  <r>
    <x v="57"/>
    <x v="653"/>
    <x v="14"/>
  </r>
  <r>
    <x v="16"/>
    <x v="654"/>
    <x v="14"/>
  </r>
  <r>
    <x v="17"/>
    <x v="655"/>
    <x v="14"/>
  </r>
  <r>
    <x v="58"/>
    <x v="656"/>
    <x v="14"/>
  </r>
  <r>
    <x v="58"/>
    <x v="657"/>
    <x v="14"/>
  </r>
  <r>
    <x v="73"/>
    <x v="658"/>
    <x v="14"/>
  </r>
  <r>
    <x v="19"/>
    <x v="659"/>
    <x v="14"/>
  </r>
  <r>
    <x v="20"/>
    <x v="660"/>
    <x v="14"/>
  </r>
  <r>
    <x v="20"/>
    <x v="661"/>
    <x v="14"/>
  </r>
  <r>
    <x v="102"/>
    <x v="662"/>
    <x v="14"/>
  </r>
  <r>
    <x v="76"/>
    <x v="663"/>
    <x v="14"/>
  </r>
  <r>
    <x v="132"/>
    <x v="664"/>
    <x v="14"/>
  </r>
  <r>
    <x v="27"/>
    <x v="665"/>
    <x v="14"/>
  </r>
  <r>
    <x v="29"/>
    <x v="666"/>
    <x v="14"/>
  </r>
  <r>
    <x v="30"/>
    <x v="667"/>
    <x v="14"/>
  </r>
  <r>
    <x v="30"/>
    <x v="668"/>
    <x v="14"/>
  </r>
  <r>
    <x v="31"/>
    <x v="669"/>
    <x v="14"/>
  </r>
  <r>
    <x v="32"/>
    <x v="670"/>
    <x v="14"/>
  </r>
  <r>
    <x v="65"/>
    <x v="671"/>
    <x v="14"/>
  </r>
  <r>
    <x v="34"/>
    <x v="672"/>
    <x v="14"/>
  </r>
  <r>
    <x v="135"/>
    <x v="673"/>
    <x v="15"/>
  </r>
  <r>
    <x v="39"/>
    <x v="674"/>
    <x v="15"/>
  </r>
  <r>
    <x v="136"/>
    <x v="675"/>
    <x v="15"/>
  </r>
  <r>
    <x v="137"/>
    <x v="676"/>
    <x v="15"/>
  </r>
  <r>
    <x v="122"/>
    <x v="677"/>
    <x v="15"/>
  </r>
  <r>
    <x v="122"/>
    <x v="678"/>
    <x v="15"/>
  </r>
  <r>
    <x v="43"/>
    <x v="679"/>
    <x v="15"/>
  </r>
  <r>
    <x v="1"/>
    <x v="680"/>
    <x v="15"/>
  </r>
  <r>
    <x v="95"/>
    <x v="681"/>
    <x v="15"/>
  </r>
  <r>
    <x v="95"/>
    <x v="682"/>
    <x v="15"/>
  </r>
  <r>
    <x v="95"/>
    <x v="683"/>
    <x v="15"/>
  </r>
  <r>
    <x v="68"/>
    <x v="684"/>
    <x v="15"/>
  </r>
  <r>
    <x v="68"/>
    <x v="685"/>
    <x v="15"/>
  </r>
  <r>
    <x v="68"/>
    <x v="686"/>
    <x v="15"/>
  </r>
  <r>
    <x v="68"/>
    <x v="687"/>
    <x v="15"/>
  </r>
  <r>
    <x v="46"/>
    <x v="688"/>
    <x v="15"/>
  </r>
  <r>
    <x v="46"/>
    <x v="689"/>
    <x v="15"/>
  </r>
  <r>
    <x v="3"/>
    <x v="690"/>
    <x v="15"/>
  </r>
  <r>
    <x v="3"/>
    <x v="691"/>
    <x v="15"/>
  </r>
  <r>
    <x v="69"/>
    <x v="692"/>
    <x v="15"/>
  </r>
  <r>
    <x v="128"/>
    <x v="693"/>
    <x v="15"/>
  </r>
  <r>
    <x v="113"/>
    <x v="694"/>
    <x v="15"/>
  </r>
  <r>
    <x v="52"/>
    <x v="695"/>
    <x v="15"/>
  </r>
  <r>
    <x v="10"/>
    <x v="696"/>
    <x v="15"/>
  </r>
  <r>
    <x v="10"/>
    <x v="697"/>
    <x v="15"/>
  </r>
  <r>
    <x v="11"/>
    <x v="698"/>
    <x v="15"/>
  </r>
  <r>
    <x v="13"/>
    <x v="699"/>
    <x v="15"/>
  </r>
  <r>
    <x v="15"/>
    <x v="700"/>
    <x v="15"/>
  </r>
  <r>
    <x v="57"/>
    <x v="701"/>
    <x v="15"/>
  </r>
  <r>
    <x v="16"/>
    <x v="702"/>
    <x v="15"/>
  </r>
  <r>
    <x v="16"/>
    <x v="703"/>
    <x v="15"/>
  </r>
  <r>
    <x v="16"/>
    <x v="704"/>
    <x v="15"/>
  </r>
  <r>
    <x v="16"/>
    <x v="705"/>
    <x v="15"/>
  </r>
  <r>
    <x v="17"/>
    <x v="706"/>
    <x v="15"/>
  </r>
  <r>
    <x v="17"/>
    <x v="707"/>
    <x v="15"/>
  </r>
  <r>
    <x v="73"/>
    <x v="708"/>
    <x v="15"/>
  </r>
  <r>
    <x v="73"/>
    <x v="709"/>
    <x v="15"/>
  </r>
  <r>
    <x v="18"/>
    <x v="710"/>
    <x v="15"/>
  </r>
  <r>
    <x v="18"/>
    <x v="711"/>
    <x v="15"/>
  </r>
  <r>
    <x v="18"/>
    <x v="712"/>
    <x v="15"/>
  </r>
  <r>
    <x v="18"/>
    <x v="713"/>
    <x v="15"/>
  </r>
  <r>
    <x v="75"/>
    <x v="714"/>
    <x v="15"/>
  </r>
  <r>
    <x v="102"/>
    <x v="715"/>
    <x v="15"/>
  </r>
  <r>
    <x v="60"/>
    <x v="716"/>
    <x v="15"/>
  </r>
  <r>
    <x v="107"/>
    <x v="717"/>
    <x v="15"/>
  </r>
  <r>
    <x v="138"/>
    <x v="718"/>
    <x v="15"/>
  </r>
  <r>
    <x v="30"/>
    <x v="719"/>
    <x v="15"/>
  </r>
  <r>
    <x v="31"/>
    <x v="720"/>
    <x v="15"/>
  </r>
  <r>
    <x v="32"/>
    <x v="721"/>
    <x v="15"/>
  </r>
  <r>
    <x v="32"/>
    <x v="722"/>
    <x v="15"/>
  </r>
  <r>
    <x v="32"/>
    <x v="723"/>
    <x v="15"/>
  </r>
  <r>
    <x v="65"/>
    <x v="724"/>
    <x v="15"/>
  </r>
  <r>
    <x v="65"/>
    <x v="725"/>
    <x v="15"/>
  </r>
  <r>
    <x v="34"/>
    <x v="726"/>
    <x v="15"/>
  </r>
  <r>
    <x v="34"/>
    <x v="727"/>
    <x v="15"/>
  </r>
  <r>
    <x v="34"/>
    <x v="728"/>
    <x v="15"/>
  </r>
  <r>
    <x v="34"/>
    <x v="729"/>
    <x v="15"/>
  </r>
  <r>
    <x v="35"/>
    <x v="730"/>
    <x v="15"/>
  </r>
  <r>
    <x v="35"/>
    <x v="731"/>
    <x v="15"/>
  </r>
  <r>
    <x v="37"/>
    <x v="732"/>
    <x v="15"/>
  </r>
  <r>
    <x v="37"/>
    <x v="733"/>
    <x v="15"/>
  </r>
  <r>
    <x v="37"/>
    <x v="734"/>
    <x v="15"/>
  </r>
  <r>
    <x v="42"/>
    <x v="735"/>
    <x v="16"/>
  </r>
  <r>
    <x v="122"/>
    <x v="736"/>
    <x v="16"/>
  </r>
  <r>
    <x v="134"/>
    <x v="737"/>
    <x v="16"/>
  </r>
  <r>
    <x v="89"/>
    <x v="738"/>
    <x v="16"/>
  </r>
  <r>
    <x v="0"/>
    <x v="739"/>
    <x v="16"/>
  </r>
  <r>
    <x v="90"/>
    <x v="740"/>
    <x v="16"/>
  </r>
  <r>
    <x v="66"/>
    <x v="741"/>
    <x v="16"/>
  </r>
  <r>
    <x v="1"/>
    <x v="742"/>
    <x v="16"/>
  </r>
  <r>
    <x v="139"/>
    <x v="743"/>
    <x v="16"/>
  </r>
  <r>
    <x v="2"/>
    <x v="744"/>
    <x v="16"/>
  </r>
  <r>
    <x v="45"/>
    <x v="745"/>
    <x v="16"/>
  </r>
  <r>
    <x v="3"/>
    <x v="746"/>
    <x v="16"/>
  </r>
  <r>
    <x v="127"/>
    <x v="747"/>
    <x v="16"/>
  </r>
  <r>
    <x v="69"/>
    <x v="748"/>
    <x v="16"/>
  </r>
  <r>
    <x v="129"/>
    <x v="749"/>
    <x v="16"/>
  </r>
  <r>
    <x v="96"/>
    <x v="750"/>
    <x v="16"/>
  </r>
  <r>
    <x v="4"/>
    <x v="751"/>
    <x v="16"/>
  </r>
  <r>
    <x v="70"/>
    <x v="752"/>
    <x v="16"/>
  </r>
  <r>
    <x v="71"/>
    <x v="753"/>
    <x v="16"/>
  </r>
  <r>
    <x v="8"/>
    <x v="754"/>
    <x v="16"/>
  </r>
  <r>
    <x v="9"/>
    <x v="755"/>
    <x v="16"/>
  </r>
  <r>
    <x v="10"/>
    <x v="756"/>
    <x v="16"/>
  </r>
  <r>
    <x v="11"/>
    <x v="757"/>
    <x v="16"/>
  </r>
  <r>
    <x v="12"/>
    <x v="758"/>
    <x v="16"/>
  </r>
  <r>
    <x v="13"/>
    <x v="759"/>
    <x v="16"/>
  </r>
  <r>
    <x v="14"/>
    <x v="760"/>
    <x v="16"/>
  </r>
  <r>
    <x v="15"/>
    <x v="761"/>
    <x v="16"/>
  </r>
  <r>
    <x v="73"/>
    <x v="762"/>
    <x v="16"/>
  </r>
  <r>
    <x v="18"/>
    <x v="763"/>
    <x v="16"/>
  </r>
  <r>
    <x v="101"/>
    <x v="764"/>
    <x v="16"/>
  </r>
  <r>
    <x v="101"/>
    <x v="765"/>
    <x v="16"/>
  </r>
  <r>
    <x v="30"/>
    <x v="766"/>
    <x v="16"/>
  </r>
  <r>
    <x v="30"/>
    <x v="767"/>
    <x v="16"/>
  </r>
  <r>
    <x v="32"/>
    <x v="768"/>
    <x v="16"/>
  </r>
  <r>
    <x v="65"/>
    <x v="769"/>
    <x v="16"/>
  </r>
  <r>
    <x v="34"/>
    <x v="770"/>
    <x v="16"/>
  </r>
  <r>
    <x v="36"/>
    <x v="771"/>
    <x v="16"/>
  </r>
  <r>
    <x v="37"/>
    <x v="772"/>
    <x v="16"/>
  </r>
  <r>
    <x v="85"/>
    <x v="773"/>
    <x v="17"/>
  </r>
  <r>
    <x v="85"/>
    <x v="774"/>
    <x v="17"/>
  </r>
  <r>
    <x v="67"/>
    <x v="775"/>
    <x v="17"/>
  </r>
  <r>
    <x v="45"/>
    <x v="776"/>
    <x v="17"/>
  </r>
  <r>
    <x v="45"/>
    <x v="777"/>
    <x v="17"/>
  </r>
  <r>
    <x v="3"/>
    <x v="778"/>
    <x v="17"/>
  </r>
  <r>
    <x v="3"/>
    <x v="779"/>
    <x v="17"/>
  </r>
  <r>
    <x v="3"/>
    <x v="780"/>
    <x v="17"/>
  </r>
  <r>
    <x v="127"/>
    <x v="781"/>
    <x v="17"/>
  </r>
  <r>
    <x v="127"/>
    <x v="782"/>
    <x v="17"/>
  </r>
  <r>
    <x v="127"/>
    <x v="783"/>
    <x v="17"/>
  </r>
  <r>
    <x v="129"/>
    <x v="784"/>
    <x v="17"/>
  </r>
  <r>
    <x v="4"/>
    <x v="785"/>
    <x v="17"/>
  </r>
  <r>
    <x v="8"/>
    <x v="786"/>
    <x v="17"/>
  </r>
  <r>
    <x v="140"/>
    <x v="787"/>
    <x v="17"/>
  </r>
  <r>
    <x v="10"/>
    <x v="788"/>
    <x v="17"/>
  </r>
  <r>
    <x v="12"/>
    <x v="789"/>
    <x v="17"/>
  </r>
  <r>
    <x v="22"/>
    <x v="790"/>
    <x v="17"/>
  </r>
  <r>
    <x v="22"/>
    <x v="791"/>
    <x v="17"/>
  </r>
  <r>
    <x v="134"/>
    <x v="792"/>
    <x v="18"/>
  </r>
  <r>
    <x v="134"/>
    <x v="793"/>
    <x v="18"/>
  </r>
  <r>
    <x v="67"/>
    <x v="794"/>
    <x v="18"/>
  </r>
  <r>
    <x v="68"/>
    <x v="795"/>
    <x v="18"/>
  </r>
  <r>
    <x v="46"/>
    <x v="796"/>
    <x v="18"/>
  </r>
  <r>
    <x v="3"/>
    <x v="797"/>
    <x v="18"/>
  </r>
  <r>
    <x v="69"/>
    <x v="798"/>
    <x v="18"/>
  </r>
  <r>
    <x v="50"/>
    <x v="799"/>
    <x v="18"/>
  </r>
  <r>
    <x v="6"/>
    <x v="800"/>
    <x v="18"/>
  </r>
  <r>
    <x v="52"/>
    <x v="801"/>
    <x v="18"/>
  </r>
  <r>
    <x v="72"/>
    <x v="802"/>
    <x v="18"/>
  </r>
  <r>
    <x v="53"/>
    <x v="803"/>
    <x v="18"/>
  </r>
  <r>
    <x v="54"/>
    <x v="804"/>
    <x v="18"/>
  </r>
  <r>
    <x v="55"/>
    <x v="805"/>
    <x v="18"/>
  </r>
  <r>
    <x v="11"/>
    <x v="806"/>
    <x v="18"/>
  </r>
  <r>
    <x v="12"/>
    <x v="807"/>
    <x v="18"/>
  </r>
  <r>
    <x v="14"/>
    <x v="808"/>
    <x v="18"/>
  </r>
  <r>
    <x v="15"/>
    <x v="809"/>
    <x v="18"/>
  </r>
  <r>
    <x v="57"/>
    <x v="810"/>
    <x v="18"/>
  </r>
  <r>
    <x v="16"/>
    <x v="811"/>
    <x v="18"/>
  </r>
  <r>
    <x v="17"/>
    <x v="812"/>
    <x v="18"/>
  </r>
  <r>
    <x v="58"/>
    <x v="813"/>
    <x v="18"/>
  </r>
  <r>
    <x v="18"/>
    <x v="814"/>
    <x v="18"/>
  </r>
  <r>
    <x v="21"/>
    <x v="815"/>
    <x v="18"/>
  </r>
  <r>
    <x v="21"/>
    <x v="816"/>
    <x v="18"/>
  </r>
  <r>
    <x v="102"/>
    <x v="817"/>
    <x v="18"/>
  </r>
  <r>
    <x v="104"/>
    <x v="818"/>
    <x v="18"/>
  </r>
  <r>
    <x v="76"/>
    <x v="819"/>
    <x v="18"/>
  </r>
  <r>
    <x v="138"/>
    <x v="820"/>
    <x v="18"/>
  </r>
  <r>
    <x v="25"/>
    <x v="821"/>
    <x v="18"/>
  </r>
  <r>
    <x v="78"/>
    <x v="822"/>
    <x v="18"/>
  </r>
  <r>
    <x v="64"/>
    <x v="823"/>
    <x v="18"/>
  </r>
  <r>
    <x v="30"/>
    <x v="824"/>
    <x v="18"/>
  </r>
  <r>
    <x v="31"/>
    <x v="825"/>
    <x v="18"/>
  </r>
  <r>
    <x v="36"/>
    <x v="826"/>
    <x v="18"/>
  </r>
  <r>
    <x v="37"/>
    <x v="827"/>
    <x v="18"/>
  </r>
  <r>
    <x v="90"/>
    <x v="828"/>
    <x v="19"/>
  </r>
  <r>
    <x v="44"/>
    <x v="829"/>
    <x v="19"/>
  </r>
  <r>
    <x v="68"/>
    <x v="830"/>
    <x v="19"/>
  </r>
  <r>
    <x v="2"/>
    <x v="831"/>
    <x v="19"/>
  </r>
  <r>
    <x v="141"/>
    <x v="832"/>
    <x v="19"/>
  </r>
  <r>
    <x v="3"/>
    <x v="833"/>
    <x v="19"/>
  </r>
  <r>
    <x v="127"/>
    <x v="834"/>
    <x v="19"/>
  </r>
  <r>
    <x v="96"/>
    <x v="835"/>
    <x v="19"/>
  </r>
  <r>
    <x v="111"/>
    <x v="836"/>
    <x v="19"/>
  </r>
  <r>
    <x v="49"/>
    <x v="837"/>
    <x v="19"/>
  </r>
  <r>
    <x v="7"/>
    <x v="838"/>
    <x v="19"/>
  </r>
  <r>
    <x v="54"/>
    <x v="839"/>
    <x v="19"/>
  </r>
  <r>
    <x v="55"/>
    <x v="840"/>
    <x v="19"/>
  </r>
  <r>
    <x v="142"/>
    <x v="841"/>
    <x v="19"/>
  </r>
  <r>
    <x v="56"/>
    <x v="842"/>
    <x v="19"/>
  </r>
  <r>
    <x v="140"/>
    <x v="843"/>
    <x v="19"/>
  </r>
  <r>
    <x v="9"/>
    <x v="844"/>
    <x v="19"/>
  </r>
  <r>
    <x v="11"/>
    <x v="845"/>
    <x v="19"/>
  </r>
  <r>
    <x v="14"/>
    <x v="846"/>
    <x v="19"/>
  </r>
  <r>
    <x v="16"/>
    <x v="847"/>
    <x v="19"/>
  </r>
  <r>
    <x v="17"/>
    <x v="848"/>
    <x v="19"/>
  </r>
  <r>
    <x v="58"/>
    <x v="849"/>
    <x v="19"/>
  </r>
  <r>
    <x v="100"/>
    <x v="850"/>
    <x v="19"/>
  </r>
  <r>
    <x v="102"/>
    <x v="851"/>
    <x v="19"/>
  </r>
  <r>
    <x v="104"/>
    <x v="852"/>
    <x v="19"/>
  </r>
  <r>
    <x v="77"/>
    <x v="853"/>
    <x v="19"/>
  </r>
  <r>
    <x v="25"/>
    <x v="854"/>
    <x v="19"/>
  </r>
  <r>
    <x v="62"/>
    <x v="855"/>
    <x v="19"/>
  </r>
  <r>
    <x v="27"/>
    <x v="856"/>
    <x v="19"/>
  </r>
  <r>
    <x v="29"/>
    <x v="857"/>
    <x v="19"/>
  </r>
  <r>
    <x v="30"/>
    <x v="858"/>
    <x v="19"/>
  </r>
  <r>
    <x v="32"/>
    <x v="859"/>
    <x v="19"/>
  </r>
  <r>
    <x v="65"/>
    <x v="860"/>
    <x v="19"/>
  </r>
  <r>
    <x v="34"/>
    <x v="861"/>
    <x v="19"/>
  </r>
  <r>
    <x v="35"/>
    <x v="862"/>
    <x v="19"/>
  </r>
  <r>
    <x v="37"/>
    <x v="863"/>
    <x v="19"/>
  </r>
  <r>
    <x v="38"/>
    <x v="864"/>
    <x v="20"/>
  </r>
  <r>
    <x v="135"/>
    <x v="865"/>
    <x v="20"/>
  </r>
  <r>
    <x v="84"/>
    <x v="866"/>
    <x v="20"/>
  </r>
  <r>
    <x v="85"/>
    <x v="867"/>
    <x v="20"/>
  </r>
  <r>
    <x v="43"/>
    <x v="868"/>
    <x v="20"/>
  </r>
  <r>
    <x v="67"/>
    <x v="869"/>
    <x v="20"/>
  </r>
  <r>
    <x v="91"/>
    <x v="870"/>
    <x v="20"/>
  </r>
  <r>
    <x v="68"/>
    <x v="871"/>
    <x v="20"/>
  </r>
  <r>
    <x v="68"/>
    <x v="872"/>
    <x v="20"/>
  </r>
  <r>
    <x v="47"/>
    <x v="873"/>
    <x v="20"/>
  </r>
  <r>
    <x v="128"/>
    <x v="874"/>
    <x v="20"/>
  </r>
  <r>
    <x v="92"/>
    <x v="875"/>
    <x v="20"/>
  </r>
  <r>
    <x v="4"/>
    <x v="876"/>
    <x v="20"/>
  </r>
  <r>
    <x v="71"/>
    <x v="877"/>
    <x v="20"/>
  </r>
  <r>
    <x v="143"/>
    <x v="878"/>
    <x v="20"/>
  </r>
  <r>
    <x v="13"/>
    <x v="879"/>
    <x v="20"/>
  </r>
  <r>
    <x v="15"/>
    <x v="880"/>
    <x v="20"/>
  </r>
  <r>
    <x v="15"/>
    <x v="881"/>
    <x v="20"/>
  </r>
  <r>
    <x v="57"/>
    <x v="882"/>
    <x v="20"/>
  </r>
  <r>
    <x v="57"/>
    <x v="883"/>
    <x v="20"/>
  </r>
  <r>
    <x v="16"/>
    <x v="884"/>
    <x v="20"/>
  </r>
  <r>
    <x v="58"/>
    <x v="885"/>
    <x v="20"/>
  </r>
  <r>
    <x v="73"/>
    <x v="886"/>
    <x v="20"/>
  </r>
  <r>
    <x v="73"/>
    <x v="887"/>
    <x v="20"/>
  </r>
  <r>
    <x v="102"/>
    <x v="888"/>
    <x v="20"/>
  </r>
  <r>
    <x v="107"/>
    <x v="889"/>
    <x v="20"/>
  </r>
  <r>
    <x v="138"/>
    <x v="890"/>
    <x v="20"/>
  </r>
  <r>
    <x v="24"/>
    <x v="891"/>
    <x v="20"/>
  </r>
  <r>
    <x v="25"/>
    <x v="892"/>
    <x v="20"/>
  </r>
  <r>
    <x v="26"/>
    <x v="893"/>
    <x v="20"/>
  </r>
  <r>
    <x v="26"/>
    <x v="894"/>
    <x v="20"/>
  </r>
  <r>
    <x v="63"/>
    <x v="895"/>
    <x v="20"/>
  </r>
  <r>
    <x v="78"/>
    <x v="896"/>
    <x v="20"/>
  </r>
  <r>
    <x v="79"/>
    <x v="897"/>
    <x v="20"/>
  </r>
  <r>
    <x v="29"/>
    <x v="898"/>
    <x v="20"/>
  </r>
  <r>
    <x v="30"/>
    <x v="899"/>
    <x v="20"/>
  </r>
  <r>
    <x v="31"/>
    <x v="900"/>
    <x v="20"/>
  </r>
  <r>
    <x v="32"/>
    <x v="901"/>
    <x v="20"/>
  </r>
  <r>
    <x v="33"/>
    <x v="902"/>
    <x v="20"/>
  </r>
  <r>
    <x v="34"/>
    <x v="903"/>
    <x v="20"/>
  </r>
  <r>
    <x v="35"/>
    <x v="904"/>
    <x v="20"/>
  </r>
  <r>
    <x v="36"/>
    <x v="905"/>
    <x v="20"/>
  </r>
  <r>
    <x v="144"/>
    <x v="906"/>
    <x v="20"/>
  </r>
  <r>
    <x v="37"/>
    <x v="907"/>
    <x v="20"/>
  </r>
  <r>
    <x v="83"/>
    <x v="908"/>
    <x v="21"/>
  </r>
  <r>
    <x v="83"/>
    <x v="909"/>
    <x v="21"/>
  </r>
  <r>
    <x v="89"/>
    <x v="910"/>
    <x v="21"/>
  </r>
  <r>
    <x v="89"/>
    <x v="911"/>
    <x v="21"/>
  </r>
  <r>
    <x v="110"/>
    <x v="912"/>
    <x v="21"/>
  </r>
  <r>
    <x v="44"/>
    <x v="913"/>
    <x v="21"/>
  </r>
  <r>
    <x v="45"/>
    <x v="914"/>
    <x v="21"/>
  </r>
  <r>
    <x v="45"/>
    <x v="915"/>
    <x v="21"/>
  </r>
  <r>
    <x v="45"/>
    <x v="916"/>
    <x v="21"/>
  </r>
  <r>
    <x v="46"/>
    <x v="917"/>
    <x v="21"/>
  </r>
  <r>
    <x v="127"/>
    <x v="918"/>
    <x v="21"/>
  </r>
  <r>
    <x v="69"/>
    <x v="919"/>
    <x v="21"/>
  </r>
  <r>
    <x v="69"/>
    <x v="920"/>
    <x v="21"/>
  </r>
  <r>
    <x v="92"/>
    <x v="921"/>
    <x v="21"/>
  </r>
  <r>
    <x v="129"/>
    <x v="922"/>
    <x v="21"/>
  </r>
  <r>
    <x v="96"/>
    <x v="923"/>
    <x v="21"/>
  </r>
  <r>
    <x v="48"/>
    <x v="924"/>
    <x v="21"/>
  </r>
  <r>
    <x v="48"/>
    <x v="925"/>
    <x v="21"/>
  </r>
  <r>
    <x v="48"/>
    <x v="926"/>
    <x v="21"/>
  </r>
  <r>
    <x v="48"/>
    <x v="927"/>
    <x v="21"/>
  </r>
  <r>
    <x v="48"/>
    <x v="928"/>
    <x v="21"/>
  </r>
  <r>
    <x v="48"/>
    <x v="929"/>
    <x v="21"/>
  </r>
  <r>
    <x v="48"/>
    <x v="930"/>
    <x v="21"/>
  </r>
  <r>
    <x v="50"/>
    <x v="931"/>
    <x v="21"/>
  </r>
  <r>
    <x v="11"/>
    <x v="932"/>
    <x v="21"/>
  </r>
  <r>
    <x v="13"/>
    <x v="933"/>
    <x v="21"/>
  </r>
  <r>
    <x v="14"/>
    <x v="934"/>
    <x v="21"/>
  </r>
  <r>
    <x v="99"/>
    <x v="935"/>
    <x v="21"/>
  </r>
  <r>
    <x v="57"/>
    <x v="936"/>
    <x v="21"/>
  </r>
  <r>
    <x v="57"/>
    <x v="937"/>
    <x v="21"/>
  </r>
  <r>
    <x v="57"/>
    <x v="938"/>
    <x v="21"/>
  </r>
  <r>
    <x v="57"/>
    <x v="939"/>
    <x v="21"/>
  </r>
  <r>
    <x v="57"/>
    <x v="940"/>
    <x v="21"/>
  </r>
  <r>
    <x v="16"/>
    <x v="941"/>
    <x v="21"/>
  </r>
  <r>
    <x v="16"/>
    <x v="942"/>
    <x v="21"/>
  </r>
  <r>
    <x v="16"/>
    <x v="943"/>
    <x v="21"/>
  </r>
  <r>
    <x v="16"/>
    <x v="944"/>
    <x v="21"/>
  </r>
  <r>
    <x v="17"/>
    <x v="945"/>
    <x v="21"/>
  </r>
  <r>
    <x v="17"/>
    <x v="946"/>
    <x v="21"/>
  </r>
  <r>
    <x v="58"/>
    <x v="947"/>
    <x v="21"/>
  </r>
  <r>
    <x v="58"/>
    <x v="948"/>
    <x v="21"/>
  </r>
  <r>
    <x v="73"/>
    <x v="949"/>
    <x v="21"/>
  </r>
  <r>
    <x v="20"/>
    <x v="950"/>
    <x v="21"/>
  </r>
  <r>
    <x v="94"/>
    <x v="951"/>
    <x v="21"/>
  </r>
  <r>
    <x v="76"/>
    <x v="952"/>
    <x v="21"/>
  </r>
  <r>
    <x v="145"/>
    <x v="953"/>
    <x v="21"/>
  </r>
  <r>
    <x v="77"/>
    <x v="954"/>
    <x v="21"/>
  </r>
  <r>
    <x v="28"/>
    <x v="955"/>
    <x v="21"/>
  </r>
  <r>
    <x v="30"/>
    <x v="956"/>
    <x v="21"/>
  </r>
  <r>
    <x v="31"/>
    <x v="957"/>
    <x v="21"/>
  </r>
  <r>
    <x v="31"/>
    <x v="958"/>
    <x v="21"/>
  </r>
  <r>
    <x v="31"/>
    <x v="959"/>
    <x v="21"/>
  </r>
  <r>
    <x v="32"/>
    <x v="960"/>
    <x v="21"/>
  </r>
  <r>
    <x v="32"/>
    <x v="961"/>
    <x v="21"/>
  </r>
  <r>
    <x v="32"/>
    <x v="962"/>
    <x v="21"/>
  </r>
  <r>
    <x v="32"/>
    <x v="963"/>
    <x v="21"/>
  </r>
  <r>
    <x v="32"/>
    <x v="964"/>
    <x v="21"/>
  </r>
  <r>
    <x v="33"/>
    <x v="965"/>
    <x v="21"/>
  </r>
  <r>
    <x v="65"/>
    <x v="966"/>
    <x v="21"/>
  </r>
  <r>
    <x v="34"/>
    <x v="967"/>
    <x v="21"/>
  </r>
  <r>
    <x v="34"/>
    <x v="968"/>
    <x v="21"/>
  </r>
  <r>
    <x v="34"/>
    <x v="969"/>
    <x v="21"/>
  </r>
  <r>
    <x v="34"/>
    <x v="970"/>
    <x v="21"/>
  </r>
  <r>
    <x v="34"/>
    <x v="971"/>
    <x v="21"/>
  </r>
  <r>
    <x v="34"/>
    <x v="972"/>
    <x v="21"/>
  </r>
  <r>
    <x v="35"/>
    <x v="973"/>
    <x v="21"/>
  </r>
  <r>
    <x v="36"/>
    <x v="974"/>
    <x v="21"/>
  </r>
  <r>
    <x v="37"/>
    <x v="975"/>
    <x v="21"/>
  </r>
  <r>
    <x v="37"/>
    <x v="976"/>
    <x v="21"/>
  </r>
  <r>
    <x v="37"/>
    <x v="977"/>
    <x v="21"/>
  </r>
  <r>
    <x v="39"/>
    <x v="978"/>
    <x v="22"/>
  </r>
  <r>
    <x v="136"/>
    <x v="979"/>
    <x v="22"/>
  </r>
  <r>
    <x v="124"/>
    <x v="980"/>
    <x v="22"/>
  </r>
  <r>
    <x v="126"/>
    <x v="981"/>
    <x v="22"/>
  </r>
  <r>
    <x v="42"/>
    <x v="982"/>
    <x v="22"/>
  </r>
  <r>
    <x v="122"/>
    <x v="983"/>
    <x v="22"/>
  </r>
  <r>
    <x v="87"/>
    <x v="984"/>
    <x v="22"/>
  </r>
  <r>
    <x v="45"/>
    <x v="985"/>
    <x v="22"/>
  </r>
  <r>
    <x v="3"/>
    <x v="986"/>
    <x v="22"/>
  </r>
  <r>
    <x v="3"/>
    <x v="987"/>
    <x v="22"/>
  </r>
  <r>
    <x v="127"/>
    <x v="988"/>
    <x v="22"/>
  </r>
  <r>
    <x v="128"/>
    <x v="989"/>
    <x v="22"/>
  </r>
  <r>
    <x v="123"/>
    <x v="990"/>
    <x v="22"/>
  </r>
  <r>
    <x v="96"/>
    <x v="991"/>
    <x v="22"/>
  </r>
  <r>
    <x v="50"/>
    <x v="992"/>
    <x v="22"/>
  </r>
  <r>
    <x v="55"/>
    <x v="993"/>
    <x v="22"/>
  </r>
  <r>
    <x v="12"/>
    <x v="994"/>
    <x v="22"/>
  </r>
  <r>
    <x v="13"/>
    <x v="995"/>
    <x v="22"/>
  </r>
  <r>
    <x v="15"/>
    <x v="996"/>
    <x v="22"/>
  </r>
  <r>
    <x v="99"/>
    <x v="997"/>
    <x v="22"/>
  </r>
  <r>
    <x v="16"/>
    <x v="998"/>
    <x v="22"/>
  </r>
  <r>
    <x v="16"/>
    <x v="999"/>
    <x v="22"/>
  </r>
  <r>
    <x v="16"/>
    <x v="1000"/>
    <x v="22"/>
  </r>
  <r>
    <x v="17"/>
    <x v="1001"/>
    <x v="22"/>
  </r>
  <r>
    <x v="73"/>
    <x v="1002"/>
    <x v="22"/>
  </r>
  <r>
    <x v="59"/>
    <x v="1003"/>
    <x v="22"/>
  </r>
  <r>
    <x v="107"/>
    <x v="1004"/>
    <x v="22"/>
  </r>
  <r>
    <x v="61"/>
    <x v="1005"/>
    <x v="22"/>
  </r>
  <r>
    <x v="25"/>
    <x v="1006"/>
    <x v="22"/>
  </r>
  <r>
    <x v="27"/>
    <x v="1007"/>
    <x v="22"/>
  </r>
  <r>
    <x v="79"/>
    <x v="1008"/>
    <x v="22"/>
  </r>
  <r>
    <x v="64"/>
    <x v="1009"/>
    <x v="22"/>
  </r>
  <r>
    <x v="29"/>
    <x v="1010"/>
    <x v="22"/>
  </r>
  <r>
    <x v="31"/>
    <x v="1011"/>
    <x v="22"/>
  </r>
  <r>
    <x v="31"/>
    <x v="1012"/>
    <x v="22"/>
  </r>
  <r>
    <x v="32"/>
    <x v="1013"/>
    <x v="22"/>
  </r>
  <r>
    <x v="65"/>
    <x v="1014"/>
    <x v="22"/>
  </r>
  <r>
    <x v="35"/>
    <x v="1015"/>
    <x v="22"/>
  </r>
  <r>
    <x v="37"/>
    <x v="1016"/>
    <x v="22"/>
  </r>
  <r>
    <x v="136"/>
    <x v="1017"/>
    <x v="23"/>
  </r>
  <r>
    <x v="41"/>
    <x v="1018"/>
    <x v="23"/>
  </r>
  <r>
    <x v="84"/>
    <x v="1019"/>
    <x v="23"/>
  </r>
  <r>
    <x v="1"/>
    <x v="1020"/>
    <x v="23"/>
  </r>
  <r>
    <x v="68"/>
    <x v="1021"/>
    <x v="23"/>
  </r>
  <r>
    <x v="2"/>
    <x v="1022"/>
    <x v="23"/>
  </r>
  <r>
    <x v="45"/>
    <x v="1023"/>
    <x v="23"/>
  </r>
  <r>
    <x v="45"/>
    <x v="1024"/>
    <x v="23"/>
  </r>
  <r>
    <x v="92"/>
    <x v="1025"/>
    <x v="23"/>
  </r>
  <r>
    <x v="123"/>
    <x v="1026"/>
    <x v="23"/>
  </r>
  <r>
    <x v="129"/>
    <x v="1027"/>
    <x v="23"/>
  </r>
  <r>
    <x v="96"/>
    <x v="1028"/>
    <x v="23"/>
  </r>
  <r>
    <x v="48"/>
    <x v="1029"/>
    <x v="23"/>
  </r>
  <r>
    <x v="48"/>
    <x v="1030"/>
    <x v="23"/>
  </r>
  <r>
    <x v="48"/>
    <x v="1031"/>
    <x v="23"/>
  </r>
  <r>
    <x v="48"/>
    <x v="1032"/>
    <x v="23"/>
  </r>
  <r>
    <x v="48"/>
    <x v="1033"/>
    <x v="23"/>
  </r>
  <r>
    <x v="49"/>
    <x v="1034"/>
    <x v="23"/>
  </r>
  <r>
    <x v="49"/>
    <x v="1035"/>
    <x v="23"/>
  </r>
  <r>
    <x v="49"/>
    <x v="1036"/>
    <x v="23"/>
  </r>
  <r>
    <x v="49"/>
    <x v="1037"/>
    <x v="23"/>
  </r>
  <r>
    <x v="5"/>
    <x v="1038"/>
    <x v="23"/>
  </r>
  <r>
    <x v="52"/>
    <x v="1039"/>
    <x v="23"/>
  </r>
  <r>
    <x v="55"/>
    <x v="1040"/>
    <x v="23"/>
  </r>
  <r>
    <x v="143"/>
    <x v="1041"/>
    <x v="23"/>
  </r>
  <r>
    <x v="12"/>
    <x v="1042"/>
    <x v="23"/>
  </r>
  <r>
    <x v="15"/>
    <x v="1043"/>
    <x v="23"/>
  </r>
  <r>
    <x v="99"/>
    <x v="1044"/>
    <x v="23"/>
  </r>
  <r>
    <x v="57"/>
    <x v="1045"/>
    <x v="23"/>
  </r>
  <r>
    <x v="16"/>
    <x v="1046"/>
    <x v="23"/>
  </r>
  <r>
    <x v="17"/>
    <x v="1047"/>
    <x v="23"/>
  </r>
  <r>
    <x v="58"/>
    <x v="1048"/>
    <x v="23"/>
  </r>
  <r>
    <x v="58"/>
    <x v="1049"/>
    <x v="23"/>
  </r>
  <r>
    <x v="94"/>
    <x v="1050"/>
    <x v="23"/>
  </r>
  <r>
    <x v="115"/>
    <x v="1051"/>
    <x v="23"/>
  </r>
  <r>
    <x v="27"/>
    <x v="1052"/>
    <x v="23"/>
  </r>
  <r>
    <x v="28"/>
    <x v="1053"/>
    <x v="23"/>
  </r>
  <r>
    <x v="28"/>
    <x v="1054"/>
    <x v="23"/>
  </r>
  <r>
    <x v="30"/>
    <x v="1055"/>
    <x v="23"/>
  </r>
  <r>
    <x v="31"/>
    <x v="1056"/>
    <x v="23"/>
  </r>
  <r>
    <x v="31"/>
    <x v="1057"/>
    <x v="23"/>
  </r>
  <r>
    <x v="31"/>
    <x v="1058"/>
    <x v="23"/>
  </r>
  <r>
    <x v="31"/>
    <x v="1059"/>
    <x v="23"/>
  </r>
  <r>
    <x v="33"/>
    <x v="1060"/>
    <x v="23"/>
  </r>
  <r>
    <x v="34"/>
    <x v="1061"/>
    <x v="23"/>
  </r>
  <r>
    <x v="35"/>
    <x v="1062"/>
    <x v="23"/>
  </r>
  <r>
    <x v="35"/>
    <x v="1063"/>
    <x v="23"/>
  </r>
  <r>
    <x v="35"/>
    <x v="1064"/>
    <x v="23"/>
  </r>
  <r>
    <x v="35"/>
    <x v="1065"/>
    <x v="23"/>
  </r>
  <r>
    <x v="36"/>
    <x v="1066"/>
    <x v="23"/>
  </r>
  <r>
    <x v="36"/>
    <x v="1067"/>
    <x v="23"/>
  </r>
  <r>
    <x v="37"/>
    <x v="1068"/>
    <x v="23"/>
  </r>
  <r>
    <x v="37"/>
    <x v="1069"/>
    <x v="23"/>
  </r>
  <r>
    <x v="37"/>
    <x v="1070"/>
    <x v="23"/>
  </r>
  <r>
    <x v="38"/>
    <x v="1071"/>
    <x v="24"/>
  </r>
  <r>
    <x v="135"/>
    <x v="1072"/>
    <x v="24"/>
  </r>
  <r>
    <x v="39"/>
    <x v="1073"/>
    <x v="24"/>
  </r>
  <r>
    <x v="146"/>
    <x v="1074"/>
    <x v="24"/>
  </r>
  <r>
    <x v="86"/>
    <x v="1075"/>
    <x v="24"/>
  </r>
  <r>
    <x v="122"/>
    <x v="1076"/>
    <x v="24"/>
  </r>
  <r>
    <x v="134"/>
    <x v="1077"/>
    <x v="24"/>
  </r>
  <r>
    <x v="88"/>
    <x v="1078"/>
    <x v="24"/>
  </r>
  <r>
    <x v="67"/>
    <x v="1079"/>
    <x v="24"/>
  </r>
  <r>
    <x v="44"/>
    <x v="1080"/>
    <x v="24"/>
  </r>
  <r>
    <x v="1"/>
    <x v="1081"/>
    <x v="24"/>
  </r>
  <r>
    <x v="91"/>
    <x v="1082"/>
    <x v="24"/>
  </r>
  <r>
    <x v="45"/>
    <x v="1083"/>
    <x v="24"/>
  </r>
  <r>
    <x v="3"/>
    <x v="1084"/>
    <x v="24"/>
  </r>
  <r>
    <x v="47"/>
    <x v="1085"/>
    <x v="24"/>
  </r>
  <r>
    <x v="128"/>
    <x v="1086"/>
    <x v="24"/>
  </r>
  <r>
    <x v="123"/>
    <x v="1087"/>
    <x v="24"/>
  </r>
  <r>
    <x v="93"/>
    <x v="1088"/>
    <x v="24"/>
  </r>
  <r>
    <x v="8"/>
    <x v="1089"/>
    <x v="24"/>
  </r>
  <r>
    <x v="55"/>
    <x v="1090"/>
    <x v="24"/>
  </r>
  <r>
    <x v="11"/>
    <x v="1091"/>
    <x v="24"/>
  </r>
  <r>
    <x v="12"/>
    <x v="1092"/>
    <x v="24"/>
  </r>
  <r>
    <x v="13"/>
    <x v="1093"/>
    <x v="24"/>
  </r>
  <r>
    <x v="14"/>
    <x v="1094"/>
    <x v="24"/>
  </r>
  <r>
    <x v="15"/>
    <x v="1095"/>
    <x v="24"/>
  </r>
  <r>
    <x v="99"/>
    <x v="1096"/>
    <x v="24"/>
  </r>
  <r>
    <x v="57"/>
    <x v="1097"/>
    <x v="24"/>
  </r>
  <r>
    <x v="16"/>
    <x v="1098"/>
    <x v="24"/>
  </r>
  <r>
    <x v="16"/>
    <x v="1099"/>
    <x v="24"/>
  </r>
  <r>
    <x v="18"/>
    <x v="1100"/>
    <x v="24"/>
  </r>
  <r>
    <x v="21"/>
    <x v="1101"/>
    <x v="24"/>
  </r>
  <r>
    <x v="147"/>
    <x v="1102"/>
    <x v="24"/>
  </r>
  <r>
    <x v="104"/>
    <x v="1103"/>
    <x v="24"/>
  </r>
  <r>
    <x v="76"/>
    <x v="1104"/>
    <x v="24"/>
  </r>
  <r>
    <x v="78"/>
    <x v="1105"/>
    <x v="24"/>
  </r>
  <r>
    <x v="27"/>
    <x v="1106"/>
    <x v="24"/>
  </r>
  <r>
    <x v="79"/>
    <x v="1107"/>
    <x v="24"/>
  </r>
  <r>
    <x v="64"/>
    <x v="1108"/>
    <x v="24"/>
  </r>
  <r>
    <x v="30"/>
    <x v="1109"/>
    <x v="24"/>
  </r>
  <r>
    <x v="31"/>
    <x v="1110"/>
    <x v="24"/>
  </r>
  <r>
    <x v="32"/>
    <x v="1111"/>
    <x v="24"/>
  </r>
  <r>
    <x v="33"/>
    <x v="1112"/>
    <x v="24"/>
  </r>
  <r>
    <x v="65"/>
    <x v="1113"/>
    <x v="24"/>
  </r>
  <r>
    <x v="34"/>
    <x v="1114"/>
    <x v="24"/>
  </r>
  <r>
    <x v="36"/>
    <x v="1115"/>
    <x v="24"/>
  </r>
  <r>
    <x v="37"/>
    <x v="1116"/>
    <x v="24"/>
  </r>
  <r>
    <x v="109"/>
    <x v="1117"/>
    <x v="25"/>
  </r>
  <r>
    <x v="130"/>
    <x v="1118"/>
    <x v="25"/>
  </r>
  <r>
    <x v="90"/>
    <x v="1119"/>
    <x v="25"/>
  </r>
  <r>
    <x v="67"/>
    <x v="1120"/>
    <x v="25"/>
  </r>
  <r>
    <x v="1"/>
    <x v="1121"/>
    <x v="25"/>
  </r>
  <r>
    <x v="91"/>
    <x v="1122"/>
    <x v="25"/>
  </r>
  <r>
    <x v="45"/>
    <x v="1123"/>
    <x v="25"/>
  </r>
  <r>
    <x v="3"/>
    <x v="1124"/>
    <x v="25"/>
  </r>
  <r>
    <x v="92"/>
    <x v="1125"/>
    <x v="25"/>
  </r>
  <r>
    <x v="96"/>
    <x v="1126"/>
    <x v="25"/>
  </r>
  <r>
    <x v="6"/>
    <x v="1127"/>
    <x v="25"/>
  </r>
  <r>
    <x v="12"/>
    <x v="1128"/>
    <x v="25"/>
  </r>
  <r>
    <x v="15"/>
    <x v="1129"/>
    <x v="25"/>
  </r>
  <r>
    <x v="57"/>
    <x v="1130"/>
    <x v="25"/>
  </r>
  <r>
    <x v="16"/>
    <x v="1131"/>
    <x v="25"/>
  </r>
  <r>
    <x v="17"/>
    <x v="1132"/>
    <x v="25"/>
  </r>
  <r>
    <x v="20"/>
    <x v="1133"/>
    <x v="25"/>
  </r>
  <r>
    <x v="20"/>
    <x v="1133"/>
    <x v="25"/>
  </r>
  <r>
    <x v="114"/>
    <x v="1134"/>
    <x v="25"/>
  </r>
  <r>
    <x v="78"/>
    <x v="1135"/>
    <x v="25"/>
  </r>
  <r>
    <x v="64"/>
    <x v="1136"/>
    <x v="25"/>
  </r>
  <r>
    <x v="29"/>
    <x v="1137"/>
    <x v="25"/>
  </r>
  <r>
    <x v="31"/>
    <x v="1138"/>
    <x v="25"/>
  </r>
  <r>
    <x v="32"/>
    <x v="1139"/>
    <x v="25"/>
  </r>
  <r>
    <x v="65"/>
    <x v="1140"/>
    <x v="25"/>
  </r>
  <r>
    <x v="34"/>
    <x v="1141"/>
    <x v="25"/>
  </r>
  <r>
    <x v="35"/>
    <x v="1142"/>
    <x v="25"/>
  </r>
  <r>
    <x v="35"/>
    <x v="1143"/>
    <x v="25"/>
  </r>
  <r>
    <x v="144"/>
    <x v="1144"/>
    <x v="25"/>
  </r>
  <r>
    <x v="39"/>
    <x v="1145"/>
    <x v="26"/>
  </r>
  <r>
    <x v="148"/>
    <x v="1146"/>
    <x v="26"/>
  </r>
  <r>
    <x v="126"/>
    <x v="1147"/>
    <x v="26"/>
  </r>
  <r>
    <x v="130"/>
    <x v="1148"/>
    <x v="26"/>
  </r>
  <r>
    <x v="89"/>
    <x v="1149"/>
    <x v="26"/>
  </r>
  <r>
    <x v="90"/>
    <x v="1150"/>
    <x v="26"/>
  </r>
  <r>
    <x v="110"/>
    <x v="1151"/>
    <x v="26"/>
  </r>
  <r>
    <x v="66"/>
    <x v="1152"/>
    <x v="26"/>
  </r>
  <r>
    <x v="91"/>
    <x v="1153"/>
    <x v="26"/>
  </r>
  <r>
    <x v="45"/>
    <x v="1154"/>
    <x v="26"/>
  </r>
  <r>
    <x v="46"/>
    <x v="1155"/>
    <x v="26"/>
  </r>
  <r>
    <x v="3"/>
    <x v="1156"/>
    <x v="26"/>
  </r>
  <r>
    <x v="3"/>
    <x v="1157"/>
    <x v="26"/>
  </r>
  <r>
    <x v="69"/>
    <x v="1158"/>
    <x v="26"/>
  </r>
  <r>
    <x v="96"/>
    <x v="1159"/>
    <x v="26"/>
  </r>
  <r>
    <x v="111"/>
    <x v="1160"/>
    <x v="26"/>
  </r>
  <r>
    <x v="48"/>
    <x v="1161"/>
    <x v="26"/>
  </r>
  <r>
    <x v="49"/>
    <x v="1162"/>
    <x v="26"/>
  </r>
  <r>
    <x v="49"/>
    <x v="1163"/>
    <x v="26"/>
  </r>
  <r>
    <x v="5"/>
    <x v="1164"/>
    <x v="26"/>
  </r>
  <r>
    <x v="6"/>
    <x v="1165"/>
    <x v="26"/>
  </r>
  <r>
    <x v="6"/>
    <x v="1166"/>
    <x v="26"/>
  </r>
  <r>
    <x v="51"/>
    <x v="1167"/>
    <x v="26"/>
  </r>
  <r>
    <x v="52"/>
    <x v="1168"/>
    <x v="26"/>
  </r>
  <r>
    <x v="56"/>
    <x v="1169"/>
    <x v="26"/>
  </r>
  <r>
    <x v="11"/>
    <x v="1170"/>
    <x v="26"/>
  </r>
  <r>
    <x v="14"/>
    <x v="1171"/>
    <x v="26"/>
  </r>
  <r>
    <x v="15"/>
    <x v="1172"/>
    <x v="26"/>
  </r>
  <r>
    <x v="16"/>
    <x v="1173"/>
    <x v="26"/>
  </r>
  <r>
    <x v="16"/>
    <x v="1174"/>
    <x v="26"/>
  </r>
  <r>
    <x v="16"/>
    <x v="1175"/>
    <x v="26"/>
  </r>
  <r>
    <x v="16"/>
    <x v="1176"/>
    <x v="26"/>
  </r>
  <r>
    <x v="16"/>
    <x v="1177"/>
    <x v="26"/>
  </r>
  <r>
    <x v="17"/>
    <x v="1178"/>
    <x v="26"/>
  </r>
  <r>
    <x v="17"/>
    <x v="1179"/>
    <x v="26"/>
  </r>
  <r>
    <x v="58"/>
    <x v="1180"/>
    <x v="26"/>
  </r>
  <r>
    <x v="73"/>
    <x v="1181"/>
    <x v="26"/>
  </r>
  <r>
    <x v="73"/>
    <x v="1182"/>
    <x v="26"/>
  </r>
  <r>
    <x v="138"/>
    <x v="1183"/>
    <x v="26"/>
  </r>
  <r>
    <x v="24"/>
    <x v="1184"/>
    <x v="26"/>
  </r>
  <r>
    <x v="62"/>
    <x v="1185"/>
    <x v="26"/>
  </r>
  <r>
    <x v="26"/>
    <x v="1186"/>
    <x v="26"/>
  </r>
  <r>
    <x v="78"/>
    <x v="1187"/>
    <x v="26"/>
  </r>
  <r>
    <x v="27"/>
    <x v="1188"/>
    <x v="26"/>
  </r>
  <r>
    <x v="28"/>
    <x v="1189"/>
    <x v="26"/>
  </r>
  <r>
    <x v="64"/>
    <x v="1190"/>
    <x v="26"/>
  </r>
  <r>
    <x v="81"/>
    <x v="1191"/>
    <x v="26"/>
  </r>
  <r>
    <x v="81"/>
    <x v="1192"/>
    <x v="26"/>
  </r>
  <r>
    <x v="31"/>
    <x v="1193"/>
    <x v="26"/>
  </r>
  <r>
    <x v="32"/>
    <x v="1194"/>
    <x v="26"/>
  </r>
  <r>
    <x v="33"/>
    <x v="1195"/>
    <x v="26"/>
  </r>
  <r>
    <x v="65"/>
    <x v="1196"/>
    <x v="26"/>
  </r>
  <r>
    <x v="34"/>
    <x v="1197"/>
    <x v="26"/>
  </r>
  <r>
    <x v="35"/>
    <x v="1198"/>
    <x v="26"/>
  </r>
  <r>
    <x v="36"/>
    <x v="1199"/>
    <x v="26"/>
  </r>
  <r>
    <x v="37"/>
    <x v="1200"/>
    <x v="26"/>
  </r>
  <r>
    <x v="86"/>
    <x v="1201"/>
    <x v="27"/>
  </r>
  <r>
    <x v="88"/>
    <x v="1202"/>
    <x v="27"/>
  </r>
  <r>
    <x v="110"/>
    <x v="1203"/>
    <x v="27"/>
  </r>
  <r>
    <x v="44"/>
    <x v="1204"/>
    <x v="27"/>
  </r>
  <r>
    <x v="91"/>
    <x v="1205"/>
    <x v="27"/>
  </r>
  <r>
    <x v="68"/>
    <x v="1206"/>
    <x v="27"/>
  </r>
  <r>
    <x v="45"/>
    <x v="1207"/>
    <x v="27"/>
  </r>
  <r>
    <x v="3"/>
    <x v="1208"/>
    <x v="27"/>
  </r>
  <r>
    <x v="47"/>
    <x v="1209"/>
    <x v="27"/>
  </r>
  <r>
    <x v="128"/>
    <x v="1210"/>
    <x v="27"/>
  </r>
  <r>
    <x v="4"/>
    <x v="1211"/>
    <x v="27"/>
  </r>
  <r>
    <x v="48"/>
    <x v="1212"/>
    <x v="27"/>
  </r>
  <r>
    <x v="49"/>
    <x v="1213"/>
    <x v="27"/>
  </r>
  <r>
    <x v="50"/>
    <x v="1214"/>
    <x v="27"/>
  </r>
  <r>
    <x v="112"/>
    <x v="1215"/>
    <x v="27"/>
  </r>
  <r>
    <x v="72"/>
    <x v="1216"/>
    <x v="27"/>
  </r>
  <r>
    <x v="55"/>
    <x v="1217"/>
    <x v="27"/>
  </r>
  <r>
    <x v="140"/>
    <x v="1218"/>
    <x v="27"/>
  </r>
  <r>
    <x v="11"/>
    <x v="1219"/>
    <x v="27"/>
  </r>
  <r>
    <x v="13"/>
    <x v="1220"/>
    <x v="27"/>
  </r>
  <r>
    <x v="14"/>
    <x v="1221"/>
    <x v="27"/>
  </r>
  <r>
    <x v="15"/>
    <x v="1222"/>
    <x v="27"/>
  </r>
  <r>
    <x v="99"/>
    <x v="1223"/>
    <x v="27"/>
  </r>
  <r>
    <x v="16"/>
    <x v="1224"/>
    <x v="27"/>
  </r>
  <r>
    <x v="17"/>
    <x v="1225"/>
    <x v="27"/>
  </r>
  <r>
    <x v="58"/>
    <x v="1226"/>
    <x v="27"/>
  </r>
  <r>
    <x v="19"/>
    <x v="1227"/>
    <x v="27"/>
  </r>
  <r>
    <x v="119"/>
    <x v="1228"/>
    <x v="27"/>
  </r>
  <r>
    <x v="102"/>
    <x v="1229"/>
    <x v="27"/>
  </r>
  <r>
    <x v="105"/>
    <x v="1230"/>
    <x v="27"/>
  </r>
  <r>
    <x v="132"/>
    <x v="1231"/>
    <x v="27"/>
  </r>
  <r>
    <x v="25"/>
    <x v="1232"/>
    <x v="27"/>
  </r>
  <r>
    <x v="62"/>
    <x v="1233"/>
    <x v="27"/>
  </r>
  <r>
    <x v="26"/>
    <x v="1234"/>
    <x v="27"/>
  </r>
  <r>
    <x v="78"/>
    <x v="1235"/>
    <x v="27"/>
  </r>
  <r>
    <x v="79"/>
    <x v="1236"/>
    <x v="27"/>
  </r>
  <r>
    <x v="30"/>
    <x v="1237"/>
    <x v="27"/>
  </r>
  <r>
    <x v="65"/>
    <x v="1238"/>
    <x v="27"/>
  </r>
  <r>
    <x v="34"/>
    <x v="1239"/>
    <x v="27"/>
  </r>
  <r>
    <x v="35"/>
    <x v="1240"/>
    <x v="27"/>
  </r>
  <r>
    <x v="35"/>
    <x v="1241"/>
    <x v="27"/>
  </r>
  <r>
    <x v="37"/>
    <x v="1242"/>
    <x v="27"/>
  </r>
  <r>
    <x v="130"/>
    <x v="1243"/>
    <x v="28"/>
  </r>
  <r>
    <x v="85"/>
    <x v="1244"/>
    <x v="28"/>
  </r>
  <r>
    <x v="134"/>
    <x v="1245"/>
    <x v="28"/>
  </r>
  <r>
    <x v="89"/>
    <x v="1246"/>
    <x v="28"/>
  </r>
  <r>
    <x v="67"/>
    <x v="1247"/>
    <x v="28"/>
  </r>
  <r>
    <x v="1"/>
    <x v="1248"/>
    <x v="28"/>
  </r>
  <r>
    <x v="68"/>
    <x v="1249"/>
    <x v="28"/>
  </r>
  <r>
    <x v="2"/>
    <x v="1250"/>
    <x v="28"/>
  </r>
  <r>
    <x v="3"/>
    <x v="1251"/>
    <x v="28"/>
  </r>
  <r>
    <x v="129"/>
    <x v="1252"/>
    <x v="28"/>
  </r>
  <r>
    <x v="6"/>
    <x v="1253"/>
    <x v="28"/>
  </r>
  <r>
    <x v="6"/>
    <x v="1254"/>
    <x v="28"/>
  </r>
  <r>
    <x v="149"/>
    <x v="1255"/>
    <x v="28"/>
  </r>
  <r>
    <x v="71"/>
    <x v="1256"/>
    <x v="28"/>
  </r>
  <r>
    <x v="54"/>
    <x v="1257"/>
    <x v="28"/>
  </r>
  <r>
    <x v="55"/>
    <x v="1258"/>
    <x v="28"/>
  </r>
  <r>
    <x v="98"/>
    <x v="1259"/>
    <x v="28"/>
  </r>
  <r>
    <x v="16"/>
    <x v="1260"/>
    <x v="28"/>
  </r>
  <r>
    <x v="20"/>
    <x v="1261"/>
    <x v="28"/>
  </r>
  <r>
    <x v="147"/>
    <x v="1262"/>
    <x v="28"/>
  </r>
  <r>
    <x v="60"/>
    <x v="1263"/>
    <x v="28"/>
  </r>
  <r>
    <x v="106"/>
    <x v="1264"/>
    <x v="28"/>
  </r>
  <r>
    <x v="145"/>
    <x v="1265"/>
    <x v="28"/>
  </r>
  <r>
    <x v="145"/>
    <x v="1266"/>
    <x v="28"/>
  </r>
  <r>
    <x v="121"/>
    <x v="1267"/>
    <x v="28"/>
  </r>
  <r>
    <x v="23"/>
    <x v="1268"/>
    <x v="28"/>
  </r>
  <r>
    <x v="25"/>
    <x v="1269"/>
    <x v="28"/>
  </r>
  <r>
    <x v="116"/>
    <x v="1270"/>
    <x v="28"/>
  </r>
  <r>
    <x v="116"/>
    <x v="1271"/>
    <x v="28"/>
  </r>
  <r>
    <x v="26"/>
    <x v="1272"/>
    <x v="28"/>
  </r>
  <r>
    <x v="63"/>
    <x v="1273"/>
    <x v="28"/>
  </r>
  <r>
    <x v="27"/>
    <x v="1274"/>
    <x v="28"/>
  </r>
  <r>
    <x v="27"/>
    <x v="1275"/>
    <x v="28"/>
  </r>
  <r>
    <x v="79"/>
    <x v="1276"/>
    <x v="28"/>
  </r>
  <r>
    <x v="80"/>
    <x v="1277"/>
    <x v="28"/>
  </r>
  <r>
    <x v="29"/>
    <x v="1278"/>
    <x v="28"/>
  </r>
  <r>
    <x v="30"/>
    <x v="1279"/>
    <x v="28"/>
  </r>
  <r>
    <x v="32"/>
    <x v="1280"/>
    <x v="28"/>
  </r>
  <r>
    <x v="34"/>
    <x v="1281"/>
    <x v="28"/>
  </r>
  <r>
    <x v="35"/>
    <x v="1282"/>
    <x v="28"/>
  </r>
  <r>
    <x v="36"/>
    <x v="1283"/>
    <x v="28"/>
  </r>
  <r>
    <x v="37"/>
    <x v="1284"/>
    <x v="28"/>
  </r>
  <r>
    <x v="39"/>
    <x v="1285"/>
    <x v="29"/>
  </r>
  <r>
    <x v="109"/>
    <x v="1286"/>
    <x v="29"/>
  </r>
  <r>
    <x v="86"/>
    <x v="1287"/>
    <x v="29"/>
  </r>
  <r>
    <x v="122"/>
    <x v="1288"/>
    <x v="29"/>
  </r>
  <r>
    <x v="90"/>
    <x v="1289"/>
    <x v="29"/>
  </r>
  <r>
    <x v="110"/>
    <x v="1290"/>
    <x v="29"/>
  </r>
  <r>
    <x v="45"/>
    <x v="1291"/>
    <x v="29"/>
  </r>
  <r>
    <x v="47"/>
    <x v="1292"/>
    <x v="29"/>
  </r>
  <r>
    <x v="123"/>
    <x v="1293"/>
    <x v="29"/>
  </r>
  <r>
    <x v="4"/>
    <x v="1294"/>
    <x v="29"/>
  </r>
  <r>
    <x v="48"/>
    <x v="1295"/>
    <x v="29"/>
  </r>
  <r>
    <x v="48"/>
    <x v="1296"/>
    <x v="29"/>
  </r>
  <r>
    <x v="48"/>
    <x v="1297"/>
    <x v="29"/>
  </r>
  <r>
    <x v="48"/>
    <x v="1298"/>
    <x v="29"/>
  </r>
  <r>
    <x v="48"/>
    <x v="1299"/>
    <x v="29"/>
  </r>
  <r>
    <x v="48"/>
    <x v="1300"/>
    <x v="29"/>
  </r>
  <r>
    <x v="48"/>
    <x v="1301"/>
    <x v="29"/>
  </r>
  <r>
    <x v="49"/>
    <x v="1302"/>
    <x v="29"/>
  </r>
  <r>
    <x v="49"/>
    <x v="1303"/>
    <x v="29"/>
  </r>
  <r>
    <x v="49"/>
    <x v="1304"/>
    <x v="29"/>
  </r>
  <r>
    <x v="72"/>
    <x v="1305"/>
    <x v="29"/>
  </r>
  <r>
    <x v="142"/>
    <x v="1306"/>
    <x v="29"/>
  </r>
  <r>
    <x v="140"/>
    <x v="1307"/>
    <x v="29"/>
  </r>
  <r>
    <x v="10"/>
    <x v="1308"/>
    <x v="29"/>
  </r>
  <r>
    <x v="11"/>
    <x v="1309"/>
    <x v="29"/>
  </r>
  <r>
    <x v="14"/>
    <x v="1310"/>
    <x v="29"/>
  </r>
  <r>
    <x v="14"/>
    <x v="1311"/>
    <x v="29"/>
  </r>
  <r>
    <x v="17"/>
    <x v="1312"/>
    <x v="29"/>
  </r>
  <r>
    <x v="17"/>
    <x v="1313"/>
    <x v="29"/>
  </r>
  <r>
    <x v="17"/>
    <x v="1314"/>
    <x v="29"/>
  </r>
  <r>
    <x v="17"/>
    <x v="1315"/>
    <x v="29"/>
  </r>
  <r>
    <x v="58"/>
    <x v="1316"/>
    <x v="29"/>
  </r>
  <r>
    <x v="58"/>
    <x v="1317"/>
    <x v="29"/>
  </r>
  <r>
    <x v="73"/>
    <x v="1318"/>
    <x v="29"/>
  </r>
  <r>
    <x v="73"/>
    <x v="1319"/>
    <x v="29"/>
  </r>
  <r>
    <x v="81"/>
    <x v="1320"/>
    <x v="29"/>
  </r>
  <r>
    <x v="31"/>
    <x v="1321"/>
    <x v="29"/>
  </r>
  <r>
    <x v="117"/>
    <x v="1322"/>
    <x v="29"/>
  </r>
  <r>
    <x v="32"/>
    <x v="1323"/>
    <x v="29"/>
  </r>
  <r>
    <x v="65"/>
    <x v="1324"/>
    <x v="29"/>
  </r>
  <r>
    <x v="34"/>
    <x v="1325"/>
    <x v="29"/>
  </r>
  <r>
    <x v="34"/>
    <x v="1326"/>
    <x v="29"/>
  </r>
  <r>
    <x v="35"/>
    <x v="1327"/>
    <x v="29"/>
  </r>
  <r>
    <x v="36"/>
    <x v="1328"/>
    <x v="29"/>
  </r>
  <r>
    <x v="37"/>
    <x v="1329"/>
    <x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2EF801-A259-4C58-9060-CB612AD7A830}" name="Tabela dinâmica12"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8:AT10"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2">
    <i>
      <x v="8"/>
      <x v="1513"/>
      <x v="30"/>
      <x v="14"/>
      <x v="26"/>
      <x v="5"/>
      <x v="13"/>
      <x v="245"/>
    </i>
    <i>
      <x v="13"/>
      <x v="583"/>
      <x v="30"/>
      <x v="7"/>
      <x v="44"/>
      <x v="5"/>
      <x v="15"/>
      <x v="182"/>
    </i>
  </rowItems>
  <colItems count="1">
    <i/>
  </colItems>
  <formats count="19">
    <format dxfId="1554">
      <pivotArea dataOnly="0" labelOnly="1" outline="0" fieldPosition="0">
        <references count="1">
          <reference field="1" count="2">
            <x v="8"/>
            <x v="13"/>
          </reference>
        </references>
      </pivotArea>
    </format>
    <format dxfId="1553">
      <pivotArea dataOnly="0" labelOnly="1" outline="0" fieldPosition="0">
        <references count="3">
          <reference field="0" count="1" selected="0">
            <x v="1513"/>
          </reference>
          <reference field="1" count="1" selected="0">
            <x v="8"/>
          </reference>
          <reference field="2" count="0"/>
        </references>
      </pivotArea>
    </format>
    <format dxfId="1552">
      <pivotArea dataOnly="0" labelOnly="1" outline="0"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1551">
      <pivotArea dataOnly="0" labelOnly="1" outline="0" fieldPosition="0">
        <references count="1">
          <reference field="1" count="1">
            <x v="8"/>
          </reference>
        </references>
      </pivotArea>
    </format>
    <format dxfId="1550">
      <pivotArea dataOnly="0" labelOnly="1" outline="0" fieldPosition="0">
        <references count="2">
          <reference field="0" count="1">
            <x v="1513"/>
          </reference>
          <reference field="1" count="1" selected="0">
            <x v="8"/>
          </reference>
        </references>
      </pivotArea>
    </format>
    <format dxfId="1549">
      <pivotArea dataOnly="0" labelOnly="1" outline="0" offset="IV1" fieldPosition="0">
        <references count="3">
          <reference field="0" count="1" selected="0">
            <x v="1513"/>
          </reference>
          <reference field="1" count="1" selected="0">
            <x v="8"/>
          </reference>
          <reference field="2" count="0"/>
        </references>
      </pivotArea>
    </format>
    <format dxfId="1548">
      <pivotArea dataOnly="0" labelOnly="1" outline="0" fieldPosition="0">
        <references count="4">
          <reference field="0" count="1" selected="0">
            <x v="1513"/>
          </reference>
          <reference field="1" count="1" selected="0">
            <x v="8"/>
          </reference>
          <reference field="2" count="0" selected="0"/>
          <reference field="3" count="1">
            <x v="14"/>
          </reference>
        </references>
      </pivotArea>
    </format>
    <format dxfId="1547">
      <pivotArea dataOnly="0" labelOnly="1" outline="0" fieldPosition="0">
        <references count="5">
          <reference field="0" count="1" selected="0">
            <x v="1513"/>
          </reference>
          <reference field="1" count="1" selected="0">
            <x v="8"/>
          </reference>
          <reference field="2" count="0" selected="0"/>
          <reference field="3" count="1" selected="0">
            <x v="14"/>
          </reference>
          <reference field="4" count="1">
            <x v="26"/>
          </reference>
        </references>
      </pivotArea>
    </format>
    <format dxfId="1546">
      <pivotArea dataOnly="0" labelOnly="1" outline="0" offset="IV1"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1545">
      <pivotArea dataOnly="0" labelOnly="1" outline="0" fieldPosition="0">
        <references count="7">
          <reference field="0" count="1" selected="0">
            <x v="1513"/>
          </reference>
          <reference field="1" count="1" selected="0">
            <x v="8"/>
          </reference>
          <reference field="2" count="0" selected="0"/>
          <reference field="3" count="1" selected="0">
            <x v="14"/>
          </reference>
          <reference field="4" count="1" selected="0">
            <x v="26"/>
          </reference>
          <reference field="5" count="1" selected="0">
            <x v="5"/>
          </reference>
          <reference field="6" count="1">
            <x v="13"/>
          </reference>
        </references>
      </pivotArea>
    </format>
    <format dxfId="1544">
      <pivotArea dataOnly="0" labelOnly="1" outline="0" fieldPosition="0">
        <references count="8">
          <reference field="0" count="1" selected="0">
            <x v="1513"/>
          </reference>
          <reference field="1" count="1" selected="0">
            <x v="8"/>
          </reference>
          <reference field="2" count="0" selected="0"/>
          <reference field="3" count="1" selected="0">
            <x v="14"/>
          </reference>
          <reference field="4" count="1" selected="0">
            <x v="26"/>
          </reference>
          <reference field="5" count="1" selected="0">
            <x v="5"/>
          </reference>
          <reference field="6" count="1" selected="0">
            <x v="13"/>
          </reference>
          <reference field="7" count="1">
            <x v="245"/>
          </reference>
        </references>
      </pivotArea>
    </format>
    <format dxfId="1543">
      <pivotArea dataOnly="0" labelOnly="1" outline="0" fieldPosition="0">
        <references count="1">
          <reference field="1" count="1">
            <x v="13"/>
          </reference>
        </references>
      </pivotArea>
    </format>
    <format dxfId="1542">
      <pivotArea dataOnly="0" labelOnly="1" outline="0" fieldPosition="0">
        <references count="2">
          <reference field="0" count="1">
            <x v="583"/>
          </reference>
          <reference field="1" count="1" selected="0">
            <x v="13"/>
          </reference>
        </references>
      </pivotArea>
    </format>
    <format dxfId="1541">
      <pivotArea dataOnly="0" labelOnly="1" outline="0" offset="IV256" fieldPosition="0">
        <references count="3">
          <reference field="0" count="1" selected="0">
            <x v="1513"/>
          </reference>
          <reference field="1" count="1" selected="0">
            <x v="8"/>
          </reference>
          <reference field="2" count="0"/>
        </references>
      </pivotArea>
    </format>
    <format dxfId="1540">
      <pivotArea dataOnly="0" labelOnly="1" outline="0" fieldPosition="0">
        <references count="4">
          <reference field="0" count="1" selected="0">
            <x v="583"/>
          </reference>
          <reference field="1" count="1" selected="0">
            <x v="13"/>
          </reference>
          <reference field="2" count="0" selected="0"/>
          <reference field="3" count="1">
            <x v="7"/>
          </reference>
        </references>
      </pivotArea>
    </format>
    <format dxfId="1539">
      <pivotArea dataOnly="0" labelOnly="1" outline="0" fieldPosition="0">
        <references count="5">
          <reference field="0" count="1" selected="0">
            <x v="583"/>
          </reference>
          <reference field="1" count="1" selected="0">
            <x v="13"/>
          </reference>
          <reference field="2" count="0" selected="0"/>
          <reference field="3" count="1" selected="0">
            <x v="7"/>
          </reference>
          <reference field="4" count="1">
            <x v="44"/>
          </reference>
        </references>
      </pivotArea>
    </format>
    <format dxfId="1538">
      <pivotArea dataOnly="0" labelOnly="1" outline="0" offset="IV256"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1537">
      <pivotArea dataOnly="0" labelOnly="1" outline="0" fieldPosition="0">
        <references count="7">
          <reference field="0" count="1" selected="0">
            <x v="583"/>
          </reference>
          <reference field="1" count="1" selected="0">
            <x v="13"/>
          </reference>
          <reference field="2" count="0" selected="0"/>
          <reference field="3" count="1" selected="0">
            <x v="7"/>
          </reference>
          <reference field="4" count="1" selected="0">
            <x v="44"/>
          </reference>
          <reference field="5" count="1" selected="0">
            <x v="5"/>
          </reference>
          <reference field="6" count="1">
            <x v="15"/>
          </reference>
        </references>
      </pivotArea>
    </format>
    <format dxfId="1536">
      <pivotArea dataOnly="0" labelOnly="1" outline="0" fieldPosition="0">
        <references count="8">
          <reference field="0" count="1" selected="0">
            <x v="583"/>
          </reference>
          <reference field="1" count="1" selected="0">
            <x v="13"/>
          </reference>
          <reference field="2" count="0" selected="0"/>
          <reference field="3" count="1" selected="0">
            <x v="7"/>
          </reference>
          <reference field="4" count="1" selected="0">
            <x v="44"/>
          </reference>
          <reference field="5" count="1" selected="0">
            <x v="5"/>
          </reference>
          <reference field="6" count="1" selected="0">
            <x v="15"/>
          </reference>
          <reference field="7" count="1">
            <x v="18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CFFD44-7AA6-4BDC-A7DA-DB5656E198C9}" name="Tabela dinâmica9"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V21:AC29"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x="19"/>
        <item h="1" x="8"/>
        <item x="1"/>
        <item h="1" x="14"/>
        <item x="22"/>
        <item h="1" m="1" x="34"/>
        <item h="1" x="3"/>
        <item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8">
    <i>
      <x v="5"/>
      <x v="144"/>
      <x v="23"/>
      <x v="8"/>
      <x v="71"/>
      <x v="6"/>
      <x v="16"/>
      <x v="200"/>
    </i>
    <i>
      <x v="28"/>
      <x v="1369"/>
      <x v="23"/>
      <x v="11"/>
      <x v="57"/>
      <x v="2"/>
      <x v="11"/>
      <x v="202"/>
    </i>
    <i>
      <x v="42"/>
      <x v="2605"/>
      <x v="23"/>
      <x v="7"/>
      <x v="58"/>
      <x v="3"/>
      <x v="11"/>
      <x v="328"/>
    </i>
    <i>
      <x v="44"/>
      <x v="2466"/>
      <x v="23"/>
      <x v="8"/>
      <x v="74"/>
      <x v="7"/>
      <x v="14"/>
      <x v="37"/>
    </i>
    <i>
      <x v="50"/>
      <x v="1187"/>
      <x v="23"/>
      <x v="12"/>
      <x v="64"/>
      <x v="3"/>
      <x v="13"/>
      <x v="142"/>
    </i>
    <i>
      <x v="51"/>
      <x v="2463"/>
      <x v="23"/>
      <x v="13"/>
      <x v="65"/>
      <x v="4"/>
      <x v="20"/>
      <x v="54"/>
    </i>
    <i>
      <x v="54"/>
      <x v="2804"/>
      <x v="23"/>
      <x v="2"/>
      <x v="66"/>
      <x v="6"/>
      <x v="11"/>
      <x v="118"/>
    </i>
    <i>
      <x v="56"/>
      <x v="619"/>
      <x v="23"/>
      <x v="8"/>
      <x v="68"/>
      <x v="6"/>
      <x v="14"/>
      <x v="284"/>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C8298E8-332B-4DDE-BB15-E3877C902DAE}" name="Tabela dinâmica19"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BA4"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x="18"/>
        <item m="1" x="27"/>
        <item x="2"/>
        <item x="11"/>
        <item m="1" x="30"/>
        <item m="1" x="37"/>
        <item h="1" x="10"/>
        <item h="1" m="1" x="38"/>
        <item h="1" m="1" x="28"/>
        <item h="1" x="21"/>
        <item h="1" x="20"/>
        <item h="1" m="1" x="29"/>
        <item h="1" m="1" x="26"/>
        <item h="1" m="1" x="39"/>
        <item h="1" m="1" x="31"/>
        <item h="1" m="1" x="35"/>
        <item h="1" x="19"/>
        <item h="1" x="8"/>
        <item h="1" x="1"/>
        <item h="1" x="14"/>
        <item h="1" x="22"/>
        <item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3">
    <i>
      <x v="5"/>
    </i>
    <i>
      <x v="8"/>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9F22DA-C1F5-4538-81FD-61EEEBAD13DC}" name="Tabela dinâmica22"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1:BD3"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4"/>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E42F9F-7443-47F5-9B35-85413C866882}" name="Tabela dinâmica15"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5:AX8"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x="10"/>
        <item m="1" x="38"/>
        <item m="1" x="28"/>
        <item h="1" x="21"/>
        <item h="1" x="20"/>
        <item h="1" m="1" x="29"/>
        <item h="1" m="1" x="26"/>
        <item h="1" m="1" x="39"/>
        <item h="1" m="1" x="31"/>
        <item m="1" x="35"/>
        <item h="1" x="19"/>
        <item h="1" x="8"/>
        <item h="1" x="1"/>
        <item h="1" x="14"/>
        <item h="1" x="22"/>
        <item h="1" m="1" x="34"/>
        <item h="1" x="3"/>
        <item h="1" x="17"/>
        <item h="1" m="1" x="25"/>
        <item h="1" x="16"/>
        <item h="1" x="7"/>
        <item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3">
    <i>
      <x v="11"/>
    </i>
    <i>
      <x v="32"/>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D8A9A0-AE09-4B4B-82D6-471EF4CF93A5}" name="Tabela dinâmica4"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10:L17"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x="10"/>
        <item m="1" x="38"/>
        <item m="1" x="28"/>
        <item h="1" x="21"/>
        <item h="1" x="20"/>
        <item h="1" m="1" x="29"/>
        <item h="1" m="1" x="26"/>
        <item h="1" m="1" x="39"/>
        <item h="1" m="1" x="31"/>
        <item m="1" x="35"/>
        <item h="1" x="19"/>
        <item h="1" x="8"/>
        <item h="1" x="1"/>
        <item h="1" x="14"/>
        <item h="1" x="22"/>
        <item h="1" m="1" x="34"/>
        <item h="1" x="3"/>
        <item h="1" x="17"/>
        <item h="1" m="1" x="25"/>
        <item h="1" x="16"/>
        <item h="1" x="7"/>
        <item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7">
    <i>
      <x v="24"/>
      <x v="2122"/>
      <x v="32"/>
      <x v="2"/>
      <x v="63"/>
      <x v="6"/>
      <x v="15"/>
      <x v="95"/>
    </i>
    <i>
      <x v="25"/>
      <x v="781"/>
      <x v="32"/>
      <x v="6"/>
      <x v="25"/>
      <x v="4"/>
      <x v="11"/>
      <x v="297"/>
    </i>
    <i>
      <x v="27"/>
      <x v="1638"/>
      <x v="32"/>
      <x v="2"/>
      <x v="52"/>
      <x v="6"/>
      <x v="16"/>
      <x v="288"/>
    </i>
    <i>
      <x v="30"/>
      <x v="815"/>
      <x v="32"/>
      <x v="1"/>
      <x v="44"/>
      <x v="6"/>
      <x v="14"/>
      <x v="249"/>
    </i>
    <i>
      <x v="34"/>
      <x v="1380"/>
      <x v="32"/>
      <x v="1"/>
      <x v="46"/>
      <x v="2"/>
      <x v="20"/>
      <x v="52"/>
    </i>
    <i>
      <x v="40"/>
      <x v="1449"/>
      <x v="11"/>
      <x v="11"/>
      <x v="76"/>
      <x v="7"/>
      <x v="11"/>
      <x v="305"/>
    </i>
    <i>
      <x v="41"/>
      <x v="1432"/>
      <x v="32"/>
      <x v="1"/>
      <x v="44"/>
      <x v="5"/>
      <x v="11"/>
      <x v="274"/>
    </i>
  </rowItems>
  <colItems count="1">
    <i/>
  </colItems>
  <formats count="8">
    <format dxfId="1562">
      <pivotArea field="6" type="button" dataOnly="0" labelOnly="1" outline="0" axis="axisRow" fieldPosition="6"/>
    </format>
    <format dxfId="1561">
      <pivotArea dataOnly="0" labelOnly="1" outline="0" fieldPosition="0">
        <references count="7">
          <reference field="0" count="1" selected="0">
            <x v="150"/>
          </reference>
          <reference field="1" count="1" selected="0">
            <x v="21"/>
          </reference>
          <reference field="2" count="1" selected="0">
            <x v="32"/>
          </reference>
          <reference field="3" count="1" selected="0">
            <x v="2"/>
          </reference>
          <reference field="4" count="1" selected="0">
            <x v="51"/>
          </reference>
          <reference field="5" count="1" selected="0">
            <x v="4"/>
          </reference>
          <reference field="6" count="1">
            <x v="0"/>
          </reference>
        </references>
      </pivotArea>
    </format>
    <format dxfId="1560">
      <pivotArea dataOnly="0" labelOnly="1" outline="0" fieldPosition="0">
        <references count="7">
          <reference field="0" count="1" selected="0">
            <x v="1022"/>
          </reference>
          <reference field="1" count="1" selected="0">
            <x v="23"/>
          </reference>
          <reference field="2" count="1" selected="0">
            <x v="32"/>
          </reference>
          <reference field="3" count="1" selected="0">
            <x v="8"/>
          </reference>
          <reference field="4" count="1" selected="0">
            <x v="54"/>
          </reference>
          <reference field="5" count="1" selected="0">
            <x v="3"/>
          </reference>
          <reference field="6" count="1">
            <x v="11"/>
          </reference>
        </references>
      </pivotArea>
    </format>
    <format dxfId="1559">
      <pivotArea dataOnly="0" labelOnly="1" outline="0" fieldPosition="0">
        <references count="7">
          <reference field="0" count="1" selected="0">
            <x v="1313"/>
          </reference>
          <reference field="1" count="1" selected="0">
            <x v="25"/>
          </reference>
          <reference field="2" count="1" selected="0">
            <x v="32"/>
          </reference>
          <reference field="3" count="1" selected="0">
            <x v="7"/>
          </reference>
          <reference field="4" count="1" selected="0">
            <x v="57"/>
          </reference>
          <reference field="5" count="1" selected="0">
            <x v="1"/>
          </reference>
          <reference field="6" count="1">
            <x v="20"/>
          </reference>
        </references>
      </pivotArea>
    </format>
    <format dxfId="1558">
      <pivotArea dataOnly="0" labelOnly="1" outline="0" fieldPosition="0">
        <references count="7">
          <reference field="0" count="1" selected="0">
            <x v="2413"/>
          </reference>
          <reference field="1" count="1" selected="0">
            <x v="26"/>
          </reference>
          <reference field="2" count="1" selected="0">
            <x v="32"/>
          </reference>
          <reference field="3" count="1" selected="0">
            <x v="7"/>
          </reference>
          <reference field="4" count="1" selected="0">
            <x v="68"/>
          </reference>
          <reference field="5" count="1" selected="0">
            <x v="5"/>
          </reference>
          <reference field="6" count="1">
            <x v="15"/>
          </reference>
        </references>
      </pivotArea>
    </format>
    <format dxfId="1557">
      <pivotArea dataOnly="0" labelOnly="1" outline="0" fieldPosition="0">
        <references count="7">
          <reference field="0" count="1" selected="0">
            <x v="1365"/>
          </reference>
          <reference field="1" count="1" selected="0">
            <x v="27"/>
          </reference>
          <reference field="2" count="1" selected="0">
            <x v="11"/>
          </reference>
          <reference field="3" count="1" selected="0">
            <x v="11"/>
          </reference>
          <reference field="4" count="1" selected="0">
            <x v="84"/>
          </reference>
          <reference field="5" count="1" selected="0">
            <x v="3"/>
          </reference>
          <reference field="6" count="1">
            <x v="20"/>
          </reference>
        </references>
      </pivotArea>
    </format>
    <format dxfId="1556">
      <pivotArea dataOnly="0" labelOnly="1" outline="0" fieldPosition="0">
        <references count="7">
          <reference field="0" count="1" selected="0">
            <x v="1949"/>
          </reference>
          <reference field="1" count="1" selected="0">
            <x v="31"/>
          </reference>
          <reference field="2" count="1" selected="0">
            <x v="32"/>
          </reference>
          <reference field="3" count="1" selected="0">
            <x v="1"/>
          </reference>
          <reference field="4" count="1" selected="0">
            <x v="26"/>
          </reference>
          <reference field="5" count="1" selected="0">
            <x v="7"/>
          </reference>
          <reference field="6" count="1">
            <x v="16"/>
          </reference>
        </references>
      </pivotArea>
    </format>
    <format dxfId="1555">
      <pivotArea dataOnly="0" labelOnly="1" outline="0" fieldPosition="0">
        <references count="7">
          <reference field="0" count="1" selected="0">
            <x v="2412"/>
          </reference>
          <reference field="1" count="1" selected="0">
            <x v="34"/>
          </reference>
          <reference field="2" count="1" selected="0">
            <x v="32"/>
          </reference>
          <reference field="3" count="1" selected="0">
            <x v="7"/>
          </reference>
          <reference field="4" count="1" selected="0">
            <x v="34"/>
          </reference>
          <reference field="5" count="1" selected="0">
            <x v="5"/>
          </reference>
          <reference field="6" count="1">
            <x v="0"/>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525E8C-6D94-45F3-A0C9-56A72F0139F4}" name="Tabela dinâmica6"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N2:U9"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x="6"/>
        <item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7">
    <i>
      <x v="81"/>
      <x v="2848"/>
      <x v="38"/>
      <x v="14"/>
      <x v="93"/>
      <x v="2"/>
      <x v="20"/>
      <x v="85"/>
    </i>
    <i>
      <x v="85"/>
      <x v="728"/>
      <x v="38"/>
      <x v="13"/>
      <x v="82"/>
      <x v="6"/>
      <x v="16"/>
      <x v="155"/>
    </i>
    <i>
      <x v="86"/>
      <x v="2053"/>
      <x v="38"/>
      <x v="14"/>
      <x v="81"/>
      <x v="4"/>
      <x/>
      <x v="3"/>
    </i>
    <i>
      <x v="87"/>
      <x v="1901"/>
      <x v="38"/>
      <x v="15"/>
      <x v="97"/>
      <x v="5"/>
      <x v="20"/>
      <x v="284"/>
    </i>
    <i>
      <x v="88"/>
      <x v="1085"/>
      <x v="38"/>
      <x v="14"/>
      <x v="66"/>
      <x v="4"/>
      <x v="13"/>
      <x v="85"/>
    </i>
    <i>
      <x v="89"/>
      <x v="2084"/>
      <x v="38"/>
      <x v="14"/>
      <x v="96"/>
      <x v="5"/>
      <x/>
      <x v="221"/>
    </i>
    <i r="1">
      <x v="2863"/>
      <x v="38"/>
      <x v="14"/>
      <x v="86"/>
      <x v="6"/>
      <x/>
      <x v="346"/>
    </i>
  </rowItems>
  <colItems count="1">
    <i/>
  </colItems>
  <formats count="38">
    <format dxfId="1600">
      <pivotArea dataOnly="0" labelOnly="1" outline="0" fieldPosition="0">
        <references count="1">
          <reference field="1" count="1">
            <x v="46"/>
          </reference>
        </references>
      </pivotArea>
    </format>
    <format dxfId="1599">
      <pivotArea dataOnly="0" labelOnly="1" outline="0" fieldPosition="0">
        <references count="1">
          <reference field="1" count="6">
            <x v="80"/>
            <x v="81"/>
            <x v="83"/>
            <x v="87"/>
            <x v="88"/>
            <x v="89"/>
          </reference>
        </references>
      </pivotArea>
    </format>
    <format dxfId="1598">
      <pivotArea dataOnly="0" labelOnly="1" outline="0" fieldPosition="0">
        <references count="2">
          <reference field="0" count="1">
            <x v="1911"/>
          </reference>
          <reference field="1" count="1" selected="0">
            <x v="80"/>
          </reference>
        </references>
      </pivotArea>
    </format>
    <format dxfId="1597">
      <pivotArea dataOnly="0" labelOnly="1" outline="0" fieldPosition="0">
        <references count="2">
          <reference field="0" count="1">
            <x v="238"/>
          </reference>
          <reference field="1" count="1" selected="0">
            <x v="81"/>
          </reference>
        </references>
      </pivotArea>
    </format>
    <format dxfId="1596">
      <pivotArea dataOnly="0" labelOnly="1" outline="0" fieldPosition="0">
        <references count="2">
          <reference field="0" count="1">
            <x v="2155"/>
          </reference>
          <reference field="1" count="1" selected="0">
            <x v="83"/>
          </reference>
        </references>
      </pivotArea>
    </format>
    <format dxfId="1595">
      <pivotArea dataOnly="0" labelOnly="1" outline="0" fieldPosition="0">
        <references count="2">
          <reference field="0" count="1">
            <x v="2620"/>
          </reference>
          <reference field="1" count="1" selected="0">
            <x v="87"/>
          </reference>
        </references>
      </pivotArea>
    </format>
    <format dxfId="1594">
      <pivotArea dataOnly="0" labelOnly="1" outline="0" fieldPosition="0">
        <references count="2">
          <reference field="0" count="1">
            <x v="1402"/>
          </reference>
          <reference field="1" count="1" selected="0">
            <x v="88"/>
          </reference>
        </references>
      </pivotArea>
    </format>
    <format dxfId="1593">
      <pivotArea dataOnly="0" labelOnly="1" outline="0" fieldPosition="0">
        <references count="2">
          <reference field="0" count="1">
            <x v="1950"/>
          </reference>
          <reference field="1" count="1" selected="0">
            <x v="89"/>
          </reference>
        </references>
      </pivotArea>
    </format>
    <format dxfId="1592">
      <pivotArea dataOnly="0" labelOnly="1" outline="0" offset="IV2:IV256" fieldPosition="0">
        <references count="3">
          <reference field="0" count="1" selected="0">
            <x v="1486"/>
          </reference>
          <reference field="1" count="1" selected="0">
            <x v="46"/>
          </reference>
          <reference field="2" count="0"/>
        </references>
      </pivotArea>
    </format>
    <format dxfId="1591">
      <pivotArea dataOnly="0" labelOnly="1" outline="0" fieldPosition="0">
        <references count="4">
          <reference field="0" count="1" selected="0">
            <x v="1911"/>
          </reference>
          <reference field="1" count="1" selected="0">
            <x v="80"/>
          </reference>
          <reference field="2" count="0" selected="0"/>
          <reference field="3" count="1">
            <x v="14"/>
          </reference>
        </references>
      </pivotArea>
    </format>
    <format dxfId="1590">
      <pivotArea dataOnly="0" labelOnly="1" outline="0" fieldPosition="0">
        <references count="4">
          <reference field="0" count="1" selected="0">
            <x v="238"/>
          </reference>
          <reference field="1" count="1" selected="0">
            <x v="81"/>
          </reference>
          <reference field="2" count="0" selected="0"/>
          <reference field="3" count="1">
            <x v="15"/>
          </reference>
        </references>
      </pivotArea>
    </format>
    <format dxfId="1589">
      <pivotArea dataOnly="0" labelOnly="1" outline="0" fieldPosition="0">
        <references count="4">
          <reference field="0" count="1" selected="0">
            <x v="2155"/>
          </reference>
          <reference field="1" count="1" selected="0">
            <x v="83"/>
          </reference>
          <reference field="2" count="0" selected="0"/>
          <reference field="3" count="1">
            <x v="12"/>
          </reference>
        </references>
      </pivotArea>
    </format>
    <format dxfId="1588">
      <pivotArea dataOnly="0" labelOnly="1" outline="0" fieldPosition="0">
        <references count="4">
          <reference field="0" count="1" selected="0">
            <x v="2620"/>
          </reference>
          <reference field="1" count="1" selected="0">
            <x v="87"/>
          </reference>
          <reference field="2" count="0" selected="0"/>
          <reference field="3" count="1">
            <x v="14"/>
          </reference>
        </references>
      </pivotArea>
    </format>
    <format dxfId="1587">
      <pivotArea dataOnly="0" labelOnly="1" outline="0" fieldPosition="0">
        <references count="4">
          <reference field="0" count="1" selected="0">
            <x v="1402"/>
          </reference>
          <reference field="1" count="1" selected="0">
            <x v="88"/>
          </reference>
          <reference field="2" count="0" selected="0"/>
          <reference field="3" count="1">
            <x v="13"/>
          </reference>
        </references>
      </pivotArea>
    </format>
    <format dxfId="1586">
      <pivotArea dataOnly="0" labelOnly="1" outline="0" fieldPosition="0">
        <references count="4">
          <reference field="0" count="1" selected="0">
            <x v="1950"/>
          </reference>
          <reference field="1" count="1" selected="0">
            <x v="89"/>
          </reference>
          <reference field="2" count="0" selected="0"/>
          <reference field="3" count="1">
            <x v="14"/>
          </reference>
        </references>
      </pivotArea>
    </format>
    <format dxfId="1585">
      <pivotArea dataOnly="0" labelOnly="1" outline="0" fieldPosition="0">
        <references count="5">
          <reference field="0" count="1" selected="0">
            <x v="1911"/>
          </reference>
          <reference field="1" count="1" selected="0">
            <x v="80"/>
          </reference>
          <reference field="2" count="0" selected="0"/>
          <reference field="3" count="1" selected="0">
            <x v="14"/>
          </reference>
          <reference field="4" count="1">
            <x v="103"/>
          </reference>
        </references>
      </pivotArea>
    </format>
    <format dxfId="1584">
      <pivotArea dataOnly="0" labelOnly="1" outline="0" fieldPosition="0">
        <references count="5">
          <reference field="0" count="1" selected="0">
            <x v="238"/>
          </reference>
          <reference field="1" count="1" selected="0">
            <x v="81"/>
          </reference>
          <reference field="2" count="0" selected="0"/>
          <reference field="3" count="1" selected="0">
            <x v="15"/>
          </reference>
          <reference field="4" count="1">
            <x v="88"/>
          </reference>
        </references>
      </pivotArea>
    </format>
    <format dxfId="1583">
      <pivotArea dataOnly="0" labelOnly="1" outline="0" fieldPosition="0">
        <references count="5">
          <reference field="0" count="1" selected="0">
            <x v="2155"/>
          </reference>
          <reference field="1" count="1" selected="0">
            <x v="83"/>
          </reference>
          <reference field="2" count="0" selected="0"/>
          <reference field="3" count="1" selected="0">
            <x v="12"/>
          </reference>
          <reference field="4" count="1">
            <x v="76"/>
          </reference>
        </references>
      </pivotArea>
    </format>
    <format dxfId="1582">
      <pivotArea dataOnly="0" labelOnly="1" outline="0" fieldPosition="0">
        <references count="5">
          <reference field="0" count="1" selected="0">
            <x v="2620"/>
          </reference>
          <reference field="1" count="1" selected="0">
            <x v="87"/>
          </reference>
          <reference field="2" count="0" selected="0"/>
          <reference field="3" count="1" selected="0">
            <x v="14"/>
          </reference>
          <reference field="4" count="1">
            <x v="86"/>
          </reference>
        </references>
      </pivotArea>
    </format>
    <format dxfId="1581">
      <pivotArea dataOnly="0" labelOnly="1" outline="0" fieldPosition="0">
        <references count="5">
          <reference field="0" count="1" selected="0">
            <x v="1402"/>
          </reference>
          <reference field="1" count="1" selected="0">
            <x v="88"/>
          </reference>
          <reference field="2" count="0" selected="0"/>
          <reference field="3" count="1" selected="0">
            <x v="13"/>
          </reference>
          <reference field="4" count="1">
            <x v="62"/>
          </reference>
        </references>
      </pivotArea>
    </format>
    <format dxfId="1580">
      <pivotArea dataOnly="0" labelOnly="1" outline="0" fieldPosition="0">
        <references count="5">
          <reference field="0" count="1" selected="0">
            <x v="1950"/>
          </reference>
          <reference field="1" count="1" selected="0">
            <x v="89"/>
          </reference>
          <reference field="2" count="0" selected="0"/>
          <reference field="3" count="1" selected="0">
            <x v="14"/>
          </reference>
          <reference field="4" count="1">
            <x v="81"/>
          </reference>
        </references>
      </pivotArea>
    </format>
    <format dxfId="1579">
      <pivotArea dataOnly="0" labelOnly="1" outline="0" fieldPosition="0">
        <references count="6">
          <reference field="0" count="1" selected="0">
            <x v="1911"/>
          </reference>
          <reference field="1" count="1" selected="0">
            <x v="80"/>
          </reference>
          <reference field="2" count="0" selected="0"/>
          <reference field="3" count="1" selected="0">
            <x v="14"/>
          </reference>
          <reference field="4" count="1" selected="0">
            <x v="103"/>
          </reference>
          <reference field="5" count="1">
            <x v="5"/>
          </reference>
        </references>
      </pivotArea>
    </format>
    <format dxfId="1578">
      <pivotArea dataOnly="0" labelOnly="1" outline="0" fieldPosition="0">
        <references count="6">
          <reference field="0" count="1" selected="0">
            <x v="238"/>
          </reference>
          <reference field="1" count="1" selected="0">
            <x v="81"/>
          </reference>
          <reference field="2" count="0" selected="0"/>
          <reference field="3" count="1" selected="0">
            <x v="15"/>
          </reference>
          <reference field="4" count="1" selected="0">
            <x v="88"/>
          </reference>
          <reference field="5" count="1">
            <x v="10"/>
          </reference>
        </references>
      </pivotArea>
    </format>
    <format dxfId="1577">
      <pivotArea dataOnly="0" labelOnly="1" outline="0" fieldPosition="0">
        <references count="6">
          <reference field="0" count="1" selected="0">
            <x v="2155"/>
          </reference>
          <reference field="1" count="1" selected="0">
            <x v="83"/>
          </reference>
          <reference field="2" count="0" selected="0"/>
          <reference field="3" count="1" selected="0">
            <x v="12"/>
          </reference>
          <reference field="4" count="1" selected="0">
            <x v="76"/>
          </reference>
          <reference field="5" count="1">
            <x v="3"/>
          </reference>
        </references>
      </pivotArea>
    </format>
    <format dxfId="1576">
      <pivotArea dataOnly="0" labelOnly="1" outline="0" fieldPosition="0">
        <references count="6">
          <reference field="0" count="1" selected="0">
            <x v="2620"/>
          </reference>
          <reference field="1" count="1" selected="0">
            <x v="87"/>
          </reference>
          <reference field="2" count="0" selected="0"/>
          <reference field="3" count="1" selected="0">
            <x v="14"/>
          </reference>
          <reference field="4" count="1" selected="0">
            <x v="86"/>
          </reference>
          <reference field="5" count="1">
            <x v="12"/>
          </reference>
        </references>
      </pivotArea>
    </format>
    <format dxfId="1575">
      <pivotArea dataOnly="0" labelOnly="1" outline="0" fieldPosition="0">
        <references count="6">
          <reference field="0" count="1" selected="0">
            <x v="1402"/>
          </reference>
          <reference field="1" count="1" selected="0">
            <x v="88"/>
          </reference>
          <reference field="2" count="0" selected="0"/>
          <reference field="3" count="1" selected="0">
            <x v="13"/>
          </reference>
          <reference field="4" count="1" selected="0">
            <x v="62"/>
          </reference>
          <reference field="5" count="1">
            <x v="6"/>
          </reference>
        </references>
      </pivotArea>
    </format>
    <format dxfId="1574">
      <pivotArea dataOnly="0" labelOnly="1" outline="0" fieldPosition="0">
        <references count="7">
          <reference field="0" count="1" selected="0">
            <x v="1911"/>
          </reference>
          <reference field="1" count="1" selected="0">
            <x v="80"/>
          </reference>
          <reference field="2" count="0" selected="0"/>
          <reference field="3" count="1" selected="0">
            <x v="14"/>
          </reference>
          <reference field="4" count="1" selected="0">
            <x v="103"/>
          </reference>
          <reference field="5" count="1" selected="0">
            <x v="5"/>
          </reference>
          <reference field="6" count="1">
            <x v="0"/>
          </reference>
        </references>
      </pivotArea>
    </format>
    <format dxfId="1573">
      <pivotArea dataOnly="0" labelOnly="1" outline="0" fieldPosition="0">
        <references count="7">
          <reference field="0" count="1" selected="0">
            <x v="238"/>
          </reference>
          <reference field="1" count="1" selected="0">
            <x v="81"/>
          </reference>
          <reference field="2" count="0" selected="0"/>
          <reference field="3" count="1" selected="0">
            <x v="15"/>
          </reference>
          <reference field="4" count="1" selected="0">
            <x v="88"/>
          </reference>
          <reference field="5" count="1" selected="0">
            <x v="10"/>
          </reference>
          <reference field="6" count="1">
            <x v="18"/>
          </reference>
        </references>
      </pivotArea>
    </format>
    <format dxfId="1572">
      <pivotArea dataOnly="0" labelOnly="1" outline="0" fieldPosition="0">
        <references count="7">
          <reference field="0" count="1" selected="0">
            <x v="2155"/>
          </reference>
          <reference field="1" count="1" selected="0">
            <x v="83"/>
          </reference>
          <reference field="2" count="0" selected="0"/>
          <reference field="3" count="1" selected="0">
            <x v="12"/>
          </reference>
          <reference field="4" count="1" selected="0">
            <x v="76"/>
          </reference>
          <reference field="5" count="1" selected="0">
            <x v="3"/>
          </reference>
          <reference field="6" count="1">
            <x v="11"/>
          </reference>
        </references>
      </pivotArea>
    </format>
    <format dxfId="1571">
      <pivotArea dataOnly="0" labelOnly="1" outline="0" fieldPosition="0">
        <references count="7">
          <reference field="0" count="1" selected="0">
            <x v="2620"/>
          </reference>
          <reference field="1" count="1" selected="0">
            <x v="87"/>
          </reference>
          <reference field="2" count="0" selected="0"/>
          <reference field="3" count="1" selected="0">
            <x v="14"/>
          </reference>
          <reference field="4" count="1" selected="0">
            <x v="86"/>
          </reference>
          <reference field="5" count="1" selected="0">
            <x v="12"/>
          </reference>
          <reference field="6" count="1">
            <x v="1"/>
          </reference>
        </references>
      </pivotArea>
    </format>
    <format dxfId="1570">
      <pivotArea dataOnly="0" labelOnly="1" outline="0" fieldPosition="0">
        <references count="7">
          <reference field="0" count="1" selected="0">
            <x v="1402"/>
          </reference>
          <reference field="1" count="1" selected="0">
            <x v="88"/>
          </reference>
          <reference field="2" count="0" selected="0"/>
          <reference field="3" count="1" selected="0">
            <x v="13"/>
          </reference>
          <reference field="4" count="1" selected="0">
            <x v="62"/>
          </reference>
          <reference field="5" count="1" selected="0">
            <x v="6"/>
          </reference>
          <reference field="6" count="1">
            <x v="11"/>
          </reference>
        </references>
      </pivotArea>
    </format>
    <format dxfId="1569">
      <pivotArea dataOnly="0" labelOnly="1" outline="0" fieldPosition="0">
        <references count="7">
          <reference field="0" count="1" selected="0">
            <x v="1950"/>
          </reference>
          <reference field="1" count="1" selected="0">
            <x v="89"/>
          </reference>
          <reference field="2" count="0" selected="0"/>
          <reference field="3" count="1" selected="0">
            <x v="14"/>
          </reference>
          <reference field="4" count="1" selected="0">
            <x v="81"/>
          </reference>
          <reference field="5" count="1" selected="0">
            <x v="6"/>
          </reference>
          <reference field="6" count="1">
            <x v="0"/>
          </reference>
        </references>
      </pivotArea>
    </format>
    <format dxfId="1568">
      <pivotArea dataOnly="0" labelOnly="1" outline="0" fieldPosition="0">
        <references count="8">
          <reference field="0" count="1" selected="0">
            <x v="1911"/>
          </reference>
          <reference field="1" count="1" selected="0">
            <x v="80"/>
          </reference>
          <reference field="2" count="0" selected="0"/>
          <reference field="3" count="1" selected="0">
            <x v="14"/>
          </reference>
          <reference field="4" count="1" selected="0">
            <x v="103"/>
          </reference>
          <reference field="5" count="1" selected="0">
            <x v="5"/>
          </reference>
          <reference field="6" count="1" selected="0">
            <x v="0"/>
          </reference>
          <reference field="7" count="1">
            <x v="24"/>
          </reference>
        </references>
      </pivotArea>
    </format>
    <format dxfId="1567">
      <pivotArea dataOnly="0" labelOnly="1" outline="0" fieldPosition="0">
        <references count="8">
          <reference field="0" count="1" selected="0">
            <x v="238"/>
          </reference>
          <reference field="1" count="1" selected="0">
            <x v="81"/>
          </reference>
          <reference field="2" count="0" selected="0"/>
          <reference field="3" count="1" selected="0">
            <x v="15"/>
          </reference>
          <reference field="4" count="1" selected="0">
            <x v="88"/>
          </reference>
          <reference field="5" count="1" selected="0">
            <x v="10"/>
          </reference>
          <reference field="6" count="1" selected="0">
            <x v="18"/>
          </reference>
          <reference field="7" count="1">
            <x v="208"/>
          </reference>
        </references>
      </pivotArea>
    </format>
    <format dxfId="1566">
      <pivotArea dataOnly="0" labelOnly="1" outline="0" fieldPosition="0">
        <references count="8">
          <reference field="0" count="1" selected="0">
            <x v="2155"/>
          </reference>
          <reference field="1" count="1" selected="0">
            <x v="83"/>
          </reference>
          <reference field="2" count="0" selected="0"/>
          <reference field="3" count="1" selected="0">
            <x v="12"/>
          </reference>
          <reference field="4" count="1" selected="0">
            <x v="76"/>
          </reference>
          <reference field="5" count="1" selected="0">
            <x v="3"/>
          </reference>
          <reference field="6" count="1" selected="0">
            <x v="11"/>
          </reference>
          <reference field="7" count="1">
            <x v="70"/>
          </reference>
        </references>
      </pivotArea>
    </format>
    <format dxfId="1565">
      <pivotArea dataOnly="0" labelOnly="1" outline="0" fieldPosition="0">
        <references count="8">
          <reference field="0" count="1" selected="0">
            <x v="2620"/>
          </reference>
          <reference field="1" count="1" selected="0">
            <x v="87"/>
          </reference>
          <reference field="2" count="0" selected="0"/>
          <reference field="3" count="1" selected="0">
            <x v="14"/>
          </reference>
          <reference field="4" count="1" selected="0">
            <x v="86"/>
          </reference>
          <reference field="5" count="1" selected="0">
            <x v="12"/>
          </reference>
          <reference field="6" count="1" selected="0">
            <x v="1"/>
          </reference>
          <reference field="7" count="1">
            <x v="52"/>
          </reference>
        </references>
      </pivotArea>
    </format>
    <format dxfId="1564">
      <pivotArea dataOnly="0" labelOnly="1" outline="0" fieldPosition="0">
        <references count="8">
          <reference field="0" count="1" selected="0">
            <x v="1402"/>
          </reference>
          <reference field="1" count="1" selected="0">
            <x v="88"/>
          </reference>
          <reference field="2" count="0" selected="0"/>
          <reference field="3" count="1" selected="0">
            <x v="13"/>
          </reference>
          <reference field="4" count="1" selected="0">
            <x v="62"/>
          </reference>
          <reference field="5" count="1" selected="0">
            <x v="6"/>
          </reference>
          <reference field="6" count="1" selected="0">
            <x v="11"/>
          </reference>
          <reference field="7" count="1">
            <x v="310"/>
          </reference>
        </references>
      </pivotArea>
    </format>
    <format dxfId="1563">
      <pivotArea dataOnly="0" labelOnly="1" outline="0" fieldPosition="0">
        <references count="8">
          <reference field="0" count="1" selected="0">
            <x v="1950"/>
          </reference>
          <reference field="1" count="1" selected="0">
            <x v="89"/>
          </reference>
          <reference field="2" count="0" selected="0"/>
          <reference field="3" count="1" selected="0">
            <x v="14"/>
          </reference>
          <reference field="4" count="1" selected="0">
            <x v="81"/>
          </reference>
          <reference field="5" count="1" selected="0">
            <x v="6"/>
          </reference>
          <reference field="6" count="1" selected="0">
            <x v="0"/>
          </reference>
          <reference field="7" count="1">
            <x v="37"/>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720A1A6-2716-4D46-8BE0-1B9CE2EE09B5}" name="Tabela dinâmica23"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5:BD7"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0"/>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B008524-A03C-40AE-A060-7790B0C9A713}" name="Tabela dinâmica20"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0:BA12"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x="19"/>
        <item h="1" x="8"/>
        <item x="1"/>
        <item h="1" x="14"/>
        <item x="22"/>
        <item h="1" m="1" x="34"/>
        <item h="1" x="3"/>
        <item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3"/>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9EA2CB-CA6B-4A0E-A357-005655C054CD}" name="Tabela dinâmica17"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9:AX21"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x="6"/>
        <item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8"/>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58A5631-5E7E-4651-A364-8C37435E7303}" name="Tabela dinâmica14"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AX3"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1"/>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940185E-BAE2-4687-884A-89DF76332144}" name="Tabela dinâmica5"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21:L32"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h="1" x="6"/>
        <item h="1" m="1" x="33"/>
        <item x="0"/>
        <item m="1" x="32"/>
        <item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1">
    <i>
      <x v="2"/>
      <x v="90"/>
      <x v="40"/>
      <x v="8"/>
      <x v="46"/>
      <x v="8"/>
      <x v="18"/>
      <x v="3"/>
    </i>
    <i>
      <x v="9"/>
      <x v="1222"/>
      <x v="40"/>
      <x v="4"/>
      <x v="8"/>
      <x v="9"/>
      <x v="17"/>
      <x v="284"/>
    </i>
    <i>
      <x v="10"/>
      <x v="143"/>
      <x v="40"/>
      <x v="7"/>
      <x v="22"/>
      <x v="1"/>
      <x v="11"/>
      <x v="18"/>
    </i>
    <i>
      <x v="11"/>
      <x v="881"/>
      <x v="40"/>
      <x v="11"/>
      <x v="40"/>
      <x v="3"/>
      <x v="13"/>
      <x v="158"/>
    </i>
    <i>
      <x v="12"/>
      <x v="2020"/>
      <x v="40"/>
      <x v="8"/>
      <x v="40"/>
      <x v="2"/>
      <x v="20"/>
      <x v="208"/>
    </i>
    <i>
      <x v="16"/>
      <x v="1332"/>
      <x v="40"/>
      <x v="13"/>
      <x v="51"/>
      <x v="7"/>
      <x v="14"/>
      <x v="95"/>
    </i>
    <i>
      <x v="17"/>
      <x v="1141"/>
      <x v="40"/>
      <x v="13"/>
      <x v="50"/>
      <x v="4"/>
      <x v="20"/>
      <x v="198"/>
    </i>
    <i>
      <x v="18"/>
      <x v="720"/>
      <x v="40"/>
      <x v="8"/>
      <x v="48"/>
      <x v="1"/>
      <x v="20"/>
      <x v="226"/>
    </i>
    <i>
      <x v="82"/>
      <x v="2034"/>
      <x v="40"/>
      <x v="1"/>
      <x v="16"/>
      <x v="4"/>
      <x v="20"/>
      <x v="155"/>
    </i>
    <i>
      <x v="83"/>
      <x v="2614"/>
      <x v="40"/>
      <x v="5"/>
      <x v="18"/>
      <x v="3"/>
      <x v="20"/>
      <x v="321"/>
    </i>
    <i>
      <x v="84"/>
      <x v="1252"/>
      <x v="40"/>
      <x v="7"/>
      <x v="34"/>
      <x v="5"/>
      <x v="11"/>
      <x v="135"/>
    </i>
  </rowItems>
  <colItems count="1">
    <i/>
  </colItems>
  <formats count="14">
    <format dxfId="1614">
      <pivotArea field="6" type="button" dataOnly="0" labelOnly="1" outline="0" axis="axisRow" fieldPosition="6"/>
    </format>
    <format dxfId="1613">
      <pivotArea dataOnly="0" labelOnly="1" outline="0" fieldPosition="0">
        <references count="7">
          <reference field="0" count="1" selected="0">
            <x v="2488"/>
          </reference>
          <reference field="1" count="1" selected="0">
            <x v="3"/>
          </reference>
          <reference field="2" count="0" selected="0"/>
          <reference field="3" count="1" selected="0">
            <x v="1"/>
          </reference>
          <reference field="4" count="1" selected="0">
            <x v="32"/>
          </reference>
          <reference field="5" count="1" selected="0">
            <x v="9"/>
          </reference>
          <reference field="6" count="1">
            <x v="17"/>
          </reference>
        </references>
      </pivotArea>
    </format>
    <format dxfId="1612">
      <pivotArea dataOnly="0" labelOnly="1" outline="0" fieldPosition="0">
        <references count="7">
          <reference field="0" count="1" selected="0">
            <x v="2621"/>
          </reference>
          <reference field="1" count="1" selected="0">
            <x v="13"/>
          </reference>
          <reference field="2" count="0" selected="0"/>
          <reference field="3" count="1" selected="0">
            <x v="13"/>
          </reference>
          <reference field="4" count="1" selected="0">
            <x v="48"/>
          </reference>
          <reference field="5" count="1" selected="0">
            <x v="4"/>
          </reference>
          <reference field="6" count="1">
            <x v="0"/>
          </reference>
        </references>
      </pivotArea>
    </format>
    <format dxfId="1611">
      <pivotArea dataOnly="0" labelOnly="1" outline="0" fieldPosition="0">
        <references count="7">
          <reference field="0" count="1" selected="0">
            <x v="569"/>
          </reference>
          <reference field="1" count="1" selected="0">
            <x v="15"/>
          </reference>
          <reference field="2" count="0" selected="0"/>
          <reference field="3" count="1" selected="0">
            <x v="15"/>
          </reference>
          <reference field="4" count="1" selected="0">
            <x v="56"/>
          </reference>
          <reference field="5" count="1" selected="0">
            <x v="4"/>
          </reference>
          <reference field="6" count="1">
            <x v="13"/>
          </reference>
        </references>
      </pivotArea>
    </format>
    <format dxfId="1610">
      <pivotArea dataOnly="0" labelOnly="1" outline="0" fieldPosition="0">
        <references count="7">
          <reference field="0" count="1" selected="0">
            <x v="2781"/>
          </reference>
          <reference field="1" count="1" selected="0">
            <x v="17"/>
          </reference>
          <reference field="2" count="0" selected="0"/>
          <reference field="3" count="1" selected="0">
            <x v="5"/>
          </reference>
          <reference field="4" count="1" selected="0">
            <x v="21"/>
          </reference>
          <reference field="5" count="1" selected="0">
            <x v="1"/>
          </reference>
          <reference field="6" count="1">
            <x v="20"/>
          </reference>
        </references>
      </pivotArea>
    </format>
    <format dxfId="1609">
      <pivotArea dataOnly="0" labelOnly="1" outline="0" fieldPosition="0">
        <references count="7">
          <reference field="0" count="1" selected="0">
            <x v="358"/>
          </reference>
          <reference field="1" count="1" selected="0">
            <x v="18"/>
          </reference>
          <reference field="2" count="0" selected="0"/>
          <reference field="3" count="1" selected="0">
            <x v="8"/>
          </reference>
          <reference field="4" count="1" selected="0">
            <x v="17"/>
          </reference>
          <reference field="5" count="1" selected="0">
            <x v="8"/>
          </reference>
          <reference field="6" count="1">
            <x v="14"/>
          </reference>
        </references>
      </pivotArea>
    </format>
    <format dxfId="1608">
      <pivotArea dataOnly="0" labelOnly="1" outline="0" fieldPosition="0">
        <references count="7">
          <reference field="0" count="1" selected="0">
            <x v="1688"/>
          </reference>
          <reference field="1" count="1" selected="0">
            <x v="19"/>
          </reference>
          <reference field="2" count="0" selected="0"/>
          <reference field="3" count="1" selected="0">
            <x v="13"/>
          </reference>
          <reference field="4" count="1" selected="0">
            <x v="49"/>
          </reference>
          <reference field="5" count="1" selected="0">
            <x v="8"/>
          </reference>
          <reference field="6" count="1">
            <x v="16"/>
          </reference>
        </references>
      </pivotArea>
    </format>
    <format dxfId="1607">
      <pivotArea dataOnly="0" labelOnly="1" outline="0" fieldPosition="0">
        <references count="7">
          <reference field="0" count="1" selected="0">
            <x v="2300"/>
          </reference>
          <reference field="1" count="1" selected="0">
            <x v="80"/>
          </reference>
          <reference field="2" count="0" selected="0"/>
          <reference field="3" count="1" selected="0">
            <x v="6"/>
          </reference>
          <reference field="4" count="1" selected="0">
            <x v="21"/>
          </reference>
          <reference field="5" count="1" selected="0">
            <x v="6"/>
          </reference>
          <reference field="6" count="1">
            <x v="15"/>
          </reference>
        </references>
      </pivotArea>
    </format>
    <format dxfId="1606">
      <pivotArea dataOnly="0" labelOnly="1" outline="0" fieldPosition="0">
        <references count="7">
          <reference field="0" count="1" selected="0">
            <x v="60"/>
          </reference>
          <reference field="1" count="1" selected="0">
            <x v="81"/>
          </reference>
          <reference field="2" count="0" selected="0"/>
          <reference field="3" count="1" selected="0">
            <x v="7"/>
          </reference>
          <reference field="4" count="1" selected="0">
            <x v="26"/>
          </reference>
          <reference field="5" count="1" selected="0">
            <x v="6"/>
          </reference>
          <reference field="6" count="1">
            <x v="0"/>
          </reference>
        </references>
      </pivotArea>
    </format>
    <format dxfId="1605">
      <pivotArea dataOnly="0" labelOnly="1" outline="0" fieldPosition="0">
        <references count="7">
          <reference field="0" count="1" selected="0">
            <x v="2314"/>
          </reference>
          <reference field="1" count="1" selected="0">
            <x v="82"/>
          </reference>
          <reference field="2" count="0" selected="0"/>
          <reference field="3" count="1" selected="0">
            <x v="11"/>
          </reference>
          <reference field="4" count="1" selected="0">
            <x v="32"/>
          </reference>
          <reference field="5" count="1" selected="0">
            <x v="8"/>
          </reference>
          <reference field="6" count="1">
            <x v="14"/>
          </reference>
        </references>
      </pivotArea>
    </format>
    <format dxfId="1604">
      <pivotArea dataOnly="0" labelOnly="1" outline="0" fieldPosition="0">
        <references count="7">
          <reference field="0" count="1" selected="0">
            <x v="732"/>
          </reference>
          <reference field="1" count="1" selected="0">
            <x v="84"/>
          </reference>
          <reference field="2" count="0" selected="0"/>
          <reference field="3" count="1" selected="0">
            <x v="12"/>
          </reference>
          <reference field="4" count="1" selected="0">
            <x v="47"/>
          </reference>
          <reference field="5" count="1" selected="0">
            <x v="6"/>
          </reference>
          <reference field="6" count="1">
            <x v="11"/>
          </reference>
        </references>
      </pivotArea>
    </format>
    <format dxfId="1603">
      <pivotArea dataOnly="0" labelOnly="1" outline="0" fieldPosition="0">
        <references count="7">
          <reference field="0" count="1" selected="0">
            <x v="693"/>
          </reference>
          <reference field="1" count="1" selected="0">
            <x v="86"/>
          </reference>
          <reference field="2" count="0" selected="0"/>
          <reference field="3" count="1" selected="0">
            <x v="8"/>
          </reference>
          <reference field="4" count="1" selected="0">
            <x v="30"/>
          </reference>
          <reference field="5" count="1" selected="0">
            <x v="5"/>
          </reference>
          <reference field="6" count="1">
            <x v="14"/>
          </reference>
        </references>
      </pivotArea>
    </format>
    <format dxfId="1602">
      <pivotArea dataOnly="0" labelOnly="1" outline="0" fieldPosition="0">
        <references count="7">
          <reference field="0" count="1" selected="0">
            <x v="183"/>
          </reference>
          <reference field="1" count="1" selected="0">
            <x v="87"/>
          </reference>
          <reference field="2" count="0" selected="0"/>
          <reference field="3" count="1" selected="0">
            <x v="1"/>
          </reference>
          <reference field="4" count="1" selected="0">
            <x v="11"/>
          </reference>
          <reference field="5" count="1" selected="0">
            <x v="6"/>
          </reference>
          <reference field="6" count="1">
            <x v="0"/>
          </reference>
        </references>
      </pivotArea>
    </format>
    <format dxfId="1601">
      <pivotArea dataOnly="0" labelOnly="1" outline="0" fieldPosition="0">
        <references count="7">
          <reference field="0" count="1" selected="0">
            <x v="1618"/>
          </reference>
          <reference field="1" count="1" selected="0">
            <x v="89"/>
          </reference>
          <reference field="2" count="0" selected="0"/>
          <reference field="3" count="1" selected="0">
            <x v="7"/>
          </reference>
          <reference field="4" count="1" selected="0">
            <x v="29"/>
          </reference>
          <reference field="5" count="1" selected="0">
            <x v="3"/>
          </reference>
          <reference field="6" count="1">
            <x v="11"/>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0BAF194-6FC4-4CD8-96BD-E5CF6ADC97D0}" name="Tabela dinâmica24"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9:BD11"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x="8"/>
        <item h="1" x="1"/>
        <item h="1"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2"/>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96863DE-284C-41D6-AF73-66B99E824FDB}" name="Tabela dinâmica3"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2:L5"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3">
    <i>
      <x v="4"/>
      <x v="827"/>
      <x v="31"/>
      <x v="11"/>
      <x v="51"/>
      <x v="6"/>
      <x v="16"/>
      <x v="53"/>
    </i>
    <i>
      <x v="7"/>
      <x v="1190"/>
      <x v="31"/>
      <x v="13"/>
      <x v="71"/>
      <x v="9"/>
      <x v="17"/>
      <x v="191"/>
    </i>
    <i>
      <x v="15"/>
      <x v="1552"/>
      <x v="31"/>
      <x v="12"/>
      <x v="52"/>
      <x v="7"/>
      <x v="16"/>
      <x v="274"/>
    </i>
  </rowItems>
  <colItems count="1">
    <i/>
  </colItems>
  <formats count="4">
    <format dxfId="1618">
      <pivotArea field="6" type="button" dataOnly="0" labelOnly="1" outline="0" axis="axisRow" fieldPosition="6"/>
    </format>
    <format dxfId="1617">
      <pivotArea dataOnly="0" labelOnly="1" outline="0" fieldPosition="0">
        <references count="7">
          <reference field="0" count="1" selected="0">
            <x v="2751"/>
          </reference>
          <reference field="1" count="1" selected="0">
            <x v="2"/>
          </reference>
          <reference field="2" count="0" selected="0"/>
          <reference field="3" count="1" selected="0">
            <x v="8"/>
          </reference>
          <reference field="4" count="1" selected="0">
            <x v="53"/>
          </reference>
          <reference field="5" count="1" selected="0">
            <x v="12"/>
          </reference>
          <reference field="6" count="1">
            <x v="3"/>
          </reference>
        </references>
      </pivotArea>
    </format>
    <format dxfId="1616">
      <pivotArea dataOnly="0" labelOnly="1" outline="0" fieldPosition="0">
        <references count="7">
          <reference field="0" count="1" selected="0">
            <x v="663"/>
          </reference>
          <reference field="1" count="1" selected="0">
            <x v="8"/>
          </reference>
          <reference field="2" count="0" selected="0"/>
          <reference field="3" count="1" selected="0">
            <x v="14"/>
          </reference>
          <reference field="4" count="1" selected="0">
            <x v="66"/>
          </reference>
          <reference field="5" count="1" selected="0">
            <x v="5"/>
          </reference>
          <reference field="6" count="1">
            <x v="14"/>
          </reference>
        </references>
      </pivotArea>
    </format>
    <format dxfId="1615">
      <pivotArea dataOnly="0" labelOnly="1" outline="0" fieldPosition="0">
        <references count="7">
          <reference field="0" count="1" selected="0">
            <x v="738"/>
          </reference>
          <reference field="1" count="1" selected="0">
            <x v="12"/>
          </reference>
          <reference field="2" count="0" selected="0"/>
          <reference field="3" count="1" selected="0">
            <x v="14"/>
          </reference>
          <reference field="4" count="1" selected="0">
            <x v="61"/>
          </reference>
          <reference field="5" count="1" selected="0">
            <x v="7"/>
          </reference>
          <reference field="6" count="1">
            <x v="13"/>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4C9AEC8-B9EF-4978-A140-36EB0D43A3A3}" name="Tabela dinâmica16"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3:AX15"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h="1" x="6"/>
        <item h="1" m="1" x="33"/>
        <item x="0"/>
        <item m="1" x="32"/>
        <item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40"/>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E1898D8-AB32-47B6-8B95-4F993E1EE193}" name="Tabela dinâmica10"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E2:AL18"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x="4"/>
        <item m="1" x="40"/>
        <item x="12"/>
        <item h="1" x="18"/>
        <item h="1" m="1" x="27"/>
        <item h="1" x="2"/>
        <item h="1" x="11"/>
        <item h="1" m="1" x="30"/>
        <item h="1" m="1" x="37"/>
        <item h="1" x="10"/>
        <item h="1" m="1" x="38"/>
        <item h="1" m="1" x="28"/>
        <item x="21"/>
        <item h="1" x="20"/>
        <item h="1" m="1" x="29"/>
        <item h="1" m="1" x="26"/>
        <item h="1" m="1" x="39"/>
        <item h="1" m="1" x="31"/>
        <item h="1" m="1" x="35"/>
        <item h="1" x="19"/>
        <item h="1" x="8"/>
        <item h="1" x="1"/>
        <item h="1" x="14"/>
        <item h="1" x="22"/>
        <item h="1" m="1" x="34"/>
        <item h="1" x="3"/>
        <item h="1" x="17"/>
        <item h="1" m="1" x="25"/>
        <item h="1" x="16"/>
        <item h="1" x="7"/>
        <item h="1" x="5"/>
        <item x="9"/>
        <item m="1" x="42"/>
        <item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6">
    <i>
      <x v="20"/>
      <x v="1068"/>
      <x v="2"/>
      <x v="7"/>
      <x v="28"/>
      <x v="2"/>
      <x v="11"/>
      <x v="200"/>
    </i>
    <i>
      <x v="21"/>
      <x v="794"/>
      <x v="2"/>
      <x v="2"/>
      <x v="26"/>
      <x v="5"/>
      <x v="15"/>
      <x v="207"/>
    </i>
    <i>
      <x v="22"/>
      <x v="1050"/>
      <x v="33"/>
      <x v="12"/>
      <x v="44"/>
      <x v="3"/>
      <x v="13"/>
      <x v="142"/>
    </i>
    <i>
      <x v="23"/>
      <x v="1935"/>
      <x v="2"/>
      <x v="11"/>
      <x v="37"/>
      <x v="1"/>
      <x v="20"/>
      <x v="166"/>
    </i>
    <i>
      <x v="26"/>
      <x v="1057"/>
      <x v="2"/>
      <x v="11"/>
      <x v="21"/>
      <x v="4"/>
      <x v="14"/>
      <x v="142"/>
    </i>
    <i>
      <x v="29"/>
      <x v="1100"/>
      <x v="2"/>
      <x v="8"/>
      <x v="37"/>
      <x v="4"/>
      <x v="11"/>
      <x v="85"/>
    </i>
    <i>
      <x v="31"/>
      <x v="2291"/>
      <x v="2"/>
      <x v="8"/>
      <x v="36"/>
      <x v="5"/>
      <x v="13"/>
      <x v="292"/>
    </i>
    <i>
      <x v="33"/>
      <x v="2343"/>
      <x v="33"/>
      <x v="12"/>
      <x v="50"/>
      <x v="5"/>
      <x v="15"/>
      <x v="3"/>
    </i>
    <i>
      <x v="36"/>
      <x v="1860"/>
      <x v="33"/>
      <x v="11"/>
      <x v="31"/>
      <x v="5"/>
      <x/>
      <x v="112"/>
    </i>
    <i>
      <x v="37"/>
      <x v="679"/>
      <x v="33"/>
      <x v="8"/>
      <x v="47"/>
      <x v="5"/>
      <x v="20"/>
      <x v="326"/>
    </i>
    <i>
      <x v="38"/>
      <x v="3"/>
      <x v="2"/>
      <x v="11"/>
      <x v="34"/>
      <x v="4"/>
      <x v="11"/>
      <x v="209"/>
    </i>
    <i>
      <x v="39"/>
      <x v="2297"/>
      <x v="33"/>
      <x v="2"/>
      <x v="32"/>
      <x v="3"/>
      <x v="11"/>
      <x v="95"/>
    </i>
    <i>
      <x v="43"/>
      <x v="1431"/>
      <x v="33"/>
      <x v="7"/>
      <x v="45"/>
      <x v="6"/>
      <x v="16"/>
      <x v="29"/>
    </i>
    <i>
      <x v="48"/>
      <x v="2185"/>
      <x v="2"/>
      <x v="7"/>
      <x v="16"/>
      <x v="4"/>
      <x v="11"/>
      <x v="208"/>
    </i>
    <i>
      <x v="49"/>
      <x v="2096"/>
      <x v="33"/>
      <x v="2"/>
      <x v="25"/>
      <x v="5"/>
      <x/>
      <x v="297"/>
    </i>
    <i r="1">
      <x v="2447"/>
      <x v="2"/>
      <x v="6"/>
      <x v="16"/>
      <x v="3"/>
      <x v="20"/>
      <x v="9"/>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4173013-85D7-46D7-8DFA-093802FF00A1}" name="Tabela dinâmica8"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V2:AC17"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x="18"/>
        <item m="1" x="27"/>
        <item x="2"/>
        <item x="11"/>
        <item m="1" x="30"/>
        <item m="1" x="37"/>
        <item h="1" x="10"/>
        <item h="1" m="1" x="38"/>
        <item h="1" m="1" x="28"/>
        <item h="1" x="21"/>
        <item h="1" x="20"/>
        <item h="1" m="1" x="29"/>
        <item h="1" m="1" x="26"/>
        <item h="1" m="1" x="39"/>
        <item h="1" m="1" x="31"/>
        <item h="1" m="1" x="35"/>
        <item h="1" x="19"/>
        <item h="1" x="8"/>
        <item h="1" x="1"/>
        <item h="1" x="14"/>
        <item h="1" x="22"/>
        <item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5">
    <i>
      <x v="58"/>
      <x v="1140"/>
      <x v="5"/>
      <x v="14"/>
      <x v="102"/>
      <x v="3"/>
      <x v="20"/>
      <x v="208"/>
    </i>
    <i>
      <x v="59"/>
      <x v="607"/>
      <x v="5"/>
      <x v="11"/>
      <x v="101"/>
      <x v="3"/>
      <x v="11"/>
      <x v="28"/>
    </i>
    <i>
      <x v="63"/>
      <x v="1044"/>
      <x v="8"/>
      <x v="12"/>
      <x v="133"/>
      <x v="4"/>
      <x v="20"/>
      <x v="142"/>
    </i>
    <i>
      <x v="64"/>
      <x v="2328"/>
      <x v="8"/>
      <x v="8"/>
      <x v="139"/>
      <x v="4"/>
      <x v="20"/>
      <x v="111"/>
    </i>
    <i>
      <x v="69"/>
      <x v="469"/>
      <x v="5"/>
      <x v="12"/>
      <x v="86"/>
      <x v="7"/>
      <x v="14"/>
      <x v="158"/>
    </i>
    <i>
      <x v="90"/>
      <x v="1193"/>
      <x v="5"/>
      <x v="14"/>
      <x v="91"/>
      <x v="9"/>
      <x v="19"/>
      <x v="245"/>
    </i>
    <i>
      <x v="91"/>
      <x v="2485"/>
      <x v="5"/>
      <x v="14"/>
      <x v="101"/>
      <x v="8"/>
      <x v="17"/>
      <x v="311"/>
    </i>
    <i>
      <x v="92"/>
      <x v="2451"/>
      <x v="8"/>
      <x v="8"/>
      <x v="128"/>
      <x v="8"/>
      <x v="17"/>
      <x v="202"/>
    </i>
    <i>
      <x v="93"/>
      <x v="2599"/>
      <x v="8"/>
      <x v="11"/>
      <x v="131"/>
      <x v="2"/>
      <x v="11"/>
      <x v="207"/>
    </i>
    <i>
      <x v="94"/>
      <x v="69"/>
      <x v="5"/>
      <x v="14"/>
      <x v="103"/>
      <x v="1"/>
      <x v="20"/>
      <x v="294"/>
    </i>
    <i>
      <x v="95"/>
      <x v="2075"/>
      <x v="5"/>
      <x v="13"/>
      <x v="108"/>
      <x v="6"/>
      <x v="16"/>
      <x v="279"/>
    </i>
    <i>
      <x v="96"/>
      <x v="1485"/>
      <x v="8"/>
      <x v="13"/>
      <x v="138"/>
      <x v="4"/>
      <x v="13"/>
      <x v="167"/>
    </i>
    <i>
      <x v="97"/>
      <x v="2208"/>
      <x v="8"/>
      <x v="13"/>
      <x v="125"/>
      <x v="1"/>
      <x v="20"/>
      <x v="208"/>
    </i>
    <i>
      <x v="98"/>
      <x v="1120"/>
      <x v="5"/>
      <x v="12"/>
      <x v="116"/>
      <x v="7"/>
      <x v="15"/>
      <x v="202"/>
    </i>
    <i>
      <x v="99"/>
      <x v="2534"/>
      <x v="8"/>
      <x v="13"/>
      <x v="126"/>
      <x v="6"/>
      <x v="15"/>
      <x v="83"/>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FF26C18-FDA3-4EAF-AC47-668837EDD7D4}" name="Tabela dinâmica11"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2:AT3"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
    <i>
      <x v="47"/>
      <x v="457"/>
      <x v="24"/>
      <x v="13"/>
      <x v="84"/>
      <x v="12"/>
      <x v="18"/>
      <x v="45"/>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8FED4EE-18A5-4282-A03D-AB6DF9A85561}" name="Tabela dinâmica18"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24:AX28"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x="15"/>
        <item m="1" x="36"/>
        <item h="1" x="4"/>
        <item h="1" m="1" x="40"/>
        <item h="1" x="12"/>
        <item h="1" x="18"/>
        <item h="1" m="1" x="27"/>
        <item h="1" x="2"/>
        <item h="1" x="11"/>
        <item h="1" m="1" x="30"/>
        <item h="1" m="1" x="37"/>
        <item h="1" x="10"/>
        <item h="1" m="1" x="38"/>
        <item h="1" m="1" x="28"/>
        <item h="1" x="21"/>
        <item x="20"/>
        <item m="1" x="29"/>
        <item m="1" x="26"/>
        <item m="1" x="39"/>
        <item m="1" x="31"/>
        <item h="1" m="1" x="35"/>
        <item h="1" x="19"/>
        <item h="1" x="8"/>
        <item h="1" x="1"/>
        <item h="1" x="14"/>
        <item h="1" x="22"/>
        <item h="1" m="1" x="34"/>
        <item x="3"/>
        <item h="1" x="17"/>
        <item m="1" x="25"/>
        <item h="1" x="16"/>
        <item h="1" x="7"/>
        <item h="1" x="5"/>
        <item h="1" x="9"/>
        <item h="1" m="1" x="42"/>
        <item h="1" x="23"/>
        <item x="13"/>
        <item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4">
    <i>
      <x/>
    </i>
    <i>
      <x v="15"/>
    </i>
    <i>
      <x v="36"/>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16151B0-FB03-418A-9F46-DA0346184053}" name="Tabela dinâmica7"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N13:U31"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x="15"/>
        <item m="1" x="36"/>
        <item h="1" x="4"/>
        <item h="1" m="1" x="40"/>
        <item h="1" x="12"/>
        <item h="1" x="18"/>
        <item h="1" m="1" x="27"/>
        <item h="1" x="2"/>
        <item h="1" x="11"/>
        <item h="1" m="1" x="30"/>
        <item h="1" m="1" x="37"/>
        <item h="1" x="10"/>
        <item h="1" m="1" x="38"/>
        <item h="1" m="1" x="28"/>
        <item h="1" x="21"/>
        <item x="20"/>
        <item m="1" x="29"/>
        <item m="1" x="26"/>
        <item m="1" x="39"/>
        <item m="1" x="31"/>
        <item h="1" m="1" x="35"/>
        <item h="1" x="19"/>
        <item h="1" x="8"/>
        <item h="1" x="1"/>
        <item h="1" x="14"/>
        <item h="1" x="22"/>
        <item h="1" m="1" x="34"/>
        <item x="3"/>
        <item h="1" x="17"/>
        <item m="1" x="25"/>
        <item h="1" x="16"/>
        <item h="1" x="7"/>
        <item h="1" x="5"/>
        <item h="1" x="9"/>
        <item h="1" m="1" x="42"/>
        <item h="1" x="23"/>
        <item x="13"/>
        <item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8">
    <i>
      <x v="52"/>
      <x v="742"/>
      <x v="15"/>
      <x v="14"/>
      <x v="141"/>
      <x v="3"/>
      <x v="20"/>
      <x v="284"/>
    </i>
    <i>
      <x v="53"/>
      <x v="2129"/>
      <x/>
      <x v="8"/>
      <x v="128"/>
      <x v="3"/>
      <x v="13"/>
      <x v="320"/>
    </i>
    <i>
      <x v="55"/>
      <x v="983"/>
      <x/>
      <x v="15"/>
      <x v="144"/>
      <x v="6"/>
      <x v="16"/>
      <x v="142"/>
    </i>
    <i>
      <x v="57"/>
      <x v="326"/>
      <x/>
      <x v="13"/>
      <x v="137"/>
      <x v="3"/>
      <x v="20"/>
      <x v="316"/>
    </i>
    <i>
      <x v="60"/>
      <x v="727"/>
      <x v="15"/>
      <x v="11"/>
      <x v="155"/>
      <x v="4"/>
      <x/>
      <x v="99"/>
    </i>
    <i>
      <x v="62"/>
      <x v="243"/>
      <x v="15"/>
      <x v="15"/>
      <x v="145"/>
      <x v="6"/>
      <x v="11"/>
      <x v="200"/>
    </i>
    <i>
      <x v="65"/>
      <x v="954"/>
      <x v="36"/>
      <x v="8"/>
      <x v="163"/>
      <x v="7"/>
      <x/>
      <x v="288"/>
    </i>
    <i>
      <x v="66"/>
      <x v="1265"/>
      <x v="36"/>
      <x v="14"/>
      <x v="148"/>
      <x v="3"/>
      <x v="11"/>
      <x v="52"/>
    </i>
    <i>
      <x v="67"/>
      <x v="218"/>
      <x v="36"/>
      <x v="14"/>
      <x v="151"/>
      <x v="3"/>
      <x v="20"/>
      <x v="29"/>
    </i>
    <i>
      <x v="68"/>
      <x v="2006"/>
      <x v="15"/>
      <x v="14"/>
      <x v="150"/>
      <x v="7"/>
      <x v="13"/>
      <x v="150"/>
    </i>
    <i>
      <x v="70"/>
      <x v="68"/>
      <x v="36"/>
      <x v="17"/>
      <x v="136"/>
      <x v="5"/>
      <x v="11"/>
      <x v="246"/>
    </i>
    <i>
      <x v="71"/>
      <x v="1353"/>
      <x v="36"/>
      <x v="13"/>
      <x v="142"/>
      <x v="3"/>
      <x v="13"/>
      <x v="3"/>
    </i>
    <i>
      <x v="72"/>
      <x v="1101"/>
      <x v="15"/>
      <x v="14"/>
      <x v="145"/>
      <x v="5"/>
      <x v="14"/>
      <x v="12"/>
    </i>
    <i>
      <x v="74"/>
      <x v="489"/>
      <x v="36"/>
      <x v="13"/>
      <x v="130"/>
      <x v="11"/>
      <x v="19"/>
      <x v="294"/>
    </i>
    <i>
      <x v="75"/>
      <x v="1419"/>
      <x v="15"/>
      <x v="13"/>
      <x v="155"/>
      <x v="10"/>
      <x v="19"/>
      <x v="181"/>
    </i>
    <i>
      <x v="77"/>
      <x v="2812"/>
      <x v="15"/>
      <x v="13"/>
      <x v="149"/>
      <x v="7"/>
      <x v="15"/>
      <x v="316"/>
    </i>
    <i>
      <x v="78"/>
      <x v="1169"/>
      <x v="36"/>
      <x v="15"/>
      <x v="143"/>
      <x v="7"/>
      <x v="17"/>
      <x v="159"/>
    </i>
    <i>
      <x v="79"/>
      <x v="903"/>
      <x v="15"/>
      <x v="14"/>
      <x v="143"/>
      <x v="5"/>
      <x v="13"/>
      <x v="250"/>
    </i>
  </rowItems>
  <colItems count="1">
    <i/>
  </colItems>
  <formats count="96">
    <format dxfId="1714">
      <pivotArea dataOnly="0" labelOnly="1" outline="0" fieldPosition="0">
        <references count="1">
          <reference field="1" count="15">
            <x v="52"/>
            <x v="57"/>
            <x v="61"/>
            <x v="62"/>
            <x v="65"/>
            <x v="66"/>
            <x v="67"/>
            <x v="69"/>
            <x v="70"/>
            <x v="71"/>
            <x v="73"/>
            <x v="74"/>
            <x v="75"/>
            <x v="76"/>
            <x v="77"/>
          </reference>
        </references>
      </pivotArea>
    </format>
    <format dxfId="1713">
      <pivotArea dataOnly="0" labelOnly="1" outline="0" fieldPosition="0">
        <references count="2">
          <reference field="0" count="1">
            <x v="600"/>
          </reference>
          <reference field="1" count="1" selected="0">
            <x v="52"/>
          </reference>
        </references>
      </pivotArea>
    </format>
    <format dxfId="1712">
      <pivotArea dataOnly="0" labelOnly="1" outline="0" fieldPosition="0">
        <references count="2">
          <reference field="0" count="1">
            <x v="2176"/>
          </reference>
          <reference field="1" count="1" selected="0">
            <x v="57"/>
          </reference>
        </references>
      </pivotArea>
    </format>
    <format dxfId="1711">
      <pivotArea dataOnly="0" labelOnly="1" outline="0" fieldPosition="0">
        <references count="2">
          <reference field="0" count="1">
            <x v="184"/>
          </reference>
          <reference field="1" count="1" selected="0">
            <x v="61"/>
          </reference>
        </references>
      </pivotArea>
    </format>
    <format dxfId="1710">
      <pivotArea dataOnly="0" labelOnly="1" outline="0" fieldPosition="0">
        <references count="2">
          <reference field="0" count="1">
            <x v="1415"/>
          </reference>
          <reference field="1" count="1" selected="0">
            <x v="62"/>
          </reference>
        </references>
      </pivotArea>
    </format>
    <format dxfId="1709">
      <pivotArea dataOnly="0" labelOnly="1" outline="0" fieldPosition="0">
        <references count="2">
          <reference field="0" count="1">
            <x v="2675"/>
          </reference>
          <reference field="1" count="1" selected="0">
            <x v="65"/>
          </reference>
        </references>
      </pivotArea>
    </format>
    <format dxfId="1708">
      <pivotArea dataOnly="0" labelOnly="1" outline="0" fieldPosition="0">
        <references count="2">
          <reference field="0" count="1">
            <x v="2026"/>
          </reference>
          <reference field="1" count="1" selected="0">
            <x v="66"/>
          </reference>
        </references>
      </pivotArea>
    </format>
    <format dxfId="1707">
      <pivotArea dataOnly="0" labelOnly="1" outline="0" fieldPosition="0">
        <references count="2">
          <reference field="0" count="1">
            <x v="1848"/>
          </reference>
          <reference field="1" count="1" selected="0">
            <x v="67"/>
          </reference>
        </references>
      </pivotArea>
    </format>
    <format dxfId="1706">
      <pivotArea dataOnly="0" labelOnly="1" outline="0" fieldPosition="0">
        <references count="2">
          <reference field="0" count="1">
            <x v="487"/>
          </reference>
          <reference field="1" count="1" selected="0">
            <x v="69"/>
          </reference>
        </references>
      </pivotArea>
    </format>
    <format dxfId="1705">
      <pivotArea dataOnly="0" labelOnly="1" outline="0" fieldPosition="0">
        <references count="2">
          <reference field="0" count="1">
            <x v="2226"/>
          </reference>
          <reference field="1" count="1" selected="0">
            <x v="70"/>
          </reference>
        </references>
      </pivotArea>
    </format>
    <format dxfId="1704">
      <pivotArea dataOnly="0" labelOnly="1" outline="0" fieldPosition="0">
        <references count="2">
          <reference field="0" count="1">
            <x v="2327"/>
          </reference>
          <reference field="1" count="1" selected="0">
            <x v="71"/>
          </reference>
        </references>
      </pivotArea>
    </format>
    <format dxfId="1703">
      <pivotArea dataOnly="0" labelOnly="1" outline="0" fieldPosition="0">
        <references count="2">
          <reference field="0" count="1">
            <x v="2115"/>
          </reference>
          <reference field="1" count="1" selected="0">
            <x v="73"/>
          </reference>
        </references>
      </pivotArea>
    </format>
    <format dxfId="1702">
      <pivotArea dataOnly="0" labelOnly="1" outline="0" fieldPosition="0">
        <references count="2">
          <reference field="0" count="1">
            <x v="1037"/>
          </reference>
          <reference field="1" count="1" selected="0">
            <x v="74"/>
          </reference>
        </references>
      </pivotArea>
    </format>
    <format dxfId="1701">
      <pivotArea dataOnly="0" labelOnly="1" outline="0" fieldPosition="0">
        <references count="2">
          <reference field="0" count="1">
            <x v="683"/>
          </reference>
          <reference field="1" count="1" selected="0">
            <x v="75"/>
          </reference>
        </references>
      </pivotArea>
    </format>
    <format dxfId="1700">
      <pivotArea dataOnly="0" labelOnly="1" outline="0" fieldPosition="0">
        <references count="2">
          <reference field="0" count="1">
            <x v="2776"/>
          </reference>
          <reference field="1" count="1" selected="0">
            <x v="76"/>
          </reference>
        </references>
      </pivotArea>
    </format>
    <format dxfId="1699">
      <pivotArea dataOnly="0" labelOnly="1" outline="0" fieldPosition="0">
        <references count="2">
          <reference field="0" count="1">
            <x v="124"/>
          </reference>
          <reference field="1" count="1" selected="0">
            <x v="77"/>
          </reference>
        </references>
      </pivotArea>
    </format>
    <format dxfId="1698">
      <pivotArea dataOnly="0" labelOnly="1" outline="0" fieldPosition="0">
        <references count="3">
          <reference field="0" count="1" selected="0">
            <x v="600"/>
          </reference>
          <reference field="1" count="1" selected="0">
            <x v="52"/>
          </reference>
          <reference field="2" count="1">
            <x v="27"/>
          </reference>
        </references>
      </pivotArea>
    </format>
    <format dxfId="1697">
      <pivotArea dataOnly="0" labelOnly="1" outline="0" fieldPosition="0">
        <references count="3">
          <reference field="0" count="1" selected="0">
            <x v="2176"/>
          </reference>
          <reference field="1" count="1" selected="0">
            <x v="57"/>
          </reference>
          <reference field="2" count="1">
            <x v="36"/>
          </reference>
        </references>
      </pivotArea>
    </format>
    <format dxfId="1696">
      <pivotArea dataOnly="0" labelOnly="1" outline="0" fieldPosition="0">
        <references count="3">
          <reference field="0" count="1" selected="0">
            <x v="184"/>
          </reference>
          <reference field="1" count="1" selected="0">
            <x v="61"/>
          </reference>
          <reference field="2" count="1">
            <x v="0"/>
          </reference>
        </references>
      </pivotArea>
    </format>
    <format dxfId="1695">
      <pivotArea dataOnly="0" labelOnly="1" outline="0" fieldPosition="0">
        <references count="3">
          <reference field="0" count="1" selected="0">
            <x v="1415"/>
          </reference>
          <reference field="1" count="1" selected="0">
            <x v="62"/>
          </reference>
          <reference field="2" count="1">
            <x v="27"/>
          </reference>
        </references>
      </pivotArea>
    </format>
    <format dxfId="1694">
      <pivotArea dataOnly="0" labelOnly="1" outline="0" fieldPosition="0">
        <references count="3">
          <reference field="0" count="1" selected="0">
            <x v="487"/>
          </reference>
          <reference field="1" count="1" selected="0">
            <x v="69"/>
          </reference>
          <reference field="2" count="1">
            <x v="15"/>
          </reference>
        </references>
      </pivotArea>
    </format>
    <format dxfId="1693">
      <pivotArea dataOnly="0" labelOnly="1" outline="0" fieldPosition="0">
        <references count="3">
          <reference field="0" count="1" selected="0">
            <x v="2226"/>
          </reference>
          <reference field="1" count="1" selected="0">
            <x v="70"/>
          </reference>
          <reference field="2" count="1">
            <x v="36"/>
          </reference>
        </references>
      </pivotArea>
    </format>
    <format dxfId="1692">
      <pivotArea dataOnly="0" labelOnly="1" outline="0" fieldPosition="0">
        <references count="3">
          <reference field="0" count="1" selected="0">
            <x v="2115"/>
          </reference>
          <reference field="1" count="1" selected="0">
            <x v="73"/>
          </reference>
          <reference field="2" count="1">
            <x v="15"/>
          </reference>
        </references>
      </pivotArea>
    </format>
    <format dxfId="1691">
      <pivotArea dataOnly="0" labelOnly="1" outline="0" fieldPosition="0">
        <references count="3">
          <reference field="0" count="1" selected="0">
            <x v="1037"/>
          </reference>
          <reference field="1" count="1" selected="0">
            <x v="74"/>
          </reference>
          <reference field="2" count="1">
            <x v="36"/>
          </reference>
        </references>
      </pivotArea>
    </format>
    <format dxfId="1690">
      <pivotArea dataOnly="0" labelOnly="1" outline="0" fieldPosition="0">
        <references count="3">
          <reference field="0" count="1" selected="0">
            <x v="2776"/>
          </reference>
          <reference field="1" count="1" selected="0">
            <x v="76"/>
          </reference>
          <reference field="2" count="1">
            <x v="15"/>
          </reference>
        </references>
      </pivotArea>
    </format>
    <format dxfId="1689">
      <pivotArea dataOnly="0" labelOnly="1" outline="0" fieldPosition="0">
        <references count="4">
          <reference field="0" count="1" selected="0">
            <x v="600"/>
          </reference>
          <reference field="1" count="1" selected="0">
            <x v="52"/>
          </reference>
          <reference field="2" count="1" selected="0">
            <x v="27"/>
          </reference>
          <reference field="3" count="1">
            <x v="13"/>
          </reference>
        </references>
      </pivotArea>
    </format>
    <format dxfId="1688">
      <pivotArea dataOnly="0" labelOnly="1" outline="0" fieldPosition="0">
        <references count="4">
          <reference field="0" count="1" selected="0">
            <x v="2176"/>
          </reference>
          <reference field="1" count="1" selected="0">
            <x v="57"/>
          </reference>
          <reference field="2" count="1" selected="0">
            <x v="36"/>
          </reference>
          <reference field="3" count="1">
            <x v="17"/>
          </reference>
        </references>
      </pivotArea>
    </format>
    <format dxfId="1687">
      <pivotArea dataOnly="0" labelOnly="1" outline="0" fieldPosition="0">
        <references count="4">
          <reference field="0" count="1" selected="0">
            <x v="184"/>
          </reference>
          <reference field="1" count="1" selected="0">
            <x v="61"/>
          </reference>
          <reference field="2" count="1" selected="0">
            <x v="0"/>
          </reference>
          <reference field="3" count="1">
            <x v="12"/>
          </reference>
        </references>
      </pivotArea>
    </format>
    <format dxfId="1686">
      <pivotArea dataOnly="0" labelOnly="1" outline="0" fieldPosition="0">
        <references count="4">
          <reference field="0" count="1" selected="0">
            <x v="1415"/>
          </reference>
          <reference field="1" count="1" selected="0">
            <x v="62"/>
          </reference>
          <reference field="2" count="1" selected="0">
            <x v="27"/>
          </reference>
          <reference field="3" count="1">
            <x v="14"/>
          </reference>
        </references>
      </pivotArea>
    </format>
    <format dxfId="1685">
      <pivotArea dataOnly="0" labelOnly="1" outline="0" fieldPosition="0">
        <references count="4">
          <reference field="0" count="1" selected="0">
            <x v="2675"/>
          </reference>
          <reference field="1" count="1" selected="0">
            <x v="65"/>
          </reference>
          <reference field="2" count="1" selected="0">
            <x v="27"/>
          </reference>
          <reference field="3" count="1">
            <x v="15"/>
          </reference>
        </references>
      </pivotArea>
    </format>
    <format dxfId="1684">
      <pivotArea dataOnly="0" labelOnly="1" outline="0" fieldPosition="0">
        <references count="4">
          <reference field="0" count="1" selected="0">
            <x v="2026"/>
          </reference>
          <reference field="1" count="1" selected="0">
            <x v="66"/>
          </reference>
          <reference field="2" count="1" selected="0">
            <x v="27"/>
          </reference>
          <reference field="3" count="1">
            <x v="13"/>
          </reference>
        </references>
      </pivotArea>
    </format>
    <format dxfId="1683">
      <pivotArea dataOnly="0" labelOnly="1" outline="0" fieldPosition="0">
        <references count="4">
          <reference field="0" count="1" selected="0">
            <x v="1848"/>
          </reference>
          <reference field="1" count="1" selected="0">
            <x v="67"/>
          </reference>
          <reference field="2" count="1" selected="0">
            <x v="27"/>
          </reference>
          <reference field="3" count="1">
            <x v="15"/>
          </reference>
        </references>
      </pivotArea>
    </format>
    <format dxfId="1682">
      <pivotArea dataOnly="0" labelOnly="1" outline="0" fieldPosition="0">
        <references count="4">
          <reference field="0" count="1" selected="0">
            <x v="487"/>
          </reference>
          <reference field="1" count="1" selected="0">
            <x v="69"/>
          </reference>
          <reference field="2" count="1" selected="0">
            <x v="15"/>
          </reference>
          <reference field="3" count="1">
            <x v="13"/>
          </reference>
        </references>
      </pivotArea>
    </format>
    <format dxfId="1681">
      <pivotArea dataOnly="0" labelOnly="1" outline="0" fieldPosition="0">
        <references count="4">
          <reference field="0" count="1" selected="0">
            <x v="2226"/>
          </reference>
          <reference field="1" count="1" selected="0">
            <x v="70"/>
          </reference>
          <reference field="2" count="1" selected="0">
            <x v="36"/>
          </reference>
          <reference field="3" count="1">
            <x v="14"/>
          </reference>
        </references>
      </pivotArea>
    </format>
    <format dxfId="1680">
      <pivotArea dataOnly="0" labelOnly="1" outline="0" fieldPosition="0">
        <references count="4">
          <reference field="0" count="1" selected="0">
            <x v="2327"/>
          </reference>
          <reference field="1" count="1" selected="0">
            <x v="71"/>
          </reference>
          <reference field="2" count="1" selected="0">
            <x v="36"/>
          </reference>
          <reference field="3" count="1">
            <x v="16"/>
          </reference>
        </references>
      </pivotArea>
    </format>
    <format dxfId="1679">
      <pivotArea dataOnly="0" labelOnly="1" outline="0" fieldPosition="0">
        <references count="4">
          <reference field="0" count="1" selected="0">
            <x v="2115"/>
          </reference>
          <reference field="1" count="1" selected="0">
            <x v="73"/>
          </reference>
          <reference field="2" count="1" selected="0">
            <x v="15"/>
          </reference>
          <reference field="3" count="1">
            <x v="13"/>
          </reference>
        </references>
      </pivotArea>
    </format>
    <format dxfId="1678">
      <pivotArea dataOnly="0" labelOnly="1" outline="0" fieldPosition="0">
        <references count="4">
          <reference field="0" count="1" selected="0">
            <x v="1037"/>
          </reference>
          <reference field="1" count="1" selected="0">
            <x v="74"/>
          </reference>
          <reference field="2" count="1" selected="0">
            <x v="36"/>
          </reference>
          <reference field="3" count="1">
            <x v="14"/>
          </reference>
        </references>
      </pivotArea>
    </format>
    <format dxfId="1677">
      <pivotArea dataOnly="0" labelOnly="1" outline="0" fieldPosition="0">
        <references count="4">
          <reference field="0" count="1" selected="0">
            <x v="2776"/>
          </reference>
          <reference field="1" count="1" selected="0">
            <x v="76"/>
          </reference>
          <reference field="2" count="1" selected="0">
            <x v="15"/>
          </reference>
          <reference field="3" count="1">
            <x v="12"/>
          </reference>
        </references>
      </pivotArea>
    </format>
    <format dxfId="1676">
      <pivotArea dataOnly="0" labelOnly="1" outline="0" fieldPosition="0">
        <references count="4">
          <reference field="0" count="1" selected="0">
            <x v="124"/>
          </reference>
          <reference field="1" count="1" selected="0">
            <x v="77"/>
          </reference>
          <reference field="2" count="1" selected="0">
            <x v="15"/>
          </reference>
          <reference field="3" count="1">
            <x v="14"/>
          </reference>
        </references>
      </pivotArea>
    </format>
    <format dxfId="1675">
      <pivotArea dataOnly="0" labelOnly="1" outline="0" fieldPosition="0">
        <references count="5">
          <reference field="0" count="1" selected="0">
            <x v="600"/>
          </reference>
          <reference field="1" count="1" selected="0">
            <x v="52"/>
          </reference>
          <reference field="2" count="1" selected="0">
            <x v="27"/>
          </reference>
          <reference field="3" count="1" selected="0">
            <x v="13"/>
          </reference>
          <reference field="4" count="1">
            <x v="137"/>
          </reference>
        </references>
      </pivotArea>
    </format>
    <format dxfId="1674">
      <pivotArea dataOnly="0" labelOnly="1" outline="0" fieldPosition="0">
        <references count="5">
          <reference field="0" count="1" selected="0">
            <x v="2176"/>
          </reference>
          <reference field="1" count="1" selected="0">
            <x v="57"/>
          </reference>
          <reference field="2" count="1" selected="0">
            <x v="36"/>
          </reference>
          <reference field="3" count="1" selected="0">
            <x v="17"/>
          </reference>
          <reference field="4" count="1">
            <x v="173"/>
          </reference>
        </references>
      </pivotArea>
    </format>
    <format dxfId="1673">
      <pivotArea dataOnly="0" labelOnly="1" outline="0" fieldPosition="0">
        <references count="5">
          <reference field="0" count="1" selected="0">
            <x v="184"/>
          </reference>
          <reference field="1" count="1" selected="0">
            <x v="61"/>
          </reference>
          <reference field="2" count="1" selected="0">
            <x v="0"/>
          </reference>
          <reference field="3" count="1" selected="0">
            <x v="12"/>
          </reference>
          <reference field="4" count="1">
            <x v="136"/>
          </reference>
        </references>
      </pivotArea>
    </format>
    <format dxfId="1672">
      <pivotArea dataOnly="0" labelOnly="1" outline="0" fieldPosition="0">
        <references count="5">
          <reference field="0" count="1" selected="0">
            <x v="1415"/>
          </reference>
          <reference field="1" count="1" selected="0">
            <x v="62"/>
          </reference>
          <reference field="2" count="1" selected="0">
            <x v="27"/>
          </reference>
          <reference field="3" count="1" selected="0">
            <x v="14"/>
          </reference>
          <reference field="4" count="1">
            <x v="139"/>
          </reference>
        </references>
      </pivotArea>
    </format>
    <format dxfId="1671">
      <pivotArea dataOnly="0" labelOnly="1" outline="0" fieldPosition="0">
        <references count="5">
          <reference field="0" count="1" selected="0">
            <x v="2675"/>
          </reference>
          <reference field="1" count="1" selected="0">
            <x v="65"/>
          </reference>
          <reference field="2" count="1" selected="0">
            <x v="27"/>
          </reference>
          <reference field="3" count="1" selected="0">
            <x v="15"/>
          </reference>
          <reference field="4" count="1">
            <x v="156"/>
          </reference>
        </references>
      </pivotArea>
    </format>
    <format dxfId="1670">
      <pivotArea dataOnly="0" labelOnly="1" outline="0" fieldPosition="0">
        <references count="5">
          <reference field="0" count="1" selected="0">
            <x v="2026"/>
          </reference>
          <reference field="1" count="1" selected="0">
            <x v="66"/>
          </reference>
          <reference field="2" count="1" selected="0">
            <x v="27"/>
          </reference>
          <reference field="3" count="1" selected="0">
            <x v="13"/>
          </reference>
          <reference field="4" count="1">
            <x v="136"/>
          </reference>
        </references>
      </pivotArea>
    </format>
    <format dxfId="1669">
      <pivotArea dataOnly="0" labelOnly="1" outline="0" fieldPosition="0">
        <references count="5">
          <reference field="0" count="1" selected="0">
            <x v="1848"/>
          </reference>
          <reference field="1" count="1" selected="0">
            <x v="67"/>
          </reference>
          <reference field="2" count="1" selected="0">
            <x v="27"/>
          </reference>
          <reference field="3" count="1" selected="0">
            <x v="15"/>
          </reference>
          <reference field="4" count="1">
            <x v="150"/>
          </reference>
        </references>
      </pivotArea>
    </format>
    <format dxfId="1668">
      <pivotArea dataOnly="0" labelOnly="1" outline="0" fieldPosition="0">
        <references count="5">
          <reference field="0" count="1" selected="0">
            <x v="487"/>
          </reference>
          <reference field="1" count="1" selected="0">
            <x v="69"/>
          </reference>
          <reference field="2" count="1" selected="0">
            <x v="15"/>
          </reference>
          <reference field="3" count="1" selected="0">
            <x v="13"/>
          </reference>
          <reference field="4" count="1">
            <x v="141"/>
          </reference>
        </references>
      </pivotArea>
    </format>
    <format dxfId="1667">
      <pivotArea dataOnly="0" labelOnly="1" outline="0" fieldPosition="0">
        <references count="5">
          <reference field="0" count="1" selected="0">
            <x v="2226"/>
          </reference>
          <reference field="1" count="1" selected="0">
            <x v="70"/>
          </reference>
          <reference field="2" count="1" selected="0">
            <x v="36"/>
          </reference>
          <reference field="3" count="1" selected="0">
            <x v="14"/>
          </reference>
          <reference field="4" count="1">
            <x v="143"/>
          </reference>
        </references>
      </pivotArea>
    </format>
    <format dxfId="1666">
      <pivotArea dataOnly="0" labelOnly="1" outline="0" fieldPosition="0">
        <references count="5">
          <reference field="0" count="1" selected="0">
            <x v="2327"/>
          </reference>
          <reference field="1" count="1" selected="0">
            <x v="71"/>
          </reference>
          <reference field="2" count="1" selected="0">
            <x v="36"/>
          </reference>
          <reference field="3" count="1" selected="0">
            <x v="16"/>
          </reference>
          <reference field="4" count="1">
            <x v="136"/>
          </reference>
        </references>
      </pivotArea>
    </format>
    <format dxfId="1665">
      <pivotArea dataOnly="0" labelOnly="1" outline="0" fieldPosition="0">
        <references count="5">
          <reference field="0" count="1" selected="0">
            <x v="2115"/>
          </reference>
          <reference field="1" count="1" selected="0">
            <x v="73"/>
          </reference>
          <reference field="2" count="1" selected="0">
            <x v="15"/>
          </reference>
          <reference field="3" count="1" selected="0">
            <x v="13"/>
          </reference>
          <reference field="4" count="1">
            <x v="145"/>
          </reference>
        </references>
      </pivotArea>
    </format>
    <format dxfId="1664">
      <pivotArea dataOnly="0" labelOnly="1" outline="0" fieldPosition="0">
        <references count="5">
          <reference field="0" count="1" selected="0">
            <x v="1037"/>
          </reference>
          <reference field="1" count="1" selected="0">
            <x v="74"/>
          </reference>
          <reference field="2" count="1" selected="0">
            <x v="36"/>
          </reference>
          <reference field="3" count="1" selected="0">
            <x v="14"/>
          </reference>
          <reference field="4" count="1">
            <x v="133"/>
          </reference>
        </references>
      </pivotArea>
    </format>
    <format dxfId="1663">
      <pivotArea dataOnly="0" labelOnly="1" outline="0" fieldPosition="0">
        <references count="5">
          <reference field="0" count="1" selected="0">
            <x v="683"/>
          </reference>
          <reference field="1" count="1" selected="0">
            <x v="75"/>
          </reference>
          <reference field="2" count="1" selected="0">
            <x v="36"/>
          </reference>
          <reference field="3" count="1" selected="0">
            <x v="14"/>
          </reference>
          <reference field="4" count="1">
            <x v="157"/>
          </reference>
        </references>
      </pivotArea>
    </format>
    <format dxfId="1662">
      <pivotArea dataOnly="0" labelOnly="1" outline="0" fieldPosition="0">
        <references count="5">
          <reference field="0" count="1" selected="0">
            <x v="2776"/>
          </reference>
          <reference field="1" count="1" selected="0">
            <x v="76"/>
          </reference>
          <reference field="2" count="1" selected="0">
            <x v="15"/>
          </reference>
          <reference field="3" count="1" selected="0">
            <x v="12"/>
          </reference>
          <reference field="4" count="1">
            <x v="141"/>
          </reference>
        </references>
      </pivotArea>
    </format>
    <format dxfId="1661">
      <pivotArea dataOnly="0" labelOnly="1" outline="0" fieldPosition="0">
        <references count="5">
          <reference field="0" count="1" selected="0">
            <x v="124"/>
          </reference>
          <reference field="1" count="1" selected="0">
            <x v="77"/>
          </reference>
          <reference field="2" count="1" selected="0">
            <x v="15"/>
          </reference>
          <reference field="3" count="1" selected="0">
            <x v="14"/>
          </reference>
          <reference field="4" count="1">
            <x v="139"/>
          </reference>
        </references>
      </pivotArea>
    </format>
    <format dxfId="1660">
      <pivotArea dataOnly="0" labelOnly="1" outline="0" fieldPosition="0">
        <references count="6">
          <reference field="0" count="1" selected="0">
            <x v="600"/>
          </reference>
          <reference field="1" count="1" selected="0">
            <x v="52"/>
          </reference>
          <reference field="2" count="1" selected="0">
            <x v="27"/>
          </reference>
          <reference field="3" count="1" selected="0">
            <x v="13"/>
          </reference>
          <reference field="4" count="1" selected="0">
            <x v="137"/>
          </reference>
          <reference field="5" count="1">
            <x v="3"/>
          </reference>
        </references>
      </pivotArea>
    </format>
    <format dxfId="1659">
      <pivotArea dataOnly="0" labelOnly="1" outline="0" fieldPosition="0">
        <references count="6">
          <reference field="0" count="1" selected="0">
            <x v="2176"/>
          </reference>
          <reference field="1" count="1" selected="0">
            <x v="57"/>
          </reference>
          <reference field="2" count="1" selected="0">
            <x v="36"/>
          </reference>
          <reference field="3" count="1" selected="0">
            <x v="17"/>
          </reference>
          <reference field="4" count="1" selected="0">
            <x v="173"/>
          </reference>
          <reference field="5" count="1">
            <x v="6"/>
          </reference>
        </references>
      </pivotArea>
    </format>
    <format dxfId="1658">
      <pivotArea dataOnly="0" labelOnly="1" outline="0" fieldPosition="0">
        <references count="6">
          <reference field="0" count="1" selected="0">
            <x v="184"/>
          </reference>
          <reference field="1" count="1" selected="0">
            <x v="61"/>
          </reference>
          <reference field="2" count="1" selected="0">
            <x v="0"/>
          </reference>
          <reference field="3" count="1" selected="0">
            <x v="12"/>
          </reference>
          <reference field="4" count="1" selected="0">
            <x v="136"/>
          </reference>
          <reference field="5" count="1">
            <x v="10"/>
          </reference>
        </references>
      </pivotArea>
    </format>
    <format dxfId="1657">
      <pivotArea dataOnly="0" labelOnly="1" outline="0" fieldPosition="0">
        <references count="6">
          <reference field="0" count="1" selected="0">
            <x v="1415"/>
          </reference>
          <reference field="1" count="1" selected="0">
            <x v="62"/>
          </reference>
          <reference field="2" count="1" selected="0">
            <x v="27"/>
          </reference>
          <reference field="3" count="1" selected="0">
            <x v="14"/>
          </reference>
          <reference field="4" count="1" selected="0">
            <x v="139"/>
          </reference>
          <reference field="5" count="1">
            <x v="9"/>
          </reference>
        </references>
      </pivotArea>
    </format>
    <format dxfId="1656">
      <pivotArea dataOnly="0" labelOnly="1" outline="0" fieldPosition="0">
        <references count="6">
          <reference field="0" count="1" selected="0">
            <x v="2675"/>
          </reference>
          <reference field="1" count="1" selected="0">
            <x v="65"/>
          </reference>
          <reference field="2" count="1" selected="0">
            <x v="27"/>
          </reference>
          <reference field="3" count="1" selected="0">
            <x v="15"/>
          </reference>
          <reference field="4" count="1" selected="0">
            <x v="156"/>
          </reference>
          <reference field="5" count="1">
            <x v="3"/>
          </reference>
        </references>
      </pivotArea>
    </format>
    <format dxfId="1655">
      <pivotArea dataOnly="0" labelOnly="1" outline="0" fieldPosition="0">
        <references count="6">
          <reference field="0" count="1" selected="0">
            <x v="2026"/>
          </reference>
          <reference field="1" count="1" selected="0">
            <x v="66"/>
          </reference>
          <reference field="2" count="1" selected="0">
            <x v="27"/>
          </reference>
          <reference field="3" count="1" selected="0">
            <x v="13"/>
          </reference>
          <reference field="4" count="1" selected="0">
            <x v="136"/>
          </reference>
          <reference field="5" count="1">
            <x v="4"/>
          </reference>
        </references>
      </pivotArea>
    </format>
    <format dxfId="1654">
      <pivotArea dataOnly="0" labelOnly="1" outline="0" fieldPosition="0">
        <references count="6">
          <reference field="0" count="1" selected="0">
            <x v="1848"/>
          </reference>
          <reference field="1" count="1" selected="0">
            <x v="67"/>
          </reference>
          <reference field="2" count="1" selected="0">
            <x v="27"/>
          </reference>
          <reference field="3" count="1" selected="0">
            <x v="15"/>
          </reference>
          <reference field="4" count="1" selected="0">
            <x v="150"/>
          </reference>
          <reference field="5" count="1">
            <x v="3"/>
          </reference>
        </references>
      </pivotArea>
    </format>
    <format dxfId="1653">
      <pivotArea dataOnly="0" labelOnly="1" outline="0" fieldPosition="0">
        <references count="6">
          <reference field="0" count="1" selected="0">
            <x v="487"/>
          </reference>
          <reference field="1" count="1" selected="0">
            <x v="69"/>
          </reference>
          <reference field="2" count="1" selected="0">
            <x v="15"/>
          </reference>
          <reference field="3" count="1" selected="0">
            <x v="13"/>
          </reference>
          <reference field="4" count="1" selected="0">
            <x v="141"/>
          </reference>
          <reference field="5" count="1">
            <x v="21"/>
          </reference>
        </references>
      </pivotArea>
    </format>
    <format dxfId="1652">
      <pivotArea dataOnly="0" labelOnly="1" outline="0" fieldPosition="0">
        <references count="6">
          <reference field="0" count="1" selected="0">
            <x v="2226"/>
          </reference>
          <reference field="1" count="1" selected="0">
            <x v="70"/>
          </reference>
          <reference field="2" count="1" selected="0">
            <x v="36"/>
          </reference>
          <reference field="3" count="1" selected="0">
            <x v="14"/>
          </reference>
          <reference field="4" count="1" selected="0">
            <x v="143"/>
          </reference>
          <reference field="5" count="1">
            <x v="4"/>
          </reference>
        </references>
      </pivotArea>
    </format>
    <format dxfId="1651">
      <pivotArea dataOnly="0" labelOnly="1" outline="0" fieldPosition="0">
        <references count="6">
          <reference field="0" count="1" selected="0">
            <x v="2327"/>
          </reference>
          <reference field="1" count="1" selected="0">
            <x v="71"/>
          </reference>
          <reference field="2" count="1" selected="0">
            <x v="36"/>
          </reference>
          <reference field="3" count="1" selected="0">
            <x v="16"/>
          </reference>
          <reference field="4" count="1" selected="0">
            <x v="136"/>
          </reference>
          <reference field="5" count="1">
            <x v="6"/>
          </reference>
        </references>
      </pivotArea>
    </format>
    <format dxfId="1650">
      <pivotArea dataOnly="0" labelOnly="1" outline="0" fieldPosition="0">
        <references count="6">
          <reference field="0" count="1" selected="0">
            <x v="1037"/>
          </reference>
          <reference field="1" count="1" selected="0">
            <x v="74"/>
          </reference>
          <reference field="2" count="1" selected="0">
            <x v="36"/>
          </reference>
          <reference field="3" count="1" selected="0">
            <x v="14"/>
          </reference>
          <reference field="4" count="1" selected="0">
            <x v="133"/>
          </reference>
          <reference field="5" count="1">
            <x v="5"/>
          </reference>
        </references>
      </pivotArea>
    </format>
    <format dxfId="1649">
      <pivotArea dataOnly="0" labelOnly="1" outline="0" fieldPosition="0">
        <references count="6">
          <reference field="0" count="1" selected="0">
            <x v="683"/>
          </reference>
          <reference field="1" count="1" selected="0">
            <x v="75"/>
          </reference>
          <reference field="2" count="1" selected="0">
            <x v="36"/>
          </reference>
          <reference field="3" count="1" selected="0">
            <x v="14"/>
          </reference>
          <reference field="4" count="1" selected="0">
            <x v="157"/>
          </reference>
          <reference field="5" count="1">
            <x v="2"/>
          </reference>
        </references>
      </pivotArea>
    </format>
    <format dxfId="1648">
      <pivotArea dataOnly="0" labelOnly="1" outline="0" fieldPosition="0">
        <references count="6">
          <reference field="0" count="1" selected="0">
            <x v="2776"/>
          </reference>
          <reference field="1" count="1" selected="0">
            <x v="76"/>
          </reference>
          <reference field="2" count="1" selected="0">
            <x v="15"/>
          </reference>
          <reference field="3" count="1" selected="0">
            <x v="12"/>
          </reference>
          <reference field="4" count="1" selected="0">
            <x v="141"/>
          </reference>
          <reference field="5" count="1">
            <x v="21"/>
          </reference>
        </references>
      </pivotArea>
    </format>
    <format dxfId="1647">
      <pivotArea dataOnly="0" labelOnly="1" outline="0" fieldPosition="0">
        <references count="6">
          <reference field="0" count="1" selected="0">
            <x v="124"/>
          </reference>
          <reference field="1" count="1" selected="0">
            <x v="77"/>
          </reference>
          <reference field="2" count="1" selected="0">
            <x v="15"/>
          </reference>
          <reference field="3" count="1" selected="0">
            <x v="14"/>
          </reference>
          <reference field="4" count="1" selected="0">
            <x v="139"/>
          </reference>
          <reference field="5" count="1">
            <x v="7"/>
          </reference>
        </references>
      </pivotArea>
    </format>
    <format dxfId="1646">
      <pivotArea dataOnly="0" labelOnly="1" outline="0" fieldPosition="0">
        <references count="7">
          <reference field="0" count="1" selected="0">
            <x v="600"/>
          </reference>
          <reference field="1" count="1" selected="0">
            <x v="52"/>
          </reference>
          <reference field="2" count="1" selected="0">
            <x v="27"/>
          </reference>
          <reference field="3" count="1" selected="0">
            <x v="13"/>
          </reference>
          <reference field="4" count="1" selected="0">
            <x v="137"/>
          </reference>
          <reference field="5" count="1" selected="0">
            <x v="3"/>
          </reference>
          <reference field="6" count="1">
            <x v="11"/>
          </reference>
        </references>
      </pivotArea>
    </format>
    <format dxfId="1645">
      <pivotArea dataOnly="0" labelOnly="1" outline="0" fieldPosition="0">
        <references count="7">
          <reference field="0" count="1" selected="0">
            <x v="2176"/>
          </reference>
          <reference field="1" count="1" selected="0">
            <x v="57"/>
          </reference>
          <reference field="2" count="1" selected="0">
            <x v="36"/>
          </reference>
          <reference field="3" count="1" selected="0">
            <x v="17"/>
          </reference>
          <reference field="4" count="1" selected="0">
            <x v="173"/>
          </reference>
          <reference field="5" count="1" selected="0">
            <x v="6"/>
          </reference>
          <reference field="6" count="1">
            <x v="15"/>
          </reference>
        </references>
      </pivotArea>
    </format>
    <format dxfId="1644">
      <pivotArea dataOnly="0" labelOnly="1" outline="0" fieldPosition="0">
        <references count="7">
          <reference field="0" count="1" selected="0">
            <x v="184"/>
          </reference>
          <reference field="1" count="1" selected="0">
            <x v="61"/>
          </reference>
          <reference field="2" count="1" selected="0">
            <x v="0"/>
          </reference>
          <reference field="3" count="1" selected="0">
            <x v="12"/>
          </reference>
          <reference field="4" count="1" selected="0">
            <x v="136"/>
          </reference>
          <reference field="5" count="1" selected="0">
            <x v="10"/>
          </reference>
          <reference field="6" count="1">
            <x v="17"/>
          </reference>
        </references>
      </pivotArea>
    </format>
    <format dxfId="1643">
      <pivotArea dataOnly="0" labelOnly="1" outline="0" fieldPosition="0">
        <references count="7">
          <reference field="0" count="1" selected="0">
            <x v="2675"/>
          </reference>
          <reference field="1" count="1" selected="0">
            <x v="65"/>
          </reference>
          <reference field="2" count="1" selected="0">
            <x v="27"/>
          </reference>
          <reference field="3" count="1" selected="0">
            <x v="15"/>
          </reference>
          <reference field="4" count="1" selected="0">
            <x v="156"/>
          </reference>
          <reference field="5" count="1" selected="0">
            <x v="3"/>
          </reference>
          <reference field="6" count="1">
            <x v="11"/>
          </reference>
        </references>
      </pivotArea>
    </format>
    <format dxfId="1642">
      <pivotArea dataOnly="0" labelOnly="1" outline="0" fieldPosition="0">
        <references count="7">
          <reference field="0" count="1" selected="0">
            <x v="2026"/>
          </reference>
          <reference field="1" count="1" selected="0">
            <x v="66"/>
          </reference>
          <reference field="2" count="1" selected="0">
            <x v="27"/>
          </reference>
          <reference field="3" count="1" selected="0">
            <x v="13"/>
          </reference>
          <reference field="4" count="1" selected="0">
            <x v="136"/>
          </reference>
          <reference field="5" count="1" selected="0">
            <x v="4"/>
          </reference>
          <reference field="6" count="1">
            <x v="20"/>
          </reference>
        </references>
      </pivotArea>
    </format>
    <format dxfId="1641">
      <pivotArea dataOnly="0" labelOnly="1" outline="0" fieldPosition="0">
        <references count="7">
          <reference field="0" count="1" selected="0">
            <x v="1848"/>
          </reference>
          <reference field="1" count="1" selected="0">
            <x v="67"/>
          </reference>
          <reference field="2" count="1" selected="0">
            <x v="27"/>
          </reference>
          <reference field="3" count="1" selected="0">
            <x v="15"/>
          </reference>
          <reference field="4" count="1" selected="0">
            <x v="150"/>
          </reference>
          <reference field="5" count="1" selected="0">
            <x v="3"/>
          </reference>
          <reference field="6" count="1">
            <x v="11"/>
          </reference>
        </references>
      </pivotArea>
    </format>
    <format dxfId="1640">
      <pivotArea dataOnly="0" labelOnly="1" outline="0" fieldPosition="0">
        <references count="7">
          <reference field="0" count="1" selected="0">
            <x v="487"/>
          </reference>
          <reference field="1" count="1" selected="0">
            <x v="69"/>
          </reference>
          <reference field="2" count="1" selected="0">
            <x v="15"/>
          </reference>
          <reference field="3" count="1" selected="0">
            <x v="13"/>
          </reference>
          <reference field="4" count="1" selected="0">
            <x v="141"/>
          </reference>
          <reference field="5" count="1" selected="0">
            <x v="21"/>
          </reference>
          <reference field="6" count="1">
            <x v="20"/>
          </reference>
        </references>
      </pivotArea>
    </format>
    <format dxfId="1639">
      <pivotArea dataOnly="0" labelOnly="1" outline="0" fieldPosition="0">
        <references count="7">
          <reference field="0" count="1" selected="0">
            <x v="2226"/>
          </reference>
          <reference field="1" count="1" selected="0">
            <x v="70"/>
          </reference>
          <reference field="2" count="1" selected="0">
            <x v="36"/>
          </reference>
          <reference field="3" count="1" selected="0">
            <x v="14"/>
          </reference>
          <reference field="4" count="1" selected="0">
            <x v="143"/>
          </reference>
          <reference field="5" count="1" selected="0">
            <x v="4"/>
          </reference>
          <reference field="6" count="1">
            <x v="11"/>
          </reference>
        </references>
      </pivotArea>
    </format>
    <format dxfId="1638">
      <pivotArea dataOnly="0" labelOnly="1" outline="0" fieldPosition="0">
        <references count="7">
          <reference field="0" count="1" selected="0">
            <x v="2327"/>
          </reference>
          <reference field="1" count="1" selected="0">
            <x v="71"/>
          </reference>
          <reference field="2" count="1" selected="0">
            <x v="36"/>
          </reference>
          <reference field="3" count="1" selected="0">
            <x v="16"/>
          </reference>
          <reference field="4" count="1" selected="0">
            <x v="136"/>
          </reference>
          <reference field="5" count="1" selected="0">
            <x v="6"/>
          </reference>
          <reference field="6" count="1">
            <x v="15"/>
          </reference>
        </references>
      </pivotArea>
    </format>
    <format dxfId="1637">
      <pivotArea dataOnly="0" labelOnly="1" outline="0" fieldPosition="0">
        <references count="7">
          <reference field="0" count="1" selected="0">
            <x v="2115"/>
          </reference>
          <reference field="1" count="1" selected="0">
            <x v="73"/>
          </reference>
          <reference field="2" count="1" selected="0">
            <x v="15"/>
          </reference>
          <reference field="3" count="1" selected="0">
            <x v="13"/>
          </reference>
          <reference field="4" count="1" selected="0">
            <x v="145"/>
          </reference>
          <reference field="5" count="1" selected="0">
            <x v="6"/>
          </reference>
          <reference field="6" count="1">
            <x v="14"/>
          </reference>
        </references>
      </pivotArea>
    </format>
    <format dxfId="1636">
      <pivotArea dataOnly="0" labelOnly="1" outline="0" fieldPosition="0">
        <references count="7">
          <reference field="0" count="1" selected="0">
            <x v="1037"/>
          </reference>
          <reference field="1" count="1" selected="0">
            <x v="74"/>
          </reference>
          <reference field="2" count="1" selected="0">
            <x v="36"/>
          </reference>
          <reference field="3" count="1" selected="0">
            <x v="14"/>
          </reference>
          <reference field="4" count="1" selected="0">
            <x v="133"/>
          </reference>
          <reference field="5" count="1" selected="0">
            <x v="5"/>
          </reference>
          <reference field="6" count="1">
            <x v="15"/>
          </reference>
        </references>
      </pivotArea>
    </format>
    <format dxfId="1635">
      <pivotArea dataOnly="0" labelOnly="1" outline="0" fieldPosition="0">
        <references count="7">
          <reference field="0" count="1" selected="0">
            <x v="683"/>
          </reference>
          <reference field="1" count="1" selected="0">
            <x v="75"/>
          </reference>
          <reference field="2" count="1" selected="0">
            <x v="36"/>
          </reference>
          <reference field="3" count="1" selected="0">
            <x v="14"/>
          </reference>
          <reference field="4" count="1" selected="0">
            <x v="157"/>
          </reference>
          <reference field="5" count="1" selected="0">
            <x v="2"/>
          </reference>
          <reference field="6" count="1">
            <x v="20"/>
          </reference>
        </references>
      </pivotArea>
    </format>
    <format dxfId="1634">
      <pivotArea dataOnly="0" labelOnly="1" outline="0" fieldPosition="0">
        <references count="7">
          <reference field="0" count="1" selected="0">
            <x v="124"/>
          </reference>
          <reference field="1" count="1" selected="0">
            <x v="77"/>
          </reference>
          <reference field="2" count="1" selected="0">
            <x v="15"/>
          </reference>
          <reference field="3" count="1" selected="0">
            <x v="14"/>
          </reference>
          <reference field="4" count="1" selected="0">
            <x v="139"/>
          </reference>
          <reference field="5" count="1" selected="0">
            <x v="7"/>
          </reference>
          <reference field="6" count="1">
            <x v="15"/>
          </reference>
        </references>
      </pivotArea>
    </format>
    <format dxfId="1633">
      <pivotArea dataOnly="0" labelOnly="1" outline="0" fieldPosition="0">
        <references count="8">
          <reference field="0" count="1" selected="0">
            <x v="600"/>
          </reference>
          <reference field="1" count="1" selected="0">
            <x v="52"/>
          </reference>
          <reference field="2" count="1" selected="0">
            <x v="27"/>
          </reference>
          <reference field="3" count="1" selected="0">
            <x v="13"/>
          </reference>
          <reference field="4" count="1" selected="0">
            <x v="137"/>
          </reference>
          <reference field="5" count="1" selected="0">
            <x v="3"/>
          </reference>
          <reference field="6" count="1" selected="0">
            <x v="11"/>
          </reference>
          <reference field="7" count="1">
            <x v="208"/>
          </reference>
        </references>
      </pivotArea>
    </format>
    <format dxfId="1632">
      <pivotArea dataOnly="0" labelOnly="1" outline="0" fieldPosition="0">
        <references count="8">
          <reference field="0" count="1" selected="0">
            <x v="2176"/>
          </reference>
          <reference field="1" count="1" selected="0">
            <x v="57"/>
          </reference>
          <reference field="2" count="1" selected="0">
            <x v="36"/>
          </reference>
          <reference field="3" count="1" selected="0">
            <x v="17"/>
          </reference>
          <reference field="4" count="1" selected="0">
            <x v="173"/>
          </reference>
          <reference field="5" count="1" selected="0">
            <x v="6"/>
          </reference>
          <reference field="6" count="1" selected="0">
            <x v="15"/>
          </reference>
          <reference field="7" count="1">
            <x v="208"/>
          </reference>
        </references>
      </pivotArea>
    </format>
    <format dxfId="1631">
      <pivotArea dataOnly="0" labelOnly="1" outline="0" fieldPosition="0">
        <references count="8">
          <reference field="0" count="1" selected="0">
            <x v="184"/>
          </reference>
          <reference field="1" count="1" selected="0">
            <x v="61"/>
          </reference>
          <reference field="2" count="1" selected="0">
            <x v="0"/>
          </reference>
          <reference field="3" count="1" selected="0">
            <x v="12"/>
          </reference>
          <reference field="4" count="1" selected="0">
            <x v="136"/>
          </reference>
          <reference field="5" count="1" selected="0">
            <x v="10"/>
          </reference>
          <reference field="6" count="1" selected="0">
            <x v="17"/>
          </reference>
          <reference field="7" count="1">
            <x v="249"/>
          </reference>
        </references>
      </pivotArea>
    </format>
    <format dxfId="1630">
      <pivotArea dataOnly="0" labelOnly="1" outline="0" fieldPosition="0">
        <references count="8">
          <reference field="0" count="1" selected="0">
            <x v="1415"/>
          </reference>
          <reference field="1" count="1" selected="0">
            <x v="62"/>
          </reference>
          <reference field="2" count="1" selected="0">
            <x v="27"/>
          </reference>
          <reference field="3" count="1" selected="0">
            <x v="14"/>
          </reference>
          <reference field="4" count="1" selected="0">
            <x v="139"/>
          </reference>
          <reference field="5" count="1" selected="0">
            <x v="9"/>
          </reference>
          <reference field="6" count="1" selected="0">
            <x v="17"/>
          </reference>
          <reference field="7" count="1">
            <x v="191"/>
          </reference>
        </references>
      </pivotArea>
    </format>
    <format dxfId="1629">
      <pivotArea dataOnly="0" labelOnly="1" outline="0" fieldPosition="0">
        <references count="8">
          <reference field="0" count="1" selected="0">
            <x v="2675"/>
          </reference>
          <reference field="1" count="1" selected="0">
            <x v="65"/>
          </reference>
          <reference field="2" count="1" selected="0">
            <x v="27"/>
          </reference>
          <reference field="3" count="1" selected="0">
            <x v="15"/>
          </reference>
          <reference field="4" count="1" selected="0">
            <x v="156"/>
          </reference>
          <reference field="5" count="1" selected="0">
            <x v="3"/>
          </reference>
          <reference field="6" count="1" selected="0">
            <x v="11"/>
          </reference>
          <reference field="7" count="1">
            <x v="274"/>
          </reference>
        </references>
      </pivotArea>
    </format>
    <format dxfId="1628">
      <pivotArea dataOnly="0" labelOnly="1" outline="0" fieldPosition="0">
        <references count="8">
          <reference field="0" count="1" selected="0">
            <x v="2026"/>
          </reference>
          <reference field="1" count="1" selected="0">
            <x v="66"/>
          </reference>
          <reference field="2" count="1" selected="0">
            <x v="27"/>
          </reference>
          <reference field="3" count="1" selected="0">
            <x v="13"/>
          </reference>
          <reference field="4" count="1" selected="0">
            <x v="136"/>
          </reference>
          <reference field="5" count="1" selected="0">
            <x v="4"/>
          </reference>
          <reference field="6" count="1" selected="0">
            <x v="20"/>
          </reference>
          <reference field="7" count="1">
            <x v="332"/>
          </reference>
        </references>
      </pivotArea>
    </format>
    <format dxfId="1627">
      <pivotArea dataOnly="0" labelOnly="1" outline="0" fieldPosition="0">
        <references count="8">
          <reference field="0" count="1" selected="0">
            <x v="1848"/>
          </reference>
          <reference field="1" count="1" selected="0">
            <x v="67"/>
          </reference>
          <reference field="2" count="1" selected="0">
            <x v="27"/>
          </reference>
          <reference field="3" count="1" selected="0">
            <x v="15"/>
          </reference>
          <reference field="4" count="1" selected="0">
            <x v="150"/>
          </reference>
          <reference field="5" count="1" selected="0">
            <x v="3"/>
          </reference>
          <reference field="6" count="1" selected="0">
            <x v="11"/>
          </reference>
          <reference field="7" count="1">
            <x v="271"/>
          </reference>
        </references>
      </pivotArea>
    </format>
    <format dxfId="1626">
      <pivotArea dataOnly="0" labelOnly="1" outline="0" fieldPosition="0">
        <references count="8">
          <reference field="0" count="1" selected="0">
            <x v="487"/>
          </reference>
          <reference field="1" count="1" selected="0">
            <x v="69"/>
          </reference>
          <reference field="2" count="1" selected="0">
            <x v="15"/>
          </reference>
          <reference field="3" count="1" selected="0">
            <x v="13"/>
          </reference>
          <reference field="4" count="1" selected="0">
            <x v="141"/>
          </reference>
          <reference field="5" count="1" selected="0">
            <x v="21"/>
          </reference>
          <reference field="6" count="1" selected="0">
            <x v="20"/>
          </reference>
          <reference field="7" count="1">
            <x v="313"/>
          </reference>
        </references>
      </pivotArea>
    </format>
    <format dxfId="1625">
      <pivotArea dataOnly="0" labelOnly="1" outline="0" fieldPosition="0">
        <references count="8">
          <reference field="0" count="1" selected="0">
            <x v="2226"/>
          </reference>
          <reference field="1" count="1" selected="0">
            <x v="70"/>
          </reference>
          <reference field="2" count="1" selected="0">
            <x v="36"/>
          </reference>
          <reference field="3" count="1" selected="0">
            <x v="14"/>
          </reference>
          <reference field="4" count="1" selected="0">
            <x v="143"/>
          </reference>
          <reference field="5" count="1" selected="0">
            <x v="4"/>
          </reference>
          <reference field="6" count="1" selected="0">
            <x v="11"/>
          </reference>
          <reference field="7" count="1">
            <x v="18"/>
          </reference>
        </references>
      </pivotArea>
    </format>
    <format dxfId="1624">
      <pivotArea dataOnly="0" labelOnly="1" outline="0" fieldPosition="0">
        <references count="8">
          <reference field="0" count="1" selected="0">
            <x v="2327"/>
          </reference>
          <reference field="1" count="1" selected="0">
            <x v="71"/>
          </reference>
          <reference field="2" count="1" selected="0">
            <x v="36"/>
          </reference>
          <reference field="3" count="1" selected="0">
            <x v="16"/>
          </reference>
          <reference field="4" count="1" selected="0">
            <x v="136"/>
          </reference>
          <reference field="5" count="1" selected="0">
            <x v="6"/>
          </reference>
          <reference field="6" count="1" selected="0">
            <x v="15"/>
          </reference>
          <reference field="7" count="1">
            <x v="87"/>
          </reference>
        </references>
      </pivotArea>
    </format>
    <format dxfId="1623">
      <pivotArea dataOnly="0" labelOnly="1" outline="0" fieldPosition="0">
        <references count="8">
          <reference field="0" count="1" selected="0">
            <x v="2115"/>
          </reference>
          <reference field="1" count="1" selected="0">
            <x v="73"/>
          </reference>
          <reference field="2" count="1" selected="0">
            <x v="15"/>
          </reference>
          <reference field="3" count="1" selected="0">
            <x v="13"/>
          </reference>
          <reference field="4" count="1" selected="0">
            <x v="145"/>
          </reference>
          <reference field="5" count="1" selected="0">
            <x v="6"/>
          </reference>
          <reference field="6" count="1" selected="0">
            <x v="14"/>
          </reference>
          <reference field="7" count="1">
            <x v="111"/>
          </reference>
        </references>
      </pivotArea>
    </format>
    <format dxfId="1622">
      <pivotArea dataOnly="0" labelOnly="1" outline="0" fieldPosition="0">
        <references count="8">
          <reference field="0" count="1" selected="0">
            <x v="1037"/>
          </reference>
          <reference field="1" count="1" selected="0">
            <x v="74"/>
          </reference>
          <reference field="2" count="1" selected="0">
            <x v="36"/>
          </reference>
          <reference field="3" count="1" selected="0">
            <x v="14"/>
          </reference>
          <reference field="4" count="1" selected="0">
            <x v="133"/>
          </reference>
          <reference field="5" count="1" selected="0">
            <x v="5"/>
          </reference>
          <reference field="6" count="1" selected="0">
            <x v="15"/>
          </reference>
          <reference field="7" count="1">
            <x v="140"/>
          </reference>
        </references>
      </pivotArea>
    </format>
    <format dxfId="1621">
      <pivotArea dataOnly="0" labelOnly="1" outline="0" fieldPosition="0">
        <references count="8">
          <reference field="0" count="1" selected="0">
            <x v="683"/>
          </reference>
          <reference field="1" count="1" selected="0">
            <x v="75"/>
          </reference>
          <reference field="2" count="1" selected="0">
            <x v="36"/>
          </reference>
          <reference field="3" count="1" selected="0">
            <x v="14"/>
          </reference>
          <reference field="4" count="1" selected="0">
            <x v="157"/>
          </reference>
          <reference field="5" count="1" selected="0">
            <x v="2"/>
          </reference>
          <reference field="6" count="1" selected="0">
            <x v="20"/>
          </reference>
          <reference field="7" count="1">
            <x v="126"/>
          </reference>
        </references>
      </pivotArea>
    </format>
    <format dxfId="1620">
      <pivotArea dataOnly="0" labelOnly="1" outline="0" fieldPosition="0">
        <references count="8">
          <reference field="0" count="1" selected="0">
            <x v="2776"/>
          </reference>
          <reference field="1" count="1" selected="0">
            <x v="76"/>
          </reference>
          <reference field="2" count="1" selected="0">
            <x v="15"/>
          </reference>
          <reference field="3" count="1" selected="0">
            <x v="12"/>
          </reference>
          <reference field="4" count="1" selected="0">
            <x v="141"/>
          </reference>
          <reference field="5" count="1" selected="0">
            <x v="21"/>
          </reference>
          <reference field="6" count="1" selected="0">
            <x v="20"/>
          </reference>
          <reference field="7" count="1">
            <x v="288"/>
          </reference>
        </references>
      </pivotArea>
    </format>
    <format dxfId="1619">
      <pivotArea dataOnly="0" labelOnly="1" outline="0" fieldPosition="0">
        <references count="8">
          <reference field="0" count="1" selected="0">
            <x v="124"/>
          </reference>
          <reference field="1" count="1" selected="0">
            <x v="77"/>
          </reference>
          <reference field="2" count="1" selected="0">
            <x v="15"/>
          </reference>
          <reference field="3" count="1" selected="0">
            <x v="14"/>
          </reference>
          <reference field="4" count="1" selected="0">
            <x v="139"/>
          </reference>
          <reference field="5" count="1" selected="0">
            <x v="7"/>
          </reference>
          <reference field="6" count="1" selected="0">
            <x v="15"/>
          </reference>
          <reference field="7" count="1">
            <x v="76"/>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7541186-024E-4B4C-8388-43E6B4996841}" name="Tabela dinâmica13"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14:AT15" firstHeaderRow="1" firstDataRow="1" firstDataCol="8"/>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x="8"/>
        <item h="1" x="1"/>
        <item h="1"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
    <i>
      <x v="3"/>
      <x v="371"/>
      <x v="22"/>
      <x v="8"/>
      <x v="42"/>
      <x v="1"/>
      <x v="20"/>
      <x v="142"/>
    </i>
  </rowItems>
  <colItems count="1">
    <i/>
  </colItems>
  <formats count="8">
    <format dxfId="1722">
      <pivotArea dataOnly="0" labelOnly="1" outline="0" fieldPosition="0">
        <references count="1">
          <reference field="1" count="1">
            <x v="3"/>
          </reference>
        </references>
      </pivotArea>
    </format>
    <format dxfId="1721">
      <pivotArea dataOnly="0" labelOnly="1" outline="0" fieldPosition="0">
        <references count="2">
          <reference field="0" count="1">
            <x v="371"/>
          </reference>
          <reference field="1" count="1" selected="0">
            <x v="3"/>
          </reference>
        </references>
      </pivotArea>
    </format>
    <format dxfId="1720">
      <pivotArea dataOnly="0" labelOnly="1" outline="0" fieldPosition="0">
        <references count="3">
          <reference field="0" count="1" selected="0">
            <x v="371"/>
          </reference>
          <reference field="1" count="1" selected="0">
            <x v="3"/>
          </reference>
          <reference field="2" count="0"/>
        </references>
      </pivotArea>
    </format>
    <format dxfId="1719">
      <pivotArea dataOnly="0" labelOnly="1" outline="0" fieldPosition="0">
        <references count="4">
          <reference field="0" count="1" selected="0">
            <x v="371"/>
          </reference>
          <reference field="1" count="1" selected="0">
            <x v="3"/>
          </reference>
          <reference field="2" count="0" selected="0"/>
          <reference field="3" count="1">
            <x v="8"/>
          </reference>
        </references>
      </pivotArea>
    </format>
    <format dxfId="1718">
      <pivotArea dataOnly="0" labelOnly="1" outline="0" fieldPosition="0">
        <references count="5">
          <reference field="0" count="1" selected="0">
            <x v="371"/>
          </reference>
          <reference field="1" count="1" selected="0">
            <x v="3"/>
          </reference>
          <reference field="2" count="0" selected="0"/>
          <reference field="3" count="1" selected="0">
            <x v="8"/>
          </reference>
          <reference field="4" count="1">
            <x v="42"/>
          </reference>
        </references>
      </pivotArea>
    </format>
    <format dxfId="1717">
      <pivotArea dataOnly="0" labelOnly="1" outline="0" fieldPosition="0">
        <references count="6">
          <reference field="0" count="1" selected="0">
            <x v="371"/>
          </reference>
          <reference field="1" count="1" selected="0">
            <x v="3"/>
          </reference>
          <reference field="2" count="0" selected="0"/>
          <reference field="3" count="1" selected="0">
            <x v="8"/>
          </reference>
          <reference field="4" count="1" selected="0">
            <x v="42"/>
          </reference>
          <reference field="5" count="1">
            <x v="1"/>
          </reference>
        </references>
      </pivotArea>
    </format>
    <format dxfId="1716">
      <pivotArea dataOnly="0" labelOnly="1" outline="0" fieldPosition="0">
        <references count="7">
          <reference field="0" count="1" selected="0">
            <x v="371"/>
          </reference>
          <reference field="1" count="1" selected="0">
            <x v="3"/>
          </reference>
          <reference field="2" count="0" selected="0"/>
          <reference field="3" count="1" selected="0">
            <x v="8"/>
          </reference>
          <reference field="4" count="1" selected="0">
            <x v="42"/>
          </reference>
          <reference field="5" count="1" selected="0">
            <x v="1"/>
          </reference>
          <reference field="6" count="1">
            <x v="20"/>
          </reference>
        </references>
      </pivotArea>
    </format>
    <format dxfId="1715">
      <pivotArea dataOnly="0" labelOnly="1" outline="0" fieldPosition="0">
        <references count="8">
          <reference field="0" count="1" selected="0">
            <x v="371"/>
          </reference>
          <reference field="1" count="1" selected="0">
            <x v="3"/>
          </reference>
          <reference field="2" count="0" selected="0"/>
          <reference field="3" count="1" selected="0">
            <x v="8"/>
          </reference>
          <reference field="4" count="1" selected="0">
            <x v="42"/>
          </reference>
          <reference field="5" count="1" selected="0">
            <x v="1"/>
          </reference>
          <reference field="6" count="1" selected="0">
            <x v="20"/>
          </reference>
          <reference field="7" count="1">
            <x v="14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313EC1E-F1EF-406C-B204-112415753751}" name="Tabela dinâmica21" cacheId="44"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9:BA22"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x="4"/>
        <item m="1" x="40"/>
        <item x="12"/>
        <item h="1" x="18"/>
        <item h="1" m="1" x="27"/>
        <item h="1" x="2"/>
        <item h="1" x="11"/>
        <item h="1" m="1" x="30"/>
        <item h="1" m="1" x="37"/>
        <item h="1" x="10"/>
        <item h="1" m="1" x="38"/>
        <item h="1" m="1" x="28"/>
        <item x="21"/>
        <item h="1" x="20"/>
        <item h="1" m="1" x="29"/>
        <item h="1" m="1" x="26"/>
        <item h="1" m="1" x="39"/>
        <item h="1" m="1" x="31"/>
        <item h="1" m="1" x="35"/>
        <item h="1" x="19"/>
        <item h="1" x="8"/>
        <item h="1" x="1"/>
        <item h="1" x="14"/>
        <item h="1" x="22"/>
        <item h="1" m="1" x="34"/>
        <item h="1" x="3"/>
        <item h="1" x="17"/>
        <item h="1" m="1" x="25"/>
        <item h="1" x="16"/>
        <item h="1" x="7"/>
        <item h="1" x="5"/>
        <item x="9"/>
        <item m="1" x="42"/>
        <item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h="1" x="8"/>
        <item h="1" x="4"/>
        <item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3">
    <i>
      <x v="2"/>
    </i>
    <i>
      <x v="33"/>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4D62886-3A75-4460-9CA9-66D05F99D1E4}" name="Tabela dinâmica1" cacheId="44"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B1:F4" firstHeaderRow="1" firstDataRow="1" firstDataCol="5"/>
  <pivotFields count="9">
    <pivotField axis="axisRow" compact="0" outline="0" showAll="0" defaultSubtotal="0">
      <items count="2876">
        <item x="2252"/>
        <item x="1538"/>
        <item x="569"/>
        <item x="207"/>
        <item x="2656"/>
        <item x="2743"/>
        <item x="169"/>
        <item x="794"/>
        <item x="4"/>
        <item x="192"/>
        <item x="290"/>
        <item x="2702"/>
        <item x="2446"/>
        <item x="2453"/>
        <item x="1205"/>
        <item x="2016"/>
        <item x="1129"/>
        <item x="873"/>
        <item x="1312"/>
        <item x="1503"/>
        <item x="2037"/>
        <item x="1236"/>
        <item x="521"/>
        <item x="2474"/>
        <item x="1862"/>
        <item x="386"/>
        <item x="1714"/>
        <item x="1648"/>
        <item x="1767"/>
        <item x="1853"/>
        <item x="1777"/>
        <item x="2856"/>
        <item x="1869"/>
        <item x="1589"/>
        <item x="151"/>
        <item x="1479"/>
        <item x="1977"/>
        <item x="2760"/>
        <item x="2212"/>
        <item x="2596"/>
        <item x="1383"/>
        <item x="2691"/>
        <item x="2349"/>
        <item x="1997"/>
        <item x="2724"/>
        <item x="1405"/>
        <item x="2802"/>
        <item x="387"/>
        <item x="1984"/>
        <item x="488"/>
        <item x="2504"/>
        <item x="1824"/>
        <item x="1310"/>
        <item x="2862"/>
        <item x="543"/>
        <item x="1746"/>
        <item x="1219"/>
        <item x="1042"/>
        <item x="1345"/>
        <item x="1077"/>
        <item x="1437"/>
        <item x="5"/>
        <item x="2336"/>
        <item x="379"/>
        <item x="1097"/>
        <item x="2540"/>
        <item x="2382"/>
        <item x="1322"/>
        <item x="965"/>
        <item x="980"/>
        <item x="2823"/>
        <item x="1029"/>
        <item x="26"/>
        <item x="2270"/>
        <item x="541"/>
        <item x="1956"/>
        <item x="1394"/>
        <item x="2023"/>
        <item x="393"/>
        <item x="2019"/>
        <item x="2742"/>
        <item x="745"/>
        <item x="655"/>
        <item x="1866"/>
        <item x="769"/>
        <item x="2491"/>
        <item x="1833"/>
        <item x="2631"/>
        <item x="1404"/>
        <item x="2069"/>
        <item x="909"/>
        <item x="2038"/>
        <item x="75"/>
        <item x="2332"/>
        <item x="687"/>
        <item x="2397"/>
        <item x="1237"/>
        <item x="1422"/>
        <item x="452"/>
        <item x="185"/>
        <item x="2255"/>
        <item x="1630"/>
        <item x="2262"/>
        <item x="2375"/>
        <item x="1494"/>
        <item x="2827"/>
        <item x="2130"/>
        <item x="621"/>
        <item x="1261"/>
        <item x="2338"/>
        <item x="2779"/>
        <item x="635"/>
        <item x="2798"/>
        <item x="1809"/>
        <item x="1674"/>
        <item x="1131"/>
        <item x="1036"/>
        <item x="2126"/>
        <item x="2670"/>
        <item x="2224"/>
        <item x="1513"/>
        <item x="710"/>
        <item x="1786"/>
        <item x="1704"/>
        <item x="895"/>
        <item x="1851"/>
        <item x="1804"/>
        <item x="217"/>
        <item x="1571"/>
        <item x="227"/>
        <item x="2187"/>
        <item x="723"/>
        <item x="2335"/>
        <item x="283"/>
        <item x="991"/>
        <item x="112"/>
        <item x="2278"/>
        <item x="2762"/>
        <item x="2555"/>
        <item x="2556"/>
        <item x="506"/>
        <item x="1411"/>
        <item x="161"/>
        <item x="962"/>
        <item x="969"/>
        <item x="266"/>
        <item x="536"/>
        <item x="1101"/>
        <item x="1103"/>
        <item x="209"/>
        <item x="1519"/>
        <item x="1529"/>
        <item x="353"/>
        <item x="1662"/>
        <item x="2"/>
        <item x="2179"/>
        <item x="1142"/>
        <item x="1067"/>
        <item x="2861"/>
        <item x="108"/>
        <item x="2123"/>
        <item x="2310"/>
        <item x="2554"/>
        <item x="2435"/>
        <item x="698"/>
        <item x="2741"/>
        <item x="1001"/>
        <item x="1900"/>
        <item x="167"/>
        <item x="2127"/>
        <item x="1435"/>
        <item x="2429"/>
        <item x="1357"/>
        <item x="2079"/>
        <item x="1548"/>
        <item x="834"/>
        <item x="648"/>
        <item x="1192"/>
        <item x="2632"/>
        <item x="1748"/>
        <item x="666"/>
        <item x="2111"/>
        <item x="47"/>
        <item x="1501"/>
        <item x="876"/>
        <item x="2844"/>
        <item x="1418"/>
        <item x="721"/>
        <item x="177"/>
        <item x="1182"/>
        <item x="2292"/>
        <item x="1678"/>
        <item x="1"/>
        <item x="1498"/>
        <item x="401"/>
        <item x="1698"/>
        <item x="2238"/>
        <item x="2116"/>
        <item x="2390"/>
        <item x="1267"/>
        <item x="1334"/>
        <item x="622"/>
        <item x="1081"/>
        <item x="181"/>
        <item x="984"/>
        <item x="1622"/>
        <item x="455"/>
        <item x="1266"/>
        <item x="1443"/>
        <item x="376"/>
        <item x="2436"/>
        <item x="288"/>
        <item x="646"/>
        <item x="1187"/>
        <item x="2801"/>
        <item x="2637"/>
        <item x="318"/>
        <item x="242"/>
        <item x="956"/>
        <item x="338"/>
        <item x="2747"/>
        <item x="1782"/>
        <item x="1751"/>
        <item x="1150"/>
        <item x="1647"/>
        <item x="512"/>
        <item x="2580"/>
        <item x="2753"/>
        <item x="1047"/>
        <item x="250"/>
        <item x="2418"/>
        <item x="2204"/>
        <item x="1331"/>
        <item x="351"/>
        <item x="2813"/>
        <item x="1980"/>
        <item x="476"/>
        <item x="1708"/>
        <item x="810"/>
        <item x="2782"/>
        <item x="1539"/>
        <item x="1733"/>
        <item x="1815"/>
        <item x="927"/>
        <item x="2820"/>
        <item x="1489"/>
        <item x="2841"/>
        <item x="1258"/>
        <item x="2477"/>
        <item x="2693"/>
        <item x="2705"/>
        <item x="580"/>
        <item x="1123"/>
        <item x="1037"/>
        <item x="1412"/>
        <item x="2752"/>
        <item x="548"/>
        <item x="428"/>
        <item x="761"/>
        <item x="2305"/>
        <item x="2476"/>
        <item x="1926"/>
        <item x="1056"/>
        <item x="1888"/>
        <item x="2070"/>
        <item x="1268"/>
        <item x="155"/>
        <item x="1857"/>
        <item x="1354"/>
        <item x="2078"/>
        <item x="557"/>
        <item x="1543"/>
        <item x="830"/>
        <item x="1903"/>
        <item x="0"/>
        <item x="366"/>
        <item x="2339"/>
        <item x="1807"/>
        <item x="1003"/>
        <item x="2275"/>
        <item x="1291"/>
        <item x="1752"/>
        <item x="1020"/>
        <item x="1021"/>
        <item x="2647"/>
        <item x="1304"/>
        <item x="2391"/>
        <item x="691"/>
        <item x="2738"/>
        <item x="1687"/>
        <item x="1691"/>
        <item x="701"/>
        <item x="1238"/>
        <item x="345"/>
        <item x="531"/>
        <item x="450"/>
        <item x="2152"/>
        <item x="2132"/>
        <item x="1890"/>
        <item x="755"/>
        <item x="138"/>
        <item x="2750"/>
        <item x="1213"/>
        <item x="1775"/>
        <item x="1911"/>
        <item x="650"/>
        <item x="664"/>
        <item x="2216"/>
        <item x="1776"/>
        <item x="349"/>
        <item x="191"/>
        <item x="510"/>
        <item x="304"/>
        <item x="2641"/>
        <item x="1319"/>
        <item x="2320"/>
        <item x="1575"/>
        <item x="2689"/>
        <item x="2776"/>
        <item x="2074"/>
        <item x="2185"/>
        <item x="2835"/>
        <item x="1140"/>
        <item x="2655"/>
        <item x="2257"/>
        <item x="2342"/>
        <item x="933"/>
        <item x="66"/>
        <item x="1432"/>
        <item x="354"/>
        <item x="1378"/>
        <item x="1167"/>
        <item x="828"/>
        <item x="995"/>
        <item x="109"/>
        <item x="2479"/>
        <item x="2817"/>
        <item x="637"/>
        <item x="2352"/>
        <item x="1912"/>
        <item x="1918"/>
        <item x="1132"/>
        <item x="2735"/>
        <item x="160"/>
        <item x="1867"/>
        <item x="2720"/>
        <item x="2430"/>
        <item x="2616"/>
        <item x="186"/>
        <item x="2543"/>
        <item x="1143"/>
        <item x="2673"/>
        <item x="2168"/>
        <item x="1753"/>
        <item x="238"/>
        <item x="777"/>
        <item x="722"/>
        <item x="1623"/>
        <item x="1442"/>
        <item x="555"/>
        <item x="1814"/>
        <item x="1203"/>
        <item x="2804"/>
        <item x="1397"/>
        <item x="1935"/>
        <item x="2133"/>
        <item x="1974"/>
        <item x="2431"/>
        <item x="2466"/>
        <item x="2117"/>
        <item x="540"/>
        <item x="981"/>
        <item x="1324"/>
        <item x="2699"/>
        <item x="1040"/>
        <item x="781"/>
        <item x="365"/>
        <item x="285"/>
        <item x="2617"/>
        <item x="131"/>
        <item x="753"/>
        <item x="2017"/>
        <item x="2671"/>
        <item x="1981"/>
        <item x="1257"/>
        <item x="2511"/>
        <item x="1919"/>
        <item x="1764"/>
        <item x="182"/>
        <item x="1868"/>
        <item x="2688"/>
        <item x="1446"/>
        <item x="481"/>
        <item x="2288"/>
        <item x="598"/>
        <item x="1685"/>
        <item x="431"/>
        <item x="1147"/>
        <item x="437"/>
        <item x="1088"/>
        <item x="96"/>
        <item x="460"/>
        <item x="2793"/>
        <item x="2700"/>
        <item x="2085"/>
        <item x="1736"/>
        <item x="2538"/>
        <item x="1574"/>
        <item x="1832"/>
        <item x="2197"/>
        <item x="2560"/>
        <item x="2586"/>
        <item x="255"/>
        <item x="2785"/>
        <item x="2169"/>
        <item x="1816"/>
        <item x="1972"/>
        <item x="2570"/>
        <item x="2520"/>
        <item x="1251"/>
        <item x="469"/>
        <item x="2623"/>
        <item x="2315"/>
        <item x="793"/>
        <item x="445"/>
        <item x="1161"/>
        <item x="1450"/>
        <item x="1033"/>
        <item x="592"/>
        <item x="126"/>
        <item x="1484"/>
        <item x="1155"/>
        <item x="1329"/>
        <item x="1352"/>
        <item x="1590"/>
        <item x="1794"/>
        <item x="1216"/>
        <item x="1859"/>
        <item x="1717"/>
        <item x="1530"/>
        <item x="849"/>
        <item x="1676"/>
        <item x="2605"/>
        <item x="2758"/>
        <item x="2378"/>
        <item x="272"/>
        <item x="2853"/>
        <item x="1151"/>
        <item x="1785"/>
        <item x="1688"/>
        <item x="2440"/>
        <item x="1376"/>
        <item x="1119"/>
        <item x="63"/>
        <item x="789"/>
        <item x="263"/>
        <item x="2128"/>
        <item x="936"/>
        <item x="1565"/>
        <item x="312"/>
        <item x="87"/>
        <item x="79"/>
        <item x="720"/>
        <item x="2516"/>
        <item x="643"/>
        <item x="1728"/>
        <item x="2363"/>
        <item x="1392"/>
        <item x="1144"/>
        <item x="978"/>
        <item x="1165"/>
        <item x="2184"/>
        <item x="1202"/>
        <item x="2024"/>
        <item x="2532"/>
        <item x="2854"/>
        <item x="369"/>
        <item x="2661"/>
        <item x="1351"/>
        <item x="2513"/>
        <item x="2437"/>
        <item x="1631"/>
        <item x="1542"/>
        <item x="466"/>
        <item x="390"/>
        <item x="740"/>
        <item x="2710"/>
        <item x="841"/>
        <item x="482"/>
        <item x="934"/>
        <item x="2635"/>
        <item x="856"/>
        <item x="863"/>
        <item x="140"/>
        <item x="1669"/>
        <item x="1584"/>
        <item x="1496"/>
        <item x="2564"/>
        <item x="1848"/>
        <item x="2566"/>
        <item x="1136"/>
        <item x="244"/>
        <item x="2842"/>
        <item x="696"/>
        <item x="2044"/>
        <item x="2582"/>
        <item x="2148"/>
        <item x="1069"/>
        <item x="1070"/>
        <item x="2684"/>
        <item x="2597"/>
        <item x="718"/>
        <item x="2158"/>
        <item x="551"/>
        <item x="190"/>
        <item x="642"/>
        <item x="2794"/>
        <item x="2615"/>
        <item x="2267"/>
        <item x="1563"/>
        <item x="1110"/>
        <item x="1663"/>
        <item x="1577"/>
        <item x="2549"/>
        <item x="232"/>
        <item x="2118"/>
        <item x="2744"/>
        <item x="2060"/>
        <item x="1789"/>
        <item x="1256"/>
        <item x="1476"/>
        <item x="2103"/>
        <item x="286"/>
        <item x="357"/>
        <item x="2563"/>
        <item x="1904"/>
        <item x="2096"/>
        <item x="1065"/>
        <item x="399"/>
        <item x="395"/>
        <item x="412"/>
        <item x="1732"/>
        <item x="2361"/>
        <item x="833"/>
        <item x="2703"/>
        <item x="2434"/>
        <item x="500"/>
        <item x="2425"/>
        <item x="1720"/>
        <item x="2170"/>
        <item x="571"/>
        <item x="2630"/>
        <item x="2498"/>
        <item x="2595"/>
        <item x="802"/>
        <item x="118"/>
        <item x="2487"/>
        <item x="1711"/>
        <item x="640"/>
        <item x="2362"/>
        <item x="1109"/>
        <item x="1116"/>
        <item x="762"/>
        <item x="2041"/>
        <item x="2222"/>
        <item x="1157"/>
        <item x="2056"/>
        <item x="2746"/>
        <item x="2142"/>
        <item x="1482"/>
        <item x="234"/>
        <item x="55"/>
        <item x="2539"/>
        <item x="1221"/>
        <item x="1613"/>
        <item x="1791"/>
        <item x="1929"/>
        <item x="2728"/>
        <item x="1234"/>
        <item x="1462"/>
        <item x="154"/>
        <item x="443"/>
        <item x="95"/>
        <item x="900"/>
        <item x="827"/>
        <item x="1901"/>
        <item x="2645"/>
        <item x="674"/>
        <item x="1424"/>
        <item x="1335"/>
        <item x="1096"/>
        <item x="1120"/>
        <item x="94"/>
        <item x="874"/>
        <item x="813"/>
        <item x="2112"/>
        <item x="1327"/>
        <item x="1637"/>
        <item x="1920"/>
        <item x="1415"/>
        <item x="851"/>
        <item x="2383"/>
        <item x="457"/>
        <item x="987"/>
        <item x="1108"/>
        <item x="68"/>
        <item x="1145"/>
        <item x="973"/>
        <item x="484"/>
        <item x="1453"/>
        <item x="215"/>
        <item x="1295"/>
        <item x="1933"/>
        <item x="1946"/>
        <item x="2863"/>
        <item x="300"/>
        <item x="1808"/>
        <item x="1230"/>
        <item x="2493"/>
        <item x="896"/>
        <item x="805"/>
        <item x="2272"/>
        <item m="1" x="2869"/>
        <item x="1005"/>
        <item x="2194"/>
        <item x="1318"/>
        <item x="1235"/>
        <item x="2791"/>
        <item x="2857"/>
        <item x="578"/>
        <item x="1813"/>
        <item x="2201"/>
        <item x="1272"/>
        <item x="358"/>
        <item x="1301"/>
        <item x="1594"/>
        <item x="2180"/>
        <item x="2471"/>
        <item x="178"/>
        <item x="2149"/>
        <item x="101"/>
        <item x="1545"/>
        <item x="675"/>
        <item x="1181"/>
        <item x="2547"/>
        <item x="1620"/>
        <item x="2787"/>
        <item x="1905"/>
        <item x="2723"/>
        <item x="2558"/>
        <item x="1420"/>
        <item x="1425"/>
        <item x="1440"/>
        <item x="730"/>
        <item x="585"/>
        <item x="1772"/>
        <item x="2510"/>
        <item x="1524"/>
        <item x="8"/>
        <item x="2347"/>
        <item x="2174"/>
        <item x="295"/>
        <item x="2714"/>
        <item x="1483"/>
        <item x="2657"/>
        <item x="1864"/>
        <item x="1696"/>
        <item x="1876"/>
        <item x="1164"/>
        <item x="2809"/>
        <item x="1993"/>
        <item x="2002"/>
        <item x="24"/>
        <item x="218"/>
        <item x="1115"/>
        <item x="1043"/>
        <item x="1196"/>
        <item x="776"/>
        <item x="434"/>
        <item x="897"/>
        <item x="590"/>
        <item x="1591"/>
        <item x="2506"/>
        <item x="862"/>
        <item x="2345"/>
        <item x="1702"/>
        <item x="1527"/>
        <item x="2071"/>
        <item x="848"/>
        <item x="1741"/>
        <item x="1022"/>
        <item x="2394"/>
        <item x="2311"/>
        <item x="1509"/>
        <item x="1477"/>
        <item x="766"/>
        <item x="2040"/>
        <item x="1173"/>
        <item x="1137"/>
        <item x="14"/>
        <item x="269"/>
        <item x="187"/>
        <item x="2716"/>
        <item x="2497"/>
        <item x="1459"/>
        <item x="121"/>
        <item x="2408"/>
        <item x="1439"/>
        <item x="1099"/>
        <item x="2107"/>
        <item x="2233"/>
        <item x="738"/>
        <item x="2499"/>
        <item x="2626"/>
        <item x="838"/>
        <item x="2334"/>
        <item x="2155"/>
        <item x="2599"/>
        <item x="1078"/>
        <item x="1978"/>
        <item x="898"/>
        <item x="1350"/>
        <item x="2704"/>
        <item x="2648"/>
        <item x="1122"/>
        <item x="1495"/>
        <item x="765"/>
        <item x="767"/>
        <item x="951"/>
        <item x="329"/>
        <item x="1849"/>
        <item x="615"/>
        <item x="1508"/>
        <item x="350"/>
        <item x="265"/>
        <item x="1546"/>
        <item x="2318"/>
        <item x="1583"/>
        <item x="1518"/>
        <item x="2125"/>
        <item x="2177"/>
        <item x="1652"/>
        <item x="911"/>
        <item x="594"/>
        <item x="1694"/>
        <item x="402"/>
        <item x="1128"/>
        <item x="1035"/>
        <item x="771"/>
        <item x="517"/>
        <item x="2022"/>
        <item x="145"/>
        <item x="808"/>
        <item x="639"/>
        <item x="213"/>
        <item x="749"/>
        <item x="1750"/>
        <item x="673"/>
        <item x="143"/>
        <item x="2236"/>
        <item x="90"/>
        <item x="471"/>
        <item x="2449"/>
        <item x="18"/>
        <item x="69"/>
        <item x="2442"/>
        <item x="989"/>
        <item x="1086"/>
        <item x="180"/>
        <item x="256"/>
        <item x="1106"/>
        <item x="1130"/>
        <item x="1330"/>
        <item x="2575"/>
        <item x="406"/>
        <item x="1940"/>
        <item x="1217"/>
        <item x="2398"/>
        <item x="2680"/>
        <item x="1806"/>
        <item x="2551"/>
        <item x="917"/>
        <item x="17"/>
        <item x="1426"/>
        <item x="1012"/>
        <item x="1564"/>
        <item x="799"/>
        <item x="2600"/>
        <item x="2081"/>
        <item x="205"/>
        <item x="1210"/>
        <item x="1018"/>
        <item x="1930"/>
        <item x="2393"/>
        <item x="970"/>
        <item x="359"/>
        <item x="2365"/>
        <item x="46"/>
        <item x="817"/>
        <item x="2253"/>
        <item x="1014"/>
        <item x="273"/>
        <item x="2502"/>
        <item x="2072"/>
        <item x="1820"/>
        <item x="2423"/>
        <item x="2246"/>
        <item x="2348"/>
        <item x="593"/>
        <item x="1601"/>
        <item x="1860"/>
        <item x="1608"/>
        <item x="2593"/>
        <item x="2151"/>
        <item x="2727"/>
        <item x="938"/>
        <item x="2589"/>
        <item x="1347"/>
        <item x="2073"/>
        <item x="1366"/>
        <item x="843"/>
        <item x="2628"/>
        <item x="1924"/>
        <item x="870"/>
        <item x="166"/>
        <item x="665"/>
        <item x="1639"/>
        <item x="971"/>
        <item x="1338"/>
        <item x="1367"/>
        <item x="1576"/>
        <item x="422"/>
        <item x="159"/>
        <item x="1175"/>
        <item x="2207"/>
        <item x="524"/>
        <item x="1474"/>
        <item x="2156"/>
        <item x="2515"/>
        <item x="384"/>
        <item x="293"/>
        <item x="1370"/>
        <item x="1206"/>
        <item x="1667"/>
        <item x="2196"/>
        <item x="620"/>
        <item x="534"/>
        <item x="1850"/>
        <item x="2242"/>
        <item x="223"/>
        <item x="861"/>
        <item x="360"/>
        <item x="1985"/>
        <item x="2312"/>
        <item x="1724"/>
        <item x="2065"/>
        <item x="1486"/>
        <item x="2618"/>
        <item x="1039"/>
        <item x="812"/>
        <item x="296"/>
        <item x="737"/>
        <item x="2666"/>
        <item x="2419"/>
        <item x="562"/>
        <item x="2544"/>
        <item x="2355"/>
        <item x="1360"/>
        <item x="2122"/>
        <item x="429"/>
        <item x="2404"/>
        <item x="2478"/>
        <item x="1827"/>
        <item x="82"/>
        <item x="142"/>
        <item x="1992"/>
        <item x="779"/>
        <item x="478"/>
        <item x="690"/>
        <item x="1298"/>
        <item x="2542"/>
        <item x="954"/>
        <item x="518"/>
        <item x="2585"/>
        <item x="1253"/>
        <item x="2087"/>
        <item x="2241"/>
        <item x="37"/>
        <item x="1189"/>
        <item m="1" x="2874"/>
        <item x="2105"/>
        <item x="2629"/>
        <item x="1168"/>
        <item x="110"/>
        <item x="763"/>
        <item x="1953"/>
        <item x="35"/>
        <item x="141"/>
        <item x="25"/>
        <item x="1296"/>
        <item x="103"/>
        <item x="2171"/>
        <item x="1552"/>
        <item x="919"/>
        <item x="2108"/>
        <item x="2472"/>
        <item x="432"/>
        <item x="1162"/>
        <item x="1973"/>
        <item x="383"/>
        <item x="711"/>
        <item x="587"/>
        <item x="1770"/>
        <item x="785"/>
        <item x="1781"/>
        <item x="2369"/>
        <item x="2731"/>
        <item x="829"/>
        <item x="660"/>
        <item x="1045"/>
        <item x="1873"/>
        <item x="1084"/>
        <item x="2611"/>
        <item x="465"/>
        <item x="1841"/>
        <item x="1311"/>
        <item x="1885"/>
        <item x="1679"/>
        <item x="1057"/>
        <item x="2759"/>
        <item x="1880"/>
        <item x="706"/>
        <item x="2810"/>
        <item x="610"/>
        <item x="117"/>
        <item x="750"/>
        <item x="1942"/>
        <item x="1133"/>
        <item x="1771"/>
        <item x="1510"/>
        <item x="2015"/>
        <item x="544"/>
        <item x="368"/>
        <item x="2064"/>
        <item x="1715"/>
        <item x="2709"/>
        <item x="1738"/>
        <item x="748"/>
        <item x="405"/>
        <item x="2467"/>
        <item x="864"/>
        <item x="56"/>
        <item x="2654"/>
        <item x="1934"/>
        <item x="952"/>
        <item x="511"/>
        <item x="1947"/>
        <item x="176"/>
        <item x="1983"/>
        <item x="647"/>
        <item x="59"/>
        <item x="1766"/>
        <item x="189"/>
        <item x="790"/>
        <item x="1346"/>
        <item x="1016"/>
        <item x="2816"/>
        <item x="1587"/>
        <item x="1773"/>
        <item x="1320"/>
        <item x="253"/>
        <item x="2047"/>
        <item x="1328"/>
        <item x="1879"/>
        <item x="1731"/>
        <item x="123"/>
        <item x="671"/>
        <item x="1844"/>
        <item x="2726"/>
        <item x="2837"/>
        <item x="1260"/>
        <item x="1004"/>
        <item x="1819"/>
        <item x="958"/>
        <item x="1356"/>
        <item x="1640"/>
        <item x="418"/>
        <item x="1497"/>
        <item x="1332"/>
        <item x="1190"/>
        <item x="258"/>
        <item x="2789"/>
        <item x="1585"/>
        <item x="1286"/>
        <item x="116"/>
        <item x="1102"/>
        <item x="2258"/>
        <item x="1643"/>
        <item x="1837"/>
        <item x="681"/>
        <item x="1050"/>
        <item x="2387"/>
        <item x="699"/>
        <item x="1677"/>
        <item x="825"/>
        <item x="105"/>
        <item x="2098"/>
        <item x="1413"/>
        <item x="2113"/>
        <item x="494"/>
        <item x="81"/>
        <item x="2496"/>
        <item x="1982"/>
        <item x="2463"/>
        <item x="684"/>
        <item x="561"/>
        <item x="2297"/>
        <item x="1263"/>
        <item x="1612"/>
        <item x="2781"/>
        <item x="1374"/>
        <item x="1965"/>
        <item x="1445"/>
        <item x="852"/>
        <item x="2512"/>
        <item x="2494"/>
        <item x="346"/>
        <item x="2676"/>
        <item x="1971"/>
        <item x="859"/>
        <item x="42"/>
        <item x="2027"/>
        <item x="61"/>
        <item x="2567"/>
        <item x="649"/>
        <item x="132"/>
        <item x="425"/>
        <item x="824"/>
        <item x="92"/>
        <item x="2367"/>
        <item x="1727"/>
        <item x="1680"/>
        <item x="456"/>
        <item x="2129"/>
        <item x="945"/>
        <item x="1384"/>
        <item x="134"/>
        <item x="1465"/>
        <item x="1278"/>
        <item x="2254"/>
        <item x="912"/>
        <item x="2713"/>
        <item x="1917"/>
        <item x="1675"/>
        <item x="522"/>
        <item x="1528"/>
        <item x="1650"/>
        <item x="975"/>
        <item x="1348"/>
        <item x="202"/>
        <item x="1276"/>
        <item x="2448"/>
        <item x="2708"/>
        <item x="2815"/>
        <item x="1757"/>
        <item x="229"/>
        <item x="2649"/>
        <item x="600"/>
        <item x="950"/>
        <item x="616"/>
        <item x="1975"/>
        <item x="792"/>
        <item x="2324"/>
        <item x="1968"/>
        <item x="1661"/>
        <item x="1059"/>
        <item x="2565"/>
        <item x="294"/>
        <item x="2302"/>
        <item x="241"/>
        <item x="364"/>
        <item x="1427"/>
        <item x="1945"/>
        <item x="1937"/>
        <item x="2643"/>
        <item x="904"/>
        <item x="819"/>
        <item x="2805"/>
        <item x="2840"/>
        <item x="2846"/>
        <item x="2195"/>
        <item x="2620"/>
        <item x="2627"/>
        <item x="67"/>
        <item x="2033"/>
        <item x="2633"/>
        <item x="410"/>
        <item x="2154"/>
        <item x="1441"/>
        <item x="2557"/>
        <item x="947"/>
        <item x="922"/>
        <item x="2366"/>
        <item x="2182"/>
        <item x="669"/>
        <item x="1758"/>
        <item x="2396"/>
        <item x="1801"/>
        <item x="1180"/>
        <item x="2141"/>
        <item x="1034"/>
        <item x="1395"/>
        <item x="2845"/>
        <item x="554"/>
        <item x="2083"/>
        <item x="317"/>
        <item x="2005"/>
        <item x="2847"/>
        <item x="1895"/>
        <item x="1166"/>
        <item x="960"/>
        <item x="2307"/>
        <item x="1244"/>
        <item x="713"/>
        <item x="1615"/>
        <item x="729"/>
        <item x="1902"/>
        <item x="2090"/>
        <item x="581"/>
        <item x="313"/>
        <item x="315"/>
        <item x="2025"/>
        <item x="603"/>
        <item x="152"/>
        <item x="2395"/>
        <item x="426"/>
        <item x="1854"/>
        <item x="1051"/>
        <item x="251"/>
        <item x="705"/>
        <item x="967"/>
        <item x="974"/>
        <item x="2237"/>
        <item x="2553"/>
        <item x="872"/>
        <item x="1618"/>
        <item x="1225"/>
        <item x="2537"/>
        <item x="663"/>
        <item x="1125"/>
        <item x="2244"/>
        <item x="2765"/>
        <item x="515"/>
        <item x="2226"/>
        <item x="264"/>
        <item x="292"/>
        <item x="1823"/>
        <item x="1316"/>
        <item x="1817"/>
        <item x="1457"/>
        <item x="1969"/>
        <item x="1183"/>
        <item x="2208"/>
        <item x="2584"/>
        <item x="267"/>
        <item x="2243"/>
        <item x="993"/>
        <item x="826"/>
        <item x="1990"/>
        <item x="908"/>
        <item x="2263"/>
        <item x="1369"/>
        <item x="2622"/>
        <item x="2012"/>
        <item x="2188"/>
        <item x="780"/>
        <item x="2748"/>
        <item x="435"/>
        <item x="2314"/>
        <item x="2337"/>
        <item x="380"/>
        <item x="1262"/>
        <item x="558"/>
        <item x="2447"/>
        <item x="2771"/>
        <item x="2372"/>
        <item x="1928"/>
        <item x="957"/>
        <item x="2146"/>
        <item x="1554"/>
        <item x="902"/>
        <item x="2313"/>
        <item x="1134"/>
        <item x="907"/>
        <item x="1768"/>
        <item x="467"/>
        <item x="1093"/>
        <item x="2225"/>
        <item x="1976"/>
        <item x="2733"/>
        <item x="396"/>
        <item x="2157"/>
        <item x="2777"/>
        <item x="7"/>
        <item x="377"/>
        <item x="463"/>
        <item x="2441"/>
        <item x="2522"/>
        <item x="2266"/>
        <item x="1195"/>
        <item x="2707"/>
        <item x="2712"/>
        <item x="1562"/>
        <item x="2011"/>
        <item x="2722"/>
        <item x="2193"/>
        <item x="595"/>
        <item x="1668"/>
        <item x="146"/>
        <item x="1223"/>
        <item x="798"/>
        <item x="1066"/>
        <item x="924"/>
        <item x="2376"/>
        <item x="2199"/>
        <item x="1829"/>
        <item x="1537"/>
        <item x="104"/>
        <item x="388"/>
        <item x="656"/>
        <item x="2281"/>
        <item x="147"/>
        <item x="2652"/>
        <item x="2200"/>
        <item x="2832"/>
        <item x="1596"/>
        <item x="2739"/>
        <item x="2301"/>
        <item x="1600"/>
        <item x="257"/>
        <item x="1246"/>
        <item x="1333"/>
        <item x="628"/>
        <item x="275"/>
        <item x="1478"/>
        <item x="1429"/>
        <item x="2421"/>
        <item x="1617"/>
        <item x="644"/>
        <item x="2736"/>
        <item x="1292"/>
        <item x="2638"/>
        <item x="901"/>
        <item x="584"/>
        <item x="697"/>
        <item x="382"/>
        <item x="1881"/>
        <item x="470"/>
        <item x="2249"/>
        <item x="196"/>
        <item x="559"/>
        <item x="2519"/>
        <item x="1191"/>
        <item x="2175"/>
        <item x="1380"/>
        <item x="935"/>
        <item x="1825"/>
        <item x="2821"/>
        <item x="679"/>
        <item x="1396"/>
        <item x="772"/>
        <item x="2569"/>
        <item x="339"/>
        <item x="1686"/>
        <item x="1055"/>
        <item x="1149"/>
        <item x="1250"/>
        <item x="2231"/>
        <item x="268"/>
        <item x="894"/>
        <item x="1430"/>
        <item x="2240"/>
        <item x="1469"/>
        <item x="1950"/>
        <item m="1" x="2865"/>
        <item x="1456"/>
        <item x="1092"/>
        <item x="1658"/>
        <item x="560"/>
        <item x="27"/>
        <item x="2843"/>
        <item x="726"/>
        <item x="586"/>
        <item x="1305"/>
        <item x="1233"/>
        <item x="2317"/>
        <item x="98"/>
        <item x="1373"/>
        <item x="1654"/>
        <item x="2294"/>
        <item x="2737"/>
        <item x="2134"/>
        <item x="252"/>
        <item x="1135"/>
        <item x="1364"/>
        <item x="2035"/>
        <item x="1520"/>
        <item x="208"/>
        <item x="2401"/>
        <item x="2328"/>
        <item x="2460"/>
        <item x="1838"/>
        <item x="310"/>
        <item x="1448"/>
        <item x="1362"/>
        <item x="707"/>
        <item x="1358"/>
        <item x="2280"/>
        <item x="2289"/>
        <item x="682"/>
        <item x="2481"/>
        <item x="1943"/>
        <item x="65"/>
        <item x="1774"/>
        <item x="1058"/>
        <item x="78"/>
        <item x="727"/>
        <item x="36"/>
        <item x="1910"/>
        <item x="1959"/>
        <item x="2277"/>
        <item x="41"/>
        <item x="977"/>
        <item x="243"/>
        <item x="1339"/>
        <item x="1695"/>
        <item x="2159"/>
        <item x="308"/>
        <item x="1700"/>
        <item x="2100"/>
        <item x="2663"/>
        <item x="2858"/>
        <item x="1787"/>
        <item x="2592"/>
        <item x="890"/>
        <item x="125"/>
        <item x="754"/>
        <item x="756"/>
        <item x="57"/>
        <item x="2344"/>
        <item x="1215"/>
        <item x="791"/>
        <item x="733"/>
        <item x="976"/>
        <item x="1634"/>
        <item x="1550"/>
        <item x="394"/>
        <item x="1400"/>
        <item x="1952"/>
        <item x="85"/>
        <item x="2672"/>
        <item x="1072"/>
        <item x="1098"/>
        <item x="1821"/>
        <item x="21"/>
        <item x="1473"/>
        <item x="2764"/>
        <item x="1665"/>
        <item x="324"/>
        <item x="953"/>
        <item x="2077"/>
        <item x="1138"/>
        <item x="1948"/>
        <item x="1241"/>
        <item x="867"/>
        <item x="822"/>
        <item x="2357"/>
        <item x="1921"/>
        <item x="1388"/>
        <item x="1710"/>
        <item x="920"/>
        <item x="520"/>
        <item x="832"/>
        <item x="1570"/>
        <item x="1386"/>
        <item x="1289"/>
        <item x="709"/>
        <item x="2373"/>
        <item x="2796"/>
        <item x="230"/>
        <item x="372"/>
        <item x="228"/>
        <item x="1742"/>
        <item x="1517"/>
        <item x="80"/>
        <item x="20"/>
        <item x="2298"/>
        <item x="1586"/>
        <item x="327"/>
        <item x="490"/>
        <item x="2106"/>
        <item x="700"/>
        <item x="837"/>
        <item x="370"/>
        <item x="378"/>
        <item x="2167"/>
        <item x="1907"/>
        <item x="654"/>
        <item x="574"/>
        <item x="2534"/>
        <item x="2639"/>
        <item x="419"/>
        <item x="2774"/>
        <item x="693"/>
        <item x="795"/>
        <item x="885"/>
        <item x="527"/>
        <item x="261"/>
        <item x="2234"/>
        <item x="899"/>
        <item m="1" x="2873"/>
        <item x="2428"/>
        <item x="633"/>
        <item x="1148"/>
        <item x="1079"/>
        <item x="375"/>
        <item x="1361"/>
        <item x="114"/>
        <item x="1908"/>
        <item x="2279"/>
        <item x="1749"/>
        <item x="939"/>
        <item x="941"/>
        <item x="2552"/>
        <item x="1759"/>
        <item x="1582"/>
        <item x="503"/>
        <item x="1858"/>
        <item x="1409"/>
        <item x="158"/>
        <item x="2489"/>
        <item x="1232"/>
        <item x="2400"/>
        <item x="2755"/>
        <item x="2333"/>
        <item x="2416"/>
        <item x="2095"/>
        <item x="1573"/>
        <item x="2830"/>
        <item x="963"/>
        <item x="1000"/>
        <item x="509"/>
        <item x="719"/>
        <item x="1461"/>
        <item x="2490"/>
        <item x="2039"/>
        <item x="1156"/>
        <item x="1614"/>
        <item x="1385"/>
        <item x="448"/>
        <item x="1281"/>
        <item x="1075"/>
        <item x="2784"/>
        <item x="2003"/>
        <item x="1200"/>
        <item x="2007"/>
        <item x="1559"/>
        <item x="1284"/>
        <item x="491"/>
        <item x="2189"/>
        <item x="1297"/>
        <item x="226"/>
        <item x="1927"/>
        <item x="1593"/>
        <item x="1061"/>
        <item x="262"/>
        <item x="1163"/>
        <item x="1271"/>
        <item x="2219"/>
        <item x="124"/>
        <item x="224"/>
        <item x="1434"/>
        <item x="2778"/>
        <item x="100"/>
        <item x="2259"/>
        <item x="915"/>
        <item x="839"/>
        <item x="2770"/>
        <item x="2807"/>
        <item x="1828"/>
        <item x="1572"/>
        <item x="2021"/>
        <item x="2293"/>
        <item x="50"/>
        <item x="51"/>
        <item m="1" x="2870"/>
        <item x="1846"/>
        <item x="1028"/>
        <item x="613"/>
        <item x="614"/>
        <item x="2669"/>
        <item x="1706"/>
        <item x="1606"/>
        <item x="347"/>
        <item x="2588"/>
        <item x="2406"/>
        <item x="1961"/>
        <item x="2683"/>
        <item x="1792"/>
        <item x="84"/>
        <item x="538"/>
        <item x="2432"/>
        <item x="458"/>
        <item x="905"/>
        <item x="423"/>
        <item x="1290"/>
        <item x="542"/>
        <item x="1797"/>
        <item x="2067"/>
        <item x="1169"/>
        <item x="1800"/>
        <item x="2247"/>
        <item x="284"/>
        <item x="1094"/>
        <item x="842"/>
        <item x="2276"/>
        <item x="658"/>
        <item x="29"/>
        <item x="219"/>
        <item x="2374"/>
        <item x="2284"/>
        <item x="1293"/>
        <item x="220"/>
        <item x="2650"/>
        <item x="2826"/>
        <item x="2028"/>
        <item x="330"/>
        <item x="1406"/>
        <item x="1416"/>
        <item x="1502"/>
        <item x="342"/>
        <item x="1054"/>
        <item x="2308"/>
        <item x="2851"/>
        <item x="2316"/>
        <item x="626"/>
        <item x="1697"/>
        <item x="442"/>
        <item m="1" x="2866"/>
        <item x="2228"/>
        <item x="533"/>
        <item x="1431"/>
        <item x="913"/>
        <item x="1460"/>
        <item x="858"/>
        <item x="670"/>
        <item x="236"/>
        <item x="2485"/>
        <item x="689"/>
        <item x="893"/>
        <item x="2161"/>
        <item x="1176"/>
        <item x="1996"/>
        <item x="2306"/>
        <item x="1218"/>
        <item x="1932"/>
        <item x="716"/>
        <item x="884"/>
        <item x="1245"/>
        <item x="1381"/>
        <item x="880"/>
        <item x="731"/>
        <item x="985"/>
        <item x="1488"/>
        <item x="1401"/>
        <item x="2136"/>
        <item x="2609"/>
        <item x="2855"/>
        <item x="301"/>
        <item x="2160"/>
        <item x="1533"/>
        <item x="2438"/>
        <item x="1458"/>
        <item x="1812"/>
        <item x="739"/>
        <item x="2368"/>
        <item x="1104"/>
        <item x="1913"/>
        <item x="659"/>
        <item x="2183"/>
        <item x="1475"/>
        <item x="2719"/>
        <item x="302"/>
        <item x="2812"/>
        <item x="757"/>
        <item x="2644"/>
        <item x="2550"/>
        <item x="316"/>
        <item x="1581"/>
        <item x="239"/>
        <item x="247"/>
        <item x="875"/>
        <item x="430"/>
        <item x="162"/>
        <item x="1321"/>
        <item x="72"/>
        <item x="1325"/>
        <item x="348"/>
        <item x="891"/>
        <item x="2075"/>
        <item x="878"/>
        <item x="2624"/>
        <item x="1830"/>
        <item x="2062"/>
        <item x="461"/>
        <item x="2836"/>
        <item x="2001"/>
        <item x="30"/>
        <item x="1516"/>
        <item x="1275"/>
        <item x="1811"/>
        <item x="1756"/>
        <item x="1344"/>
        <item x="321"/>
        <item x="1936"/>
        <item x="567"/>
        <item x="1553"/>
        <item x="149"/>
        <item x="13"/>
        <item x="1414"/>
        <item x="1410"/>
        <item x="2068"/>
        <item x="2115"/>
        <item x="462"/>
        <item x="992"/>
        <item x="1091"/>
        <item x="1560"/>
        <item x="1302"/>
        <item x="937"/>
        <item x="1288"/>
        <item x="2546"/>
        <item x="2322"/>
        <item x="1798"/>
        <item x="479"/>
        <item x="2245"/>
        <item x="1512"/>
        <item x="1673"/>
        <item x="413"/>
        <item x="505"/>
        <item x="216"/>
        <item x="74"/>
        <item x="2350"/>
        <item x="1455"/>
        <item x="630"/>
        <item x="38"/>
        <item x="871"/>
        <item x="1722"/>
        <item x="2751"/>
        <item x="2031"/>
        <item x="1113"/>
        <item x="2110"/>
        <item x="163"/>
        <item x="2138"/>
        <item x="994"/>
        <item x="996"/>
        <item x="1726"/>
        <item x="2829"/>
        <item x="188"/>
        <item x="1105"/>
        <item x="1214"/>
        <item x="76"/>
        <item x="657"/>
        <item x="2407"/>
        <item x="2692"/>
        <item x="1100"/>
        <item x="1287"/>
        <item x="1604"/>
        <item x="427"/>
        <item x="2162"/>
        <item x="2533"/>
        <item x="2834"/>
        <item x="453"/>
        <item x="2251"/>
        <item x="2271"/>
        <item x="2621"/>
        <item x="683"/>
        <item x="2501"/>
        <item x="1988"/>
        <item x="1471"/>
        <item x="1027"/>
        <item x="2568"/>
        <item x="2131"/>
        <item x="1967"/>
        <item x="2413"/>
        <item x="1865"/>
        <item x="2356"/>
        <item x="1556"/>
        <item x="1389"/>
        <item x="2326"/>
        <item x="34"/>
        <item x="529"/>
        <item x="1886"/>
        <item x="3"/>
        <item x="1621"/>
        <item x="2604"/>
        <item x="2523"/>
        <item x="22"/>
        <item x="2181"/>
        <item x="1568"/>
        <item x="408"/>
        <item x="1387"/>
        <item x="2470"/>
        <item x="678"/>
        <item x="1595"/>
        <item x="2571"/>
        <item x="783"/>
        <item x="2675"/>
        <item x="1877"/>
        <item x="362"/>
        <item x="343"/>
        <item x="129"/>
        <item x="2144"/>
        <item x="1112"/>
        <item x="879"/>
        <item x="415"/>
        <item x="2521"/>
        <item x="1454"/>
        <item x="747"/>
        <item x="676"/>
        <item x="619"/>
        <item x="1874"/>
        <item x="724"/>
        <item x="1074"/>
        <item x="797"/>
        <item x="800"/>
        <item x="2000"/>
        <item x="589"/>
        <item x="222"/>
        <item x="1780"/>
        <item x="2052"/>
        <item x="2792"/>
        <item x="1845"/>
        <item x="1283"/>
        <item x="1629"/>
        <item x="496"/>
        <item x="2018"/>
        <item x="231"/>
        <item x="2215"/>
        <item x="2385"/>
        <item x="1452"/>
        <item x="2780"/>
        <item x="2619"/>
        <item x="356"/>
        <item x="2232"/>
        <item x="1979"/>
        <item x="107"/>
        <item x="1567"/>
        <item x="2323"/>
        <item x="417"/>
        <item x="1340"/>
        <item x="1041"/>
        <item x="1526"/>
        <item x="2172"/>
        <item x="297"/>
        <item x="298"/>
        <item x="2808"/>
        <item x="40"/>
        <item x="2766"/>
        <item x="2392"/>
        <item x="2665"/>
        <item x="156"/>
        <item x="525"/>
        <item x="712"/>
        <item x="1011"/>
        <item x="2358"/>
        <item x="743"/>
        <item x="501"/>
        <item x="240"/>
        <item x="2013"/>
        <item x="2754"/>
        <item x="1124"/>
        <item x="1177"/>
        <item x="2286"/>
        <item x="2327"/>
        <item x="2439"/>
        <item x="2213"/>
        <item x="764"/>
        <item x="787"/>
        <item x="2010"/>
        <item x="385"/>
        <item x="157"/>
        <item x="1955"/>
        <item x="2503"/>
        <item x="306"/>
        <item x="1923"/>
        <item x="1939"/>
        <item x="392"/>
        <item x="2732"/>
        <item x="2757"/>
        <item x="2261"/>
        <item x="1883"/>
        <item x="2285"/>
        <item x="1699"/>
        <item x="1610"/>
        <item x="1718"/>
        <item x="2658"/>
        <item x="725"/>
        <item x="2562"/>
        <item x="695"/>
        <item x="1693"/>
        <item x="468"/>
        <item x="1892"/>
        <item x="2178"/>
        <item x="254"/>
        <item x="636"/>
        <item x="1247"/>
        <item x="204"/>
        <item x="823"/>
        <item x="60"/>
        <item x="2706"/>
        <item x="475"/>
        <item x="1521"/>
        <item x="2256"/>
        <item x="174"/>
        <item x="2353"/>
        <item m="1" x="2872"/>
        <item x="1403"/>
        <item x="2591"/>
        <item x="2788"/>
        <item x="1834"/>
        <item x="1730"/>
        <item x="148"/>
        <item x="2492"/>
        <item x="2186"/>
        <item x="2583"/>
        <item x="882"/>
        <item x="1273"/>
        <item x="2694"/>
        <item x="1633"/>
        <item x="539"/>
        <item x="516"/>
        <item x="1423"/>
        <item x="1153"/>
        <item x="451"/>
        <item x="2687"/>
        <item x="853"/>
        <item x="102"/>
        <item x="1836"/>
        <item x="869"/>
        <item x="773"/>
        <item x="2860"/>
        <item x="1705"/>
        <item x="1642"/>
        <item x="1646"/>
        <item x="1201"/>
        <item x="483"/>
        <item x="2384"/>
        <item x="1049"/>
        <item x="625"/>
        <item x="1337"/>
        <item x="943"/>
        <item x="1712"/>
        <item x="1607"/>
        <item x="2191"/>
        <item x="2295"/>
        <item x="2371"/>
        <item x="2235"/>
        <item x="2092"/>
        <item x="337"/>
        <item x="2165"/>
        <item x="2380"/>
        <item x="2210"/>
        <item x="1856"/>
        <item x="1417"/>
        <item x="1626"/>
        <item x="1540"/>
        <item x="1185"/>
        <item x="299"/>
        <item x="850"/>
        <item x="1209"/>
        <item x="1212"/>
        <item x="1317"/>
        <item x="2049"/>
        <item x="77"/>
        <item x="2685"/>
        <item m="1" x="2871"/>
        <item x="221"/>
        <item x="2020"/>
        <item x="998"/>
        <item x="53"/>
        <item x="1914"/>
        <item x="271"/>
        <item x="2508"/>
        <item x="1805"/>
        <item x="2269"/>
        <item x="39"/>
        <item x="2190"/>
        <item x="144"/>
        <item x="1843"/>
        <item x="1492"/>
        <item x="333"/>
        <item x="961"/>
        <item x="361"/>
        <item x="1525"/>
        <item x="736"/>
        <item x="2273"/>
        <item x="274"/>
        <item x="1371"/>
        <item x="1470"/>
        <item x="1826"/>
        <item x="2572"/>
        <item x="888"/>
        <item x="714"/>
        <item x="1179"/>
        <item x="1127"/>
        <item x="1171"/>
        <item x="371"/>
        <item x="206"/>
        <item x="106"/>
        <item x="303"/>
        <item x="1579"/>
        <item x="2321"/>
        <item x="2119"/>
        <item x="597"/>
        <item x="1802"/>
        <item x="623"/>
        <item x="887"/>
        <item x="211"/>
        <item x="2094"/>
        <item x="2427"/>
        <item x="194"/>
        <item x="2698"/>
        <item x="2455"/>
        <item x="1323"/>
        <item x="1839"/>
        <item x="916"/>
        <item x="1062"/>
        <item x="1651"/>
        <item x="1659"/>
        <item x="2330"/>
        <item x="2517"/>
        <item x="1991"/>
        <item x="2642"/>
        <item x="2573"/>
        <item x="1603"/>
        <item x="2524"/>
        <item x="717"/>
        <item x="545"/>
        <item x="547"/>
        <item x="1444"/>
        <item x="818"/>
        <item x="2080"/>
        <item x="199"/>
        <item x="1193"/>
        <item x="651"/>
        <item x="2711"/>
        <item x="1472"/>
        <item x="2456"/>
        <item x="577"/>
        <item x="122"/>
        <item x="127"/>
        <item x="1285"/>
        <item x="2104"/>
        <item x="2290"/>
        <item x="604"/>
        <item x="1398"/>
        <item x="1499"/>
        <item x="246"/>
        <item x="1046"/>
        <item x="1052"/>
        <item x="2220"/>
        <item x="1249"/>
        <item x="2346"/>
        <item x="2192"/>
        <item x="2734"/>
        <item x="2218"/>
        <item x="2749"/>
        <item x="1447"/>
        <item x="652"/>
        <item x="33"/>
        <item x="1466"/>
        <item x="1931"/>
        <item x="2767"/>
        <item x="1602"/>
        <item x="2354"/>
        <item x="270"/>
        <item x="1255"/>
        <item x="847"/>
        <item x="1970"/>
        <item x="1690"/>
        <item x="1279"/>
        <item x="1747"/>
        <item x="734"/>
        <item x="583"/>
        <item x="2379"/>
        <item x="1491"/>
        <item x="1228"/>
        <item x="632"/>
        <item x="1355"/>
        <item x="816"/>
        <item x="1893"/>
        <item x="1894"/>
        <item x="645"/>
        <item x="1725"/>
        <item x="2443"/>
        <item x="201"/>
        <item x="914"/>
        <item x="1551"/>
        <item x="1199"/>
        <item x="2625"/>
        <item x="2718"/>
        <item x="1015"/>
        <item x="1480"/>
        <item x="2109"/>
        <item x="759"/>
        <item x="1308"/>
        <item x="1309"/>
        <item x="335"/>
        <item x="1044"/>
        <item x="439"/>
        <item x="979"/>
        <item x="1073"/>
        <item x="2026"/>
        <item x="1896"/>
        <item x="1265"/>
        <item x="2783"/>
        <item x="821"/>
        <item x="831"/>
        <item x="291"/>
        <item x="472"/>
        <item x="473"/>
        <item x="115"/>
        <item x="1735"/>
        <item x="485"/>
        <item x="928"/>
        <item x="404"/>
        <item x="2101"/>
        <item x="1382"/>
        <item x="2464"/>
        <item x="599"/>
        <item x="54"/>
        <item x="2206"/>
        <item x="774"/>
        <item x="1314"/>
        <item x="877"/>
        <item x="1060"/>
        <item x="1243"/>
        <item x="440"/>
        <item x="1960"/>
        <item x="715"/>
        <item x="2514"/>
        <item x="2548"/>
        <item x="2304"/>
        <item x="921"/>
        <item x="1095"/>
        <item x="2329"/>
        <item x="2527"/>
        <item x="607"/>
        <item x="2587"/>
        <item x="86"/>
        <item x="446"/>
        <item x="983"/>
        <item x="1627"/>
        <item x="1152"/>
        <item x="2507"/>
        <item x="1336"/>
        <item x="2667"/>
        <item x="2612"/>
        <item x="653"/>
        <item x="326"/>
        <item x="249"/>
        <item x="173"/>
        <item x="2422"/>
        <item x="2164"/>
        <item x="2799"/>
        <item x="923"/>
        <item x="1734"/>
        <item x="2093"/>
        <item x="2541"/>
        <item x="1544"/>
        <item x="2828"/>
        <item x="2402"/>
        <item x="1254"/>
        <item x="2535"/>
        <item x="925"/>
        <item x="2260"/>
        <item x="2640"/>
        <item x="629"/>
        <item x="845"/>
        <item x="193"/>
        <item x="2614"/>
        <item x="2531"/>
        <item x="2803"/>
        <item x="1916"/>
        <item x="2370"/>
        <item x="320"/>
        <item x="946"/>
        <item m="1" x="2867"/>
        <item x="73"/>
        <item x="1635"/>
        <item x="137"/>
        <item x="775"/>
        <item x="1949"/>
        <item x="1407"/>
        <item x="1625"/>
        <item x="854"/>
        <item x="2360"/>
        <item x="612"/>
        <item x="2153"/>
        <item x="1861"/>
        <item x="1307"/>
        <item x="1198"/>
        <item x="1566"/>
        <item x="768"/>
        <item x="2664"/>
        <item x="806"/>
        <item x="1889"/>
        <item x="2426"/>
        <item x="811"/>
        <item x="6"/>
        <item x="2341"/>
        <item x="281"/>
        <item x="906"/>
        <item x="997"/>
        <item x="389"/>
        <item x="1006"/>
        <item x="2176"/>
        <item x="1645"/>
        <item x="1467"/>
        <item x="929"/>
        <item x="136"/>
        <item x="497"/>
        <item x="602"/>
        <item x="325"/>
        <item x="2388"/>
        <item x="2831"/>
        <item x="685"/>
        <item x="1231"/>
        <item x="2574"/>
        <item x="2745"/>
        <item x="170"/>
        <item x="1872"/>
        <item x="260"/>
        <item x="2682"/>
        <item x="89"/>
        <item x="1541"/>
        <item x="1264"/>
        <item x="1765"/>
        <item x="1485"/>
        <item x="1017"/>
        <item x="746"/>
        <item x="1178"/>
        <item x="732"/>
        <item x="2268"/>
        <item x="2450"/>
        <item x="844"/>
        <item x="1745"/>
        <item x="436"/>
        <item x="2319"/>
        <item x="197"/>
        <item x="1372"/>
        <item x="1118"/>
        <item x="528"/>
        <item x="801"/>
        <item x="1013"/>
        <item x="582"/>
        <item x="1368"/>
        <item x="331"/>
        <item x="1592"/>
        <item x="2598"/>
        <item x="576"/>
        <item x="474"/>
        <item x="179"/>
        <item x="2859"/>
        <item x="809"/>
        <item x="10"/>
        <item x="814"/>
        <item x="1227"/>
        <item x="1523"/>
        <item x="688"/>
        <item x="1716"/>
        <item x="1299"/>
        <item x="1878"/>
        <item x="1906"/>
        <item x="128"/>
        <item x="949"/>
        <item x="990"/>
        <item x="2833"/>
        <item x="2084"/>
        <item x="2528"/>
        <item x="2032"/>
        <item x="1326"/>
        <item x="2287"/>
        <item x="2814"/>
        <item x="865"/>
        <item x="323"/>
        <item x="508"/>
        <item x="2839"/>
        <item x="340"/>
        <item x="341"/>
        <item x="782"/>
        <item x="2050"/>
        <item x="1597"/>
        <item x="1796"/>
        <item x="1870"/>
        <item x="1419"/>
        <item x="2458"/>
        <item x="1085"/>
        <item x="982"/>
        <item x="1875"/>
        <item x="1207"/>
        <item x="1535"/>
        <item x="1121"/>
        <item x="2459"/>
        <item x="2102"/>
        <item x="1549"/>
        <item x="1024"/>
        <item x="2223"/>
        <item x="2147"/>
        <item x="447"/>
        <item x="2451"/>
        <item x="1737"/>
        <item x="2536"/>
        <item x="2045"/>
        <item x="1793"/>
        <item x="568"/>
        <item x="889"/>
        <item x="153"/>
        <item x="2444"/>
        <item x="1224"/>
        <item x="2057"/>
        <item x="2729"/>
        <item x="1031"/>
        <item x="2325"/>
        <item x="1505"/>
        <item x="1963"/>
        <item x="1795"/>
        <item x="1259"/>
        <item x="1306"/>
        <item x="1964"/>
        <item x="1359"/>
        <item x="606"/>
        <item x="97"/>
        <item x="1174"/>
        <item x="2465"/>
        <item x="43"/>
        <item x="2351"/>
        <item x="1025"/>
        <item x="2653"/>
        <item x="535"/>
        <item x="1962"/>
        <item x="1723"/>
        <item x="2198"/>
        <item x="1703"/>
        <item x="553"/>
        <item x="672"/>
        <item x="1763"/>
        <item x="507"/>
        <item x="2051"/>
        <item x="355"/>
        <item x="1989"/>
        <item x="2602"/>
        <item x="1280"/>
        <item x="2034"/>
        <item x="2488"/>
        <item x="111"/>
        <item x="2120"/>
        <item x="835"/>
        <item x="164"/>
        <item x="2681"/>
        <item x="2008"/>
        <item x="2099"/>
        <item x="225"/>
        <item x="514"/>
        <item x="2097"/>
        <item x="703"/>
        <item x="2058"/>
        <item x="1557"/>
        <item x="1884"/>
        <item x="277"/>
        <item x="1624"/>
        <item x="1999"/>
        <item x="2061"/>
        <item x="2769"/>
        <item x="52"/>
        <item x="328"/>
        <item x="1655"/>
        <item x="2248"/>
        <item x="1082"/>
        <item x="575"/>
        <item x="2668"/>
        <item x="959"/>
        <item x="570"/>
        <item x="2309"/>
        <item x="2331"/>
        <item x="1536"/>
        <item x="2221"/>
        <item x="944"/>
        <item x="2303"/>
        <item x="120"/>
        <item x="1481"/>
        <item x="139"/>
        <item x="2291"/>
        <item x="332"/>
        <item x="1506"/>
        <item x="1188"/>
        <item x="2004"/>
        <item x="1053"/>
        <item x="2701"/>
        <item x="1408"/>
        <item x="1721"/>
        <item x="2715"/>
        <item x="2066"/>
        <item x="23"/>
        <item x="1463"/>
        <item x="487"/>
        <item x="1744"/>
        <item x="307"/>
        <item x="1754"/>
        <item x="778"/>
        <item x="2775"/>
        <item x="2581"/>
        <item x="2054"/>
        <item x="2686"/>
        <item x="2412"/>
        <item x="1522"/>
        <item x="2403"/>
        <item x="855"/>
        <item x="955"/>
        <item x="617"/>
        <item x="2610"/>
        <item x="214"/>
        <item x="1026"/>
        <item x="1063"/>
        <item x="1341"/>
        <item x="986"/>
        <item m="1" x="2868"/>
        <item x="2651"/>
        <item x="1998"/>
        <item x="1402"/>
        <item x="1274"/>
        <item x="857"/>
        <item x="237"/>
        <item x="931"/>
        <item x="2209"/>
        <item x="248"/>
        <item x="344"/>
        <item x="788"/>
        <item x="1531"/>
        <item x="464"/>
        <item x="15"/>
        <item x="1671"/>
        <item x="1941"/>
        <item x="1578"/>
        <item x="1490"/>
        <item x="1684"/>
        <item x="1555"/>
        <item x="2029"/>
        <item x="1644"/>
        <item m="1" x="2875"/>
        <item x="477"/>
        <item x="1343"/>
        <item x="550"/>
        <item x="2790"/>
        <item x="486"/>
        <item x="662"/>
        <item x="493"/>
        <item x="1019"/>
        <item x="1393"/>
        <item x="1672"/>
        <item x="1226"/>
        <item x="2482"/>
        <item x="150"/>
        <item x="1855"/>
        <item x="1689"/>
        <item x="2674"/>
        <item x="523"/>
        <item x="2678"/>
        <item x="1064"/>
        <item x="2864"/>
        <item x="1436"/>
        <item x="1619"/>
        <item x="752"/>
        <item x="1087"/>
        <item x="492"/>
        <item x="1810"/>
        <item x="1421"/>
        <item x="1707"/>
        <item x="1090"/>
        <item x="2082"/>
        <item x="1729"/>
        <item x="1002"/>
        <item x="2088"/>
        <item x="1111"/>
        <item x="407"/>
        <item x="760"/>
        <item x="363"/>
        <item x="1300"/>
        <item x="770"/>
        <item x="2662"/>
        <item x="2214"/>
        <item x="70"/>
        <item x="2139"/>
        <item x="2409"/>
        <item x="1252"/>
        <item x="424"/>
        <item x="1139"/>
        <item x="2059"/>
        <item x="2055"/>
        <item x="16"/>
        <item x="1030"/>
        <item x="88"/>
        <item x="1500"/>
        <item x="1438"/>
        <item x="1909"/>
        <item x="1363"/>
        <item x="2483"/>
        <item x="1038"/>
        <item x="1598"/>
        <item x="502"/>
        <item x="444"/>
        <item x="2076"/>
        <item x="210"/>
        <item x="2822"/>
        <item x="1222"/>
        <item x="504"/>
        <item x="2036"/>
        <item x="1282"/>
        <item x="668"/>
        <item x="62"/>
        <item x="1558"/>
        <item x="171"/>
        <item x="1342"/>
        <item x="1638"/>
        <item x="1154"/>
        <item x="2454"/>
        <item x="815"/>
        <item x="1487"/>
        <item x="1433"/>
        <item x="596"/>
        <item x="498"/>
        <item x="2143"/>
        <item x="454"/>
        <item x="1649"/>
        <item x="1681"/>
        <item x="2250"/>
        <item x="1375"/>
        <item x="940"/>
        <item x="2230"/>
        <item x="1994"/>
        <item x="2457"/>
        <item x="910"/>
        <item x="1944"/>
        <item x="1769"/>
        <item x="282"/>
        <item x="2014"/>
        <item x="414"/>
        <item x="2135"/>
        <item x="820"/>
        <item x="728"/>
        <item x="1871"/>
        <item x="2607"/>
        <item x="2469"/>
        <item x="942"/>
        <item x="1194"/>
        <item x="2420"/>
        <item x="964"/>
        <item x="609"/>
        <item x="1784"/>
        <item x="708"/>
        <item x="868"/>
        <item x="279"/>
        <item x="1847"/>
        <item x="1632"/>
        <item x="1755"/>
        <item x="1954"/>
        <item x="1761"/>
        <item x="556"/>
        <item x="9"/>
        <item x="99"/>
        <item x="420"/>
        <item x="2140"/>
        <item x="563"/>
        <item x="184"/>
        <item x="2137"/>
        <item x="972"/>
        <item x="1010"/>
        <item x="489"/>
        <item x="1507"/>
        <item x="1068"/>
        <item x="322"/>
        <item x="1588"/>
        <item x="2577"/>
        <item x="2063"/>
        <item x="2452"/>
        <item x="704"/>
        <item x="1211"/>
        <item x="686"/>
        <item x="2299"/>
        <item x="2559"/>
        <item x="2265"/>
        <item x="1379"/>
        <item x="245"/>
        <item x="2043"/>
        <item x="2848"/>
        <item x="1248"/>
        <item x="2594"/>
        <item x="2825"/>
        <item x="1803"/>
        <item x="1451"/>
        <item x="198"/>
        <item x="1547"/>
        <item x="591"/>
        <item x="784"/>
        <item x="32"/>
        <item x="1719"/>
        <item x="573"/>
        <item x="31"/>
        <item x="2480"/>
        <item x="611"/>
        <item x="259"/>
        <item x="1835"/>
        <item x="1951"/>
        <item x="119"/>
        <item x="1170"/>
        <item x="1891"/>
        <item x="1987"/>
        <item x="11"/>
        <item x="2505"/>
        <item x="441"/>
        <item x="588"/>
        <item x="2282"/>
        <item x="58"/>
        <item x="2340"/>
        <item x="903"/>
        <item x="1609"/>
        <item x="546"/>
        <item x="804"/>
        <item x="2274"/>
        <item x="49"/>
        <item x="64"/>
        <item x="28"/>
        <item x="1365"/>
        <item x="1107"/>
        <item x="2646"/>
        <item x="2124"/>
        <item x="2740"/>
        <item x="883"/>
        <item x="836"/>
        <item x="48"/>
        <item x="1822"/>
        <item x="1599"/>
        <item x="2679"/>
        <item x="416"/>
        <item x="1713"/>
        <item x="400"/>
        <item x="165"/>
        <item x="1242"/>
        <item x="2114"/>
        <item x="2202"/>
        <item x="552"/>
        <item x="2695"/>
        <item x="2525"/>
        <item x="2730"/>
        <item x="1534"/>
        <item x="1709"/>
        <item x="1126"/>
        <item x="892"/>
        <item x="638"/>
        <item x="751"/>
        <item x="1897"/>
        <item x="421"/>
        <item x="2389"/>
        <item x="2636"/>
        <item x="1532"/>
        <item x="2086"/>
        <item x="744"/>
        <item x="1915"/>
        <item x="2806"/>
        <item x="1762"/>
        <item x="2660"/>
        <item x="1353"/>
        <item x="579"/>
        <item x="1660"/>
        <item x="1313"/>
        <item x="618"/>
        <item x="1957"/>
        <item x="130"/>
        <item x="2838"/>
        <item x="2006"/>
        <item x="2697"/>
        <item x="459"/>
        <item x="1270"/>
        <item x="1390"/>
        <item x="565"/>
        <item x="1739"/>
        <item x="2634"/>
        <item x="1391"/>
        <item x="624"/>
        <item x="968"/>
        <item x="886"/>
        <item x="2145"/>
        <item x="1464"/>
        <item x="1887"/>
        <item x="988"/>
        <item x="918"/>
        <item x="309"/>
        <item x="1831"/>
        <item x="336"/>
        <item x="1229"/>
        <item x="2608"/>
        <item x="235"/>
        <item x="1428"/>
        <item x="1158"/>
        <item x="930"/>
        <item x="2721"/>
        <item x="1641"/>
        <item x="1277"/>
        <item x="2461"/>
        <item x="311"/>
        <item x="860"/>
        <item x="1515"/>
        <item x="572"/>
        <item x="1701"/>
        <item x="449"/>
        <item x="397"/>
        <item x="2417"/>
        <item x="2601"/>
        <item x="2433"/>
        <item x="391"/>
        <item x="1653"/>
        <item x="680"/>
        <item x="2205"/>
        <item x="2561"/>
        <item x="2046"/>
        <item x="2677"/>
        <item x="1159"/>
        <item x="175"/>
        <item x="2386"/>
        <item x="627"/>
        <item x="566"/>
        <item x="2690"/>
        <item x="1605"/>
        <item x="2163"/>
        <item x="866"/>
        <item x="2576"/>
        <item x="1778"/>
        <item x="2399"/>
        <item x="438"/>
        <item x="83"/>
        <item x="2606"/>
        <item x="741"/>
        <item x="411"/>
        <item x="1514"/>
        <item x="1863"/>
        <item x="1160"/>
        <item x="735"/>
        <item x="742"/>
        <item x="634"/>
        <item x="287"/>
        <item x="1186"/>
        <item x="1958"/>
        <item x="999"/>
        <item x="1664"/>
        <item x="1852"/>
        <item x="786"/>
        <item x="1611"/>
        <item x="2526"/>
        <item x="398"/>
        <item x="403"/>
        <item x="45"/>
        <item x="233"/>
        <item x="692"/>
        <item x="1315"/>
        <item x="71"/>
        <item x="881"/>
        <item x="2603"/>
        <item x="1790"/>
        <item x="1349"/>
        <item x="2811"/>
        <item x="2229"/>
        <item x="537"/>
        <item x="1580"/>
        <item x="93"/>
        <item x="1076"/>
        <item x="2800"/>
        <item x="19"/>
        <item x="1561"/>
        <item x="2717"/>
        <item x="694"/>
        <item x="532"/>
        <item x="289"/>
        <item x="1208"/>
        <item x="1783"/>
        <item x="113"/>
        <item x="2768"/>
        <item x="2578"/>
        <item x="2786"/>
        <item x="1197"/>
        <item x="1922"/>
        <item x="2203"/>
        <item x="702"/>
        <item x="2048"/>
        <item x="2852"/>
        <item x="367"/>
        <item x="2849"/>
        <item x="352"/>
        <item x="91"/>
        <item x="276"/>
        <item x="549"/>
        <item x="1172"/>
        <item x="374"/>
        <item x="1089"/>
        <item x="1898"/>
        <item x="1184"/>
        <item x="1995"/>
        <item x="2009"/>
        <item x="2761"/>
        <item x="2772"/>
        <item x="305"/>
        <item x="495"/>
        <item x="44"/>
        <item x="2381"/>
        <item x="1117"/>
        <item x="314"/>
        <item x="2473"/>
        <item x="2475"/>
        <item x="601"/>
        <item x="2486"/>
        <item x="1692"/>
        <item x="433"/>
        <item x="1239"/>
        <item x="2579"/>
        <item x="2590"/>
        <item x="172"/>
        <item x="1023"/>
        <item x="2227"/>
        <item x="1842"/>
        <item x="334"/>
        <item x="2364"/>
        <item x="2283"/>
        <item x="2545"/>
        <item x="1740"/>
        <item x="677"/>
        <item x="1303"/>
        <item x="2495"/>
        <item x="564"/>
        <item x="1616"/>
        <item x="1141"/>
        <item x="1269"/>
        <item x="12"/>
        <item x="1511"/>
        <item x="2377"/>
        <item x="1240"/>
        <item x="2410"/>
        <item x="133"/>
        <item x="2509"/>
        <item x="1628"/>
        <item x="1071"/>
        <item x="1569"/>
        <item x="280"/>
        <item x="2484"/>
        <item x="2424"/>
        <item x="2530"/>
        <item x="2725"/>
        <item x="2819"/>
        <item x="758"/>
        <item x="2415"/>
        <item x="2042"/>
        <item x="1760"/>
        <item x="200"/>
        <item x="278"/>
        <item x="1818"/>
        <item x="168"/>
        <item x="1899"/>
        <item x="530"/>
        <item x="846"/>
        <item x="605"/>
        <item x="373"/>
        <item x="519"/>
        <item x="1666"/>
        <item x="1504"/>
        <item x="2763"/>
        <item x="1670"/>
        <item x="1146"/>
        <item x="1008"/>
        <item x="1840"/>
        <item x="1083"/>
        <item x="641"/>
        <item x="2445"/>
        <item x="1009"/>
        <item x="1204"/>
        <item x="1377"/>
        <item x="212"/>
        <item x="1938"/>
        <item x="1048"/>
        <item x="1683"/>
        <item x="2217"/>
        <item x="2264"/>
        <item x="480"/>
        <item x="1114"/>
        <item x="2818"/>
        <item x="1080"/>
        <item x="840"/>
        <item x="932"/>
        <item x="1656"/>
        <item x="803"/>
        <item x="513"/>
        <item x="2797"/>
        <item x="409"/>
        <item x="2121"/>
        <item x="1682"/>
        <item x="966"/>
        <item x="1743"/>
        <item x="1636"/>
        <item x="2773"/>
        <item x="1493"/>
        <item x="2659"/>
        <item x="2150"/>
        <item x="1032"/>
        <item x="2173"/>
        <item x="2091"/>
        <item x="2166"/>
        <item x="2030"/>
        <item x="135"/>
        <item x="1449"/>
        <item x="183"/>
        <item x="381"/>
        <item x="2613"/>
        <item x="2795"/>
        <item x="203"/>
        <item x="2529"/>
        <item x="2824"/>
        <item x="2300"/>
        <item x="1779"/>
        <item x="2053"/>
        <item x="526"/>
        <item x="2405"/>
        <item x="1966"/>
        <item x="1882"/>
        <item x="796"/>
        <item x="631"/>
        <item x="1799"/>
        <item x="1294"/>
        <item x="1220"/>
        <item x="608"/>
        <item x="2850"/>
        <item x="1007"/>
        <item x="948"/>
        <item x="319"/>
        <item x="2411"/>
        <item x="661"/>
        <item x="2089"/>
        <item x="1788"/>
        <item x="195"/>
        <item x="1657"/>
        <item x="807"/>
        <item x="2296"/>
        <item x="1399"/>
        <item x="667"/>
        <item x="1925"/>
        <item x="1468"/>
        <item x="499"/>
        <item x="926"/>
        <item x="2518"/>
        <item x="2414"/>
        <item x="2462"/>
        <item x="2468"/>
        <item x="2500"/>
        <item x="2343"/>
        <item x="2696"/>
        <item x="2756"/>
        <item x="2211"/>
        <item x="2239"/>
        <item x="1986"/>
        <item x="2359"/>
      </items>
    </pivotField>
    <pivotField compact="0" outline="0" showAll="0" defaultSubtotal="0"/>
    <pivotField axis="axisRow" compact="0" outline="0" showAll="0" defaultSubtotal="0">
      <items count="43">
        <item x="15"/>
        <item m="1" x="36"/>
        <item x="4"/>
        <item m="1" x="40"/>
        <item x="12"/>
        <item x="18"/>
        <item m="1" x="27"/>
        <item x="2"/>
        <item x="11"/>
        <item m="1" x="30"/>
        <item m="1" x="37"/>
        <item x="10"/>
        <item m="1" x="38"/>
        <item m="1" x="28"/>
        <item x="21"/>
        <item x="20"/>
        <item m="1" x="29"/>
        <item m="1" x="26"/>
        <item m="1" x="39"/>
        <item m="1" x="31"/>
        <item m="1" x="35"/>
        <item x="19"/>
        <item x="8"/>
        <item x="1"/>
        <item x="14"/>
        <item x="22"/>
        <item m="1" x="34"/>
        <item x="3"/>
        <item x="17"/>
        <item m="1" x="25"/>
        <item x="16"/>
        <item x="7"/>
        <item x="5"/>
        <item x="9"/>
        <item m="1" x="42"/>
        <item x="23"/>
        <item x="13"/>
        <item m="1" x="24"/>
        <item x="6"/>
        <item m="1" x="33"/>
        <item x="0"/>
        <item m="1" x="32"/>
        <item m="1" x="41"/>
      </items>
    </pivotField>
    <pivotField compact="0" outline="0" showAll="0" defaultSubtotal="0"/>
    <pivotField compact="0" outline="0" showAll="0" defaultSubtotal="0"/>
    <pivotField compact="0" outline="0" showAll="0" defaultSubtotal="0"/>
    <pivotField axis="axisRow" compact="0" outline="0" showAll="0" defaultSubtotal="0">
      <items count="21">
        <item x="9"/>
        <item x="11"/>
        <item x="13"/>
        <item x="12"/>
        <item x="15"/>
        <item x="19"/>
        <item x="17"/>
        <item x="16"/>
        <item x="18"/>
        <item x="8"/>
        <item x="14"/>
        <item x="4"/>
        <item x="20"/>
        <item x="0"/>
        <item x="1"/>
        <item x="6"/>
        <item x="5"/>
        <item x="10"/>
        <item x="2"/>
        <item x="7"/>
        <item x="3"/>
      </items>
    </pivotField>
    <pivotField axis="axisRow" compact="0" outline="0" showAll="0" defaultSubtotal="0">
      <items count="348">
        <item h="1" x="211"/>
        <item h="1" x="234"/>
        <item x="181"/>
        <item h="1" x="71"/>
        <item h="1" x="261"/>
        <item h="1" m="1" x="324"/>
        <item h="1" x="258"/>
        <item h="1" x="230"/>
        <item h="1" x="225"/>
        <item h="1" x="74"/>
        <item h="1" x="16"/>
        <item h="1" x="0"/>
        <item h="1" x="22"/>
        <item h="1" x="167"/>
        <item h="1" x="180"/>
        <item h="1" x="273"/>
        <item h="1" x="170"/>
        <item h="1" x="277"/>
        <item h="1" x="17"/>
        <item h="1" x="309"/>
        <item h="1" x="281"/>
        <item h="1" x="115"/>
        <item h="1" x="304"/>
        <item h="1" x="78"/>
        <item h="1" x="24"/>
        <item h="1" x="298"/>
        <item h="1" x="301"/>
        <item h="1" x="185"/>
        <item h="1" x="95"/>
        <item h="1" x="83"/>
        <item h="1" x="165"/>
        <item h="1" m="1" x="314"/>
        <item h="1" m="1" x="325"/>
        <item h="1" x="269"/>
        <item h="1" x="250"/>
        <item h="1" x="194"/>
        <item h="1" x="127"/>
        <item h="1" x="57"/>
        <item h="1" x="306"/>
        <item h="1" m="1" x="320"/>
        <item h="1" x="69"/>
        <item h="1" x="75"/>
        <item h="1" x="266"/>
        <item h="1" x="79"/>
        <item h="1" x="48"/>
        <item h="1" x="12"/>
        <item h="1" x="241"/>
        <item h="1" x="118"/>
        <item h="1" x="308"/>
        <item h="1" x="231"/>
        <item h="1" x="182"/>
        <item h="1" m="1" x="344"/>
        <item h="1" x="88"/>
        <item h="1" x="41"/>
        <item h="1" x="124"/>
        <item h="1" x="142"/>
        <item h="1" x="81"/>
        <item h="1" x="109"/>
        <item h="1" m="1" x="335"/>
        <item h="1" m="1" x="313"/>
        <item h="1" x="161"/>
        <item h="1" x="285"/>
        <item h="1" x="303"/>
        <item h="1" x="123"/>
        <item h="1" x="302"/>
        <item h="1" x="257"/>
        <item h="1" x="280"/>
        <item h="1" x="119"/>
        <item h="1" x="248"/>
        <item h="1" x="198"/>
        <item h="1" x="98"/>
        <item h="1" x="297"/>
        <item h="1" x="147"/>
        <item h="1" x="200"/>
        <item h="1" x="19"/>
        <item h="1" x="149"/>
        <item h="1" x="166"/>
        <item h="1" x="15"/>
        <item h="1" x="311"/>
        <item h="1" x="213"/>
        <item h="1" x="68"/>
        <item h="1" x="187"/>
        <item h="1" m="1" x="312"/>
        <item h="1" x="76"/>
        <item h="1" x="240"/>
        <item h="1" x="1"/>
        <item h="1" x="228"/>
        <item h="1" x="73"/>
        <item h="1" x="63"/>
        <item h="1" x="282"/>
        <item h="1" x="120"/>
        <item h="1" x="295"/>
        <item h="1" x="293"/>
        <item h="1" x="3"/>
        <item h="1" x="206"/>
        <item h="1" x="62"/>
        <item h="1" x="80"/>
        <item h="1" x="278"/>
        <item h="1" x="40"/>
        <item h="1" x="218"/>
        <item h="1" x="289"/>
        <item h="1" x="201"/>
        <item h="1" x="33"/>
        <item h="1" x="116"/>
        <item h="1" x="172"/>
        <item h="1" x="129"/>
        <item h="1" x="92"/>
        <item h="1" x="196"/>
        <item h="1" x="141"/>
        <item h="1" x="238"/>
        <item h="1" x="270"/>
        <item h="1" x="53"/>
        <item h="1" x="202"/>
        <item h="1" x="42"/>
        <item h="1" x="186"/>
        <item h="1" m="1" x="338"/>
        <item h="1" x="245"/>
        <item h="1" x="35"/>
        <item h="1" x="50"/>
        <item h="1" x="307"/>
        <item h="1" m="1" x="317"/>
        <item h="1" x="177"/>
        <item h="1" x="86"/>
        <item h="1" x="138"/>
        <item h="1" x="59"/>
        <item h="1" x="208"/>
        <item h="1" x="145"/>
        <item h="1" x="291"/>
        <item h="1" x="253"/>
        <item h="1" x="260"/>
        <item h="1" m="1" x="318"/>
        <item h="1" x="288"/>
        <item h="1" x="110"/>
        <item h="1" x="169"/>
        <item h="1" x="247"/>
        <item h="1" x="44"/>
        <item h="1" m="1" x="329"/>
        <item h="1" x="150"/>
        <item h="1" m="1" x="315"/>
        <item h="1" x="189"/>
        <item h="1" x="70"/>
        <item h="1" x="237"/>
        <item h="1" x="11"/>
        <item h="1" x="133"/>
        <item h="1" x="221"/>
        <item h="1" x="279"/>
        <item h="1" x="274"/>
        <item h="1" x="294"/>
        <item h="1" x="292"/>
        <item h="1" x="210"/>
        <item h="1" x="144"/>
        <item h="1" x="107"/>
        <item h="1" x="305"/>
        <item h="1" x="168"/>
        <item h="1" x="49"/>
        <item h="1" x="108"/>
        <item h="1" m="1" x="328"/>
        <item h="1" x="148"/>
        <item h="1" x="28"/>
        <item h="1" x="13"/>
        <item h="1" m="1" x="345"/>
        <item h="1" x="55"/>
        <item h="1" x="52"/>
        <item h="1" x="254"/>
        <item h="1" x="246"/>
        <item h="1" x="140"/>
        <item h="1" x="131"/>
        <item h="1" x="97"/>
        <item h="1" x="212"/>
        <item h="1" x="223"/>
        <item h="1" x="209"/>
        <item h="1" x="262"/>
        <item h="1" x="154"/>
        <item h="1" x="65"/>
        <item h="1" x="239"/>
        <item h="1" x="113"/>
        <item h="1" x="283"/>
        <item h="1" m="1" x="337"/>
        <item h="1" x="121"/>
        <item h="1" m="1" x="333"/>
        <item h="1" x="137"/>
        <item h="1" x="215"/>
        <item h="1" x="216"/>
        <item h="1" x="276"/>
        <item h="1" x="134"/>
        <item h="1" x="275"/>
        <item h="1" x="114"/>
        <item h="1" x="252"/>
        <item h="1" x="20"/>
        <item h="1" x="284"/>
        <item h="1" x="267"/>
        <item h="1" x="31"/>
        <item h="1" x="243"/>
        <item h="1" x="37"/>
        <item h="1" x="60"/>
        <item h="1" x="204"/>
        <item h="1" x="244"/>
        <item h="1" x="56"/>
        <item h="1" x="173"/>
        <item h="1" m="1" x="346"/>
        <item h="1" x="87"/>
        <item h="1" x="160"/>
        <item h="1" x="4"/>
        <item h="1" x="268"/>
        <item h="1" x="178"/>
        <item h="1" m="1" x="326"/>
        <item h="1" x="205"/>
        <item h="1" x="6"/>
        <item h="1" x="58"/>
        <item h="1" x="39"/>
        <item h="1" x="171"/>
        <item h="1" m="1" x="323"/>
        <item h="1" x="2"/>
        <item h="1" x="105"/>
        <item h="1" x="265"/>
        <item h="1" m="1" x="321"/>
        <item h="1" x="10"/>
        <item h="1" x="174"/>
        <item h="1" x="143"/>
        <item h="1" m="1" x="347"/>
        <item h="1" x="222"/>
        <item h="1" x="38"/>
        <item h="1" x="93"/>
        <item h="1" x="67"/>
        <item h="1" x="286"/>
        <item h="1" x="272"/>
        <item h="1" x="111"/>
        <item h="1" x="158"/>
        <item h="1" x="193"/>
        <item h="1" x="162"/>
        <item h="1" x="36"/>
        <item h="1" x="179"/>
        <item h="1" x="300"/>
        <item h="1" x="126"/>
        <item h="1" x="163"/>
        <item h="1" x="132"/>
        <item h="1" x="14"/>
        <item h="1" m="1" x="330"/>
        <item h="1" x="5"/>
        <item h="1" x="91"/>
        <item h="1" x="235"/>
        <item h="1" x="195"/>
        <item h="1" x="102"/>
        <item h="1" x="21"/>
        <item h="1" x="184"/>
        <item h="1" x="34"/>
        <item h="1" x="104"/>
        <item h="1" x="207"/>
        <item h="1" x="156"/>
        <item h="1" x="151"/>
        <item h="1" x="72"/>
        <item h="1" x="233"/>
        <item h="1" x="164"/>
        <item h="1" x="192"/>
        <item h="1" x="26"/>
        <item h="1" m="1" x="334"/>
        <item h="1" m="1" x="322"/>
        <item h="1" x="236"/>
        <item h="1" m="1" x="331"/>
        <item h="1" x="46"/>
        <item h="1" x="232"/>
        <item h="1" x="197"/>
        <item h="1" x="264"/>
        <item h="1" x="51"/>
        <item h="1" m="1" x="332"/>
        <item h="1" x="130"/>
        <item h="1" x="188"/>
        <item h="1" x="155"/>
        <item h="1" x="220"/>
        <item h="1" x="100"/>
        <item h="1" x="229"/>
        <item h="1" x="54"/>
        <item h="1" x="23"/>
        <item h="1" x="77"/>
        <item h="1" x="30"/>
        <item h="1" x="203"/>
        <item h="1" x="125"/>
        <item h="1" x="128"/>
        <item h="1" x="32"/>
        <item h="1" x="47"/>
        <item h="1" x="242"/>
        <item h="1" m="1" x="316"/>
        <item h="1" x="227"/>
        <item h="1" m="1" x="327"/>
        <item h="1" x="29"/>
        <item h="1" x="106"/>
        <item h="1" x="8"/>
        <item h="1" x="135"/>
        <item h="1" x="25"/>
        <item h="1" x="310"/>
        <item h="1" x="259"/>
        <item h="1" x="146"/>
        <item h="1" x="99"/>
        <item h="1" x="64"/>
        <item h="1" x="90"/>
        <item h="1" x="89"/>
        <item h="1" m="1" x="342"/>
        <item h="1" x="7"/>
        <item h="1" x="94"/>
        <item h="1" m="1" x="343"/>
        <item h="1" x="296"/>
        <item h="1" m="1" x="340"/>
        <item h="1" m="1" x="339"/>
        <item h="1" m="1" x="336"/>
        <item h="1" x="287"/>
        <item h="1" x="122"/>
        <item h="1" x="27"/>
        <item h="1" x="61"/>
        <item h="1" x="117"/>
        <item h="1" m="1" x="341"/>
        <item h="1" x="112"/>
        <item h="1" x="9"/>
        <item h="1" x="136"/>
        <item h="1" x="96"/>
        <item h="1" x="219"/>
        <item h="1" x="299"/>
        <item h="1" x="101"/>
        <item h="1" x="157"/>
        <item h="1" x="84"/>
        <item h="1" x="66"/>
        <item h="1" x="82"/>
        <item h="1" x="103"/>
        <item h="1" x="251"/>
        <item h="1" x="175"/>
        <item h="1" x="256"/>
        <item h="1" x="271"/>
        <item h="1" x="214"/>
        <item h="1" x="191"/>
        <item h="1" x="43"/>
        <item h="1" x="139"/>
        <item h="1" x="199"/>
        <item h="1" x="85"/>
        <item h="1" x="45"/>
        <item h="1" x="183"/>
        <item h="1" x="190"/>
        <item h="1" m="1" x="319"/>
        <item h="1" x="18"/>
        <item h="1" x="153"/>
        <item h="1" x="263"/>
        <item h="1" x="176"/>
        <item h="1" x="152"/>
        <item h="1" x="159"/>
        <item h="1" x="224"/>
        <item h="1" x="226"/>
        <item h="1" x="249"/>
        <item h="1" x="255"/>
        <item h="1" x="217"/>
        <item h="1" x="290"/>
      </items>
    </pivotField>
    <pivotField axis="axisRow" compact="0" outline="0" showAll="0" defaultSubtotal="0">
      <items count="32">
        <item x="2"/>
        <item x="1"/>
        <item x="3"/>
        <item x="6"/>
        <item x="23"/>
        <item x="8"/>
        <item x="4"/>
        <item x="10"/>
        <item x="13"/>
        <item x="14"/>
        <item x="15"/>
        <item x="22"/>
        <item x="17"/>
        <item x="11"/>
        <item x="18"/>
        <item x="9"/>
        <item x="7"/>
        <item x="30"/>
        <item x="26"/>
        <item x="19"/>
        <item x="31"/>
        <item x="20"/>
        <item x="24"/>
        <item x="16"/>
        <item x="21"/>
        <item x="25"/>
        <item x="28"/>
        <item x="27"/>
        <item x="0"/>
        <item x="5"/>
        <item x="29"/>
        <item x="12"/>
      </items>
    </pivotField>
  </pivotFields>
  <rowFields count="5">
    <field x="7"/>
    <field x="0"/>
    <field x="8"/>
    <field x="2"/>
    <field x="6"/>
  </rowFields>
  <rowItems count="3">
    <i>
      <x v="2"/>
      <x v="1248"/>
      <x v="16"/>
      <x v="28"/>
      <x/>
    </i>
    <i r="1">
      <x v="1781"/>
      <x v="8"/>
      <x v="2"/>
      <x v="13"/>
    </i>
    <i r="1">
      <x v="2763"/>
      <x v="26"/>
      <x v="21"/>
      <x v="14"/>
    </i>
  </rowItems>
  <colItems count="1">
    <i/>
  </colItems>
  <formats count="1">
    <format dxfId="1535">
      <pivotArea dataOnly="0" labelOnly="1" outline="0" fieldPosition="0">
        <references count="3">
          <reference field="0" count="1" selected="0">
            <x v="66"/>
          </reference>
          <reference field="7" count="0" selected="0"/>
          <reference field="8" count="1">
            <x v="18"/>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27D4B36D-9840-4C1A-B39B-7D94760B73DE}" name="Tabela dinâmica1" cacheId="59" applyNumberFormats="0" applyBorderFormats="0" applyFontFormats="0" applyPatternFormats="0" applyAlignmentFormats="0" applyWidthHeightFormats="1" dataCaption="Valores" updatedVersion="6" minRefreshableVersion="3" showDrill="0" itemPrintTitles="1" createdVersion="6" indent="0" outline="1" outlineData="1" multipleFieldFilters="0">
  <location ref="B1:B130" firstHeaderRow="1" firstDataRow="1" firstDataCol="1"/>
  <pivotFields count="3">
    <pivotField axis="axisRow" showAll="0" sortType="descending">
      <items count="151">
        <item x="38"/>
        <item x="135"/>
        <item x="39"/>
        <item x="136"/>
        <item x="82"/>
        <item x="133"/>
        <item x="124"/>
        <item x="83"/>
        <item x="137"/>
        <item x="146"/>
        <item x="40"/>
        <item x="41"/>
        <item x="125"/>
        <item x="148"/>
        <item x="109"/>
        <item x="126"/>
        <item x="84"/>
        <item x="42"/>
        <item x="130"/>
        <item x="85"/>
        <item x="86"/>
        <item x="122"/>
        <item x="87"/>
        <item x="134"/>
        <item x="88"/>
        <item x="89"/>
        <item x="0"/>
        <item x="90"/>
        <item x="110"/>
        <item x="66"/>
        <item x="43"/>
        <item x="67"/>
        <item x="44"/>
        <item x="1"/>
        <item x="139"/>
        <item x="91"/>
        <item x="95"/>
        <item x="68"/>
        <item x="2"/>
        <item x="45"/>
        <item x="141"/>
        <item x="46"/>
        <item x="3"/>
        <item x="47"/>
        <item x="127"/>
        <item x="69"/>
        <item x="128"/>
        <item x="92"/>
        <item x="123"/>
        <item x="129"/>
        <item x="96"/>
        <item x="4"/>
        <item x="111"/>
        <item x="48"/>
        <item x="49"/>
        <item x="50"/>
        <item x="112"/>
        <item x="70"/>
        <item x="5"/>
        <item x="113"/>
        <item x="118"/>
        <item x="6"/>
        <item x="7"/>
        <item x="149"/>
        <item x="131"/>
        <item x="71"/>
        <item x="93"/>
        <item x="51"/>
        <item x="8"/>
        <item x="97"/>
        <item x="52"/>
        <item x="72"/>
        <item x="53"/>
        <item x="54"/>
        <item x="55"/>
        <item x="142"/>
        <item x="56"/>
        <item x="140"/>
        <item x="9"/>
        <item x="10"/>
        <item x="143"/>
        <item x="11"/>
        <item x="12"/>
        <item x="13"/>
        <item x="14"/>
        <item x="15"/>
        <item x="98"/>
        <item x="99"/>
        <item x="57"/>
        <item x="16"/>
        <item x="17"/>
        <item x="58"/>
        <item x="73"/>
        <item x="74"/>
        <item x="18"/>
        <item x="19"/>
        <item x="20"/>
        <item x="21"/>
        <item x="59"/>
        <item x="100"/>
        <item x="75"/>
        <item x="101"/>
        <item x="147"/>
        <item x="94"/>
        <item x="119"/>
        <item x="102"/>
        <item x="103"/>
        <item x="104"/>
        <item x="76"/>
        <item x="114"/>
        <item x="60"/>
        <item x="105"/>
        <item x="106"/>
        <item x="145"/>
        <item x="120"/>
        <item x="77"/>
        <item x="132"/>
        <item x="107"/>
        <item x="115"/>
        <item x="22"/>
        <item x="121"/>
        <item x="108"/>
        <item x="23"/>
        <item x="61"/>
        <item x="138"/>
        <item x="24"/>
        <item x="25"/>
        <item x="62"/>
        <item x="116"/>
        <item x="26"/>
        <item x="63"/>
        <item x="78"/>
        <item x="27"/>
        <item x="79"/>
        <item x="80"/>
        <item x="28"/>
        <item x="64"/>
        <item x="81"/>
        <item x="29"/>
        <item x="30"/>
        <item x="31"/>
        <item x="117"/>
        <item x="32"/>
        <item x="33"/>
        <item x="65"/>
        <item x="34"/>
        <item x="35"/>
        <item x="36"/>
        <item x="144"/>
        <item x="37"/>
        <item t="default"/>
      </items>
    </pivotField>
    <pivotField axis="axisRow" showAll="0">
      <items count="1332">
        <item x="410"/>
        <item x="213"/>
        <item x="1000"/>
        <item x="908"/>
        <item x="324"/>
        <item x="1084"/>
        <item x="1097"/>
        <item x="368"/>
        <item x="1060"/>
        <item x="1136"/>
        <item x="974"/>
        <item x="1062"/>
        <item x="311"/>
        <item x="1194"/>
        <item x="960"/>
        <item x="825"/>
        <item x="1276"/>
        <item x="1264"/>
        <item x="1284"/>
        <item x="1280"/>
        <item x="1270"/>
        <item x="976"/>
        <item x="1242"/>
        <item x="1070"/>
        <item x="1200"/>
        <item x="624"/>
        <item x="827"/>
        <item x="826"/>
        <item x="629"/>
        <item x="617"/>
        <item x="1108"/>
        <item x="546"/>
        <item x="1057"/>
        <item x="1241"/>
        <item x="616"/>
        <item x="366"/>
        <item x="1327"/>
        <item x="541"/>
        <item x="632"/>
        <item x="972"/>
        <item x="364"/>
        <item x="302"/>
        <item x="308"/>
        <item x="622"/>
        <item x="1325"/>
        <item x="621"/>
        <item x="1266"/>
        <item x="529"/>
        <item x="1234"/>
        <item x="299"/>
        <item x="295"/>
        <item x="1283"/>
        <item x="961"/>
        <item x="1137"/>
        <item x="1329"/>
        <item x="367"/>
        <item x="1326"/>
        <item x="623"/>
        <item x="862"/>
        <item x="365"/>
        <item x="1065"/>
        <item x="291"/>
        <item x="309"/>
        <item x="1191"/>
        <item x="1189"/>
        <item x="1061"/>
        <item x="784"/>
        <item x="1275"/>
        <item x="1282"/>
        <item x="1318"/>
        <item x="1044"/>
        <item x="1048"/>
        <item x="1021"/>
        <item x="921"/>
        <item x="1307"/>
        <item x="933"/>
        <item x="1315"/>
        <item x="840"/>
        <item x="847"/>
        <item x="938"/>
        <item x="496"/>
        <item x="1313"/>
        <item x="1306"/>
        <item x="1312"/>
        <item x="941"/>
        <item x="1047"/>
        <item x="1316"/>
        <item x="1041"/>
        <item x="920"/>
        <item x="841"/>
        <item x="1310"/>
        <item x="940"/>
        <item x="844"/>
        <item x="846"/>
        <item x="1045"/>
        <item x="845"/>
        <item x="1019"/>
        <item x="932"/>
        <item x="848"/>
        <item x="919"/>
        <item x="1160"/>
        <item x="1293"/>
        <item x="1298"/>
        <item x="836"/>
        <item x="497"/>
        <item x="1043"/>
        <item x="843"/>
        <item x="1040"/>
        <item x="565"/>
        <item x="586"/>
        <item x="587"/>
        <item x="590"/>
        <item x="447"/>
        <item x="607"/>
        <item x="251"/>
        <item x="588"/>
        <item x="440"/>
        <item x="450"/>
        <item x="787"/>
        <item x="572"/>
        <item x="567"/>
        <item x="1165"/>
        <item x="452"/>
        <item x="574"/>
        <item x="569"/>
        <item x="571"/>
        <item x="788"/>
        <item x="556"/>
        <item x="901"/>
        <item x="1038"/>
        <item x="557"/>
        <item x="785"/>
        <item x="132"/>
        <item x="155"/>
        <item x="160"/>
        <item x="167"/>
        <item x="145"/>
        <item x="142"/>
        <item x="136"/>
        <item x="131"/>
        <item x="146"/>
        <item x="147"/>
        <item x="124"/>
        <item x="162"/>
        <item x="164"/>
        <item x="149"/>
        <item x="161"/>
        <item x="133"/>
        <item x="163"/>
        <item x="128"/>
        <item x="156"/>
        <item x="150"/>
        <item x="158"/>
        <item x="148"/>
        <item x="134"/>
        <item x="159"/>
        <item x="157"/>
        <item x="129"/>
        <item x="144"/>
        <item x="153"/>
        <item x="165"/>
        <item x="119"/>
        <item x="151"/>
        <item x="126"/>
        <item x="140"/>
        <item x="135"/>
        <item x="141"/>
        <item x="143"/>
        <item x="152"/>
        <item x="120"/>
        <item x="123"/>
        <item x="139"/>
        <item x="121"/>
        <item x="122"/>
        <item x="127"/>
        <item x="125"/>
        <item x="1116"/>
        <item x="682"/>
        <item x="32"/>
        <item x="902"/>
        <item x="906"/>
        <item x="872"/>
        <item x="693"/>
        <item x="965"/>
        <item x="878"/>
        <item x="154"/>
        <item x="1322"/>
        <item x="881"/>
        <item x="775"/>
        <item x="438"/>
        <item x="435"/>
        <item x="1020"/>
        <item x="416"/>
        <item x="470"/>
        <item x="345"/>
        <item x="988"/>
        <item x="382"/>
        <item x="389"/>
        <item x="1022"/>
        <item x="577"/>
        <item x="604"/>
        <item x="805"/>
        <item x="803"/>
        <item x="460"/>
        <item x="459"/>
        <item x="725"/>
        <item x="687"/>
        <item x="706"/>
        <item x="679"/>
        <item x="684"/>
        <item x="734"/>
        <item x="702"/>
        <item x="683"/>
        <item x="1012"/>
        <item x="923"/>
        <item x="166"/>
        <item x="686"/>
        <item x="689"/>
        <item x="1151"/>
        <item x="564"/>
        <item x="779"/>
        <item x="441"/>
        <item x="1236"/>
        <item x="1273"/>
        <item x="1272"/>
        <item x="505"/>
        <item x="453"/>
        <item x="869"/>
        <item x="1015"/>
        <item x="890"/>
        <item x="879"/>
        <item x="896"/>
        <item x="904"/>
        <item x="480"/>
        <item x="1295"/>
        <item x="1300"/>
        <item x="928"/>
        <item x="486"/>
        <item x="1213"/>
        <item x="485"/>
        <item x="924"/>
        <item x="484"/>
        <item x="483"/>
        <item x="1302"/>
        <item x="477"/>
        <item x="929"/>
        <item x="930"/>
        <item x="1163"/>
        <item x="926"/>
        <item x="1212"/>
        <item x="481"/>
        <item x="931"/>
        <item x="1161"/>
        <item x="487"/>
        <item x="1162"/>
        <item x="478"/>
        <item x="681"/>
        <item x="240"/>
        <item x="699"/>
        <item x="237"/>
        <item x="727"/>
        <item x="842"/>
        <item x="786"/>
        <item x="782"/>
        <item x="527"/>
        <item x="1009"/>
        <item x="522"/>
        <item x="1013"/>
        <item x="1069"/>
        <item x="1064"/>
        <item x="524"/>
        <item x="1016"/>
        <item x="249"/>
        <item x="553"/>
        <item x="525"/>
        <item x="1199"/>
        <item x="253"/>
        <item x="554"/>
        <item x="523"/>
        <item x="977"/>
        <item x="1139"/>
        <item x="863"/>
        <item x="241"/>
        <item x="238"/>
        <item x="244"/>
        <item x="790"/>
        <item x="566"/>
        <item x="563"/>
        <item x="214"/>
        <item x="1215"/>
        <item x="270"/>
        <item x="606"/>
        <item x="359"/>
        <item x="54"/>
        <item x="111"/>
        <item x="117"/>
        <item x="114"/>
        <item x="115"/>
        <item x="108"/>
        <item x="98"/>
        <item x="113"/>
        <item x="59"/>
        <item x="61"/>
        <item x="53"/>
        <item x="48"/>
        <item x="97"/>
        <item x="100"/>
        <item x="63"/>
        <item x="64"/>
        <item x="60"/>
        <item x="43"/>
        <item x="103"/>
        <item x="45"/>
        <item x="51"/>
        <item x="110"/>
        <item x="84"/>
        <item x="91"/>
        <item x="94"/>
        <item x="95"/>
        <item x="88"/>
        <item x="83"/>
        <item x="71"/>
        <item x="69"/>
        <item x="68"/>
        <item x="66"/>
        <item x="70"/>
        <item x="67"/>
        <item x="65"/>
        <item x="72"/>
        <item x="62"/>
        <item x="42"/>
        <item x="96"/>
        <item x="44"/>
        <item x="85"/>
        <item x="112"/>
        <item x="47"/>
        <item x="116"/>
        <item x="86"/>
        <item x="90"/>
        <item x="76"/>
        <item x="107"/>
        <item x="109"/>
        <item x="81"/>
        <item x="50"/>
        <item x="104"/>
        <item x="57"/>
        <item x="74"/>
        <item x="58"/>
        <item x="55"/>
        <item x="99"/>
        <item x="106"/>
        <item x="77"/>
        <item x="49"/>
        <item x="80"/>
        <item x="93"/>
        <item x="78"/>
        <item x="87"/>
        <item x="46"/>
        <item x="92"/>
        <item x="75"/>
        <item x="105"/>
        <item x="102"/>
        <item x="56"/>
        <item x="82"/>
        <item x="79"/>
        <item x="52"/>
        <item x="89"/>
        <item x="73"/>
        <item x="454"/>
        <item x="680"/>
        <item x="1110"/>
        <item x="1107"/>
        <item x="897"/>
        <item x="898"/>
        <item x="899"/>
        <item x="437"/>
        <item x="854"/>
        <item x="849"/>
        <item x="850"/>
        <item x="1231"/>
        <item x="555"/>
        <item x="562"/>
        <item x="581"/>
        <item x="783"/>
        <item x="778"/>
        <item x="442"/>
        <item x="456"/>
        <item x="585"/>
        <item x="774"/>
        <item x="455"/>
        <item x="458"/>
        <item x="446"/>
        <item x="448"/>
        <item x="888"/>
        <item x="867"/>
        <item x="870"/>
        <item x="903"/>
        <item x="1274"/>
        <item x="1269"/>
        <item x="905"/>
        <item x="884"/>
        <item x="726"/>
        <item x="874"/>
        <item x="729"/>
        <item x="720"/>
        <item x="692"/>
        <item x="886"/>
        <item x="875"/>
        <item x="677"/>
        <item x="258"/>
        <item x="685"/>
        <item x="1321"/>
        <item x="1115"/>
        <item x="887"/>
        <item x="893"/>
        <item x="894"/>
        <item x="439"/>
        <item x="871"/>
        <item x="591"/>
        <item x="432"/>
        <item x="443"/>
        <item x="594"/>
        <item x="593"/>
        <item x="230"/>
        <item x="444"/>
        <item x="582"/>
        <item x="573"/>
        <item x="781"/>
        <item x="445"/>
        <item x="579"/>
        <item x="289"/>
        <item x="277"/>
        <item x="853"/>
        <item x="337"/>
        <item x="335"/>
        <item x="777"/>
        <item x="130"/>
        <item x="561"/>
        <item x="559"/>
        <item x="584"/>
        <item x="1167"/>
        <item x="707"/>
        <item x="704"/>
        <item x="711"/>
        <item x="697"/>
        <item x="688"/>
        <item x="461"/>
        <item x="449"/>
        <item x="1246"/>
        <item x="730"/>
        <item x="705"/>
        <item x="728"/>
        <item x="695"/>
        <item x="907"/>
        <item x="717"/>
        <item x="883"/>
        <item x="713"/>
        <item x="589"/>
        <item x="560"/>
        <item x="530"/>
        <item x="1235"/>
        <item x="1324"/>
        <item x="1197"/>
        <item x="1081"/>
        <item x="966"/>
        <item x="1143"/>
        <item x="531"/>
        <item x="970"/>
        <item x="255"/>
        <item x="254"/>
        <item x="248"/>
        <item x="534"/>
        <item x="1054"/>
        <item x="1141"/>
        <item x="200"/>
        <item x="816"/>
        <item x="815"/>
        <item x="287"/>
        <item x="535"/>
        <item x="1192"/>
        <item x="428"/>
        <item x="1067"/>
        <item x="1144"/>
        <item x="528"/>
        <item x="1113"/>
        <item x="538"/>
        <item x="859"/>
        <item x="372"/>
        <item x="202"/>
        <item x="306"/>
        <item x="860"/>
        <item x="542"/>
        <item x="424"/>
        <item x="1142"/>
        <item x="544"/>
        <item x="543"/>
        <item x="1080"/>
        <item x="1328"/>
        <item x="1207"/>
        <item x="545"/>
        <item x="1140"/>
        <item x="814"/>
        <item x="971"/>
        <item x="429"/>
        <item x="552"/>
        <item x="620"/>
        <item x="1319"/>
        <item x="288"/>
        <item x="256"/>
        <item x="1196"/>
        <item x="1059"/>
        <item x="426"/>
        <item x="1068"/>
        <item x="969"/>
        <item x="975"/>
        <item x="852"/>
        <item x="272"/>
        <item x="1055"/>
        <item x="1063"/>
        <item x="885"/>
        <item x="723"/>
        <item x="866"/>
        <item x="892"/>
        <item x="703"/>
        <item x="583"/>
        <item x="791"/>
        <item x="718"/>
        <item x="876"/>
        <item x="714"/>
        <item x="301"/>
        <item x="690"/>
        <item x="137"/>
        <item x="298"/>
        <item x="303"/>
        <item x="310"/>
        <item x="700"/>
        <item x="696"/>
        <item x="927"/>
        <item x="1299"/>
        <item x="925"/>
        <item x="949"/>
        <item x="609"/>
        <item x="962"/>
        <item x="1124"/>
        <item x="1101"/>
        <item x="1118"/>
        <item x="945"/>
        <item x="415"/>
        <item x="1046"/>
        <item x="1317"/>
        <item x="1126"/>
        <item x="325"/>
        <item x="611"/>
        <item x="1117"/>
        <item x="807"/>
        <item x="806"/>
        <item x="973"/>
        <item x="1056"/>
        <item x="1066"/>
        <item x="332"/>
        <item x="1133"/>
        <item x="414"/>
        <item x="373"/>
        <item x="1003"/>
        <item x="1099"/>
        <item x="990"/>
        <item x="1109"/>
        <item x="1114"/>
        <item x="409"/>
        <item x="328"/>
        <item x="331"/>
        <item x="630"/>
        <item x="600"/>
        <item x="259"/>
        <item x="1260"/>
        <item x="1122"/>
        <item x="390"/>
        <item x="991"/>
        <item x="413"/>
        <item x="358"/>
        <item x="536"/>
        <item x="499"/>
        <item x="307"/>
        <item x="326"/>
        <item x="431"/>
        <item x="1259"/>
        <item x="285"/>
        <item x="284"/>
        <item x="225"/>
        <item x="232"/>
        <item x="296"/>
        <item x="216"/>
        <item x="610"/>
        <item x="1248"/>
        <item x="196"/>
        <item x="466"/>
        <item x="948"/>
        <item x="992"/>
        <item x="800"/>
        <item x="802"/>
        <item x="273"/>
        <item x="229"/>
        <item x="861"/>
        <item x="186"/>
        <item x="489"/>
        <item x="188"/>
        <item x="189"/>
        <item x="286"/>
        <item x="187"/>
        <item x="613"/>
        <item x="608"/>
        <item x="950"/>
        <item x="495"/>
        <item x="231"/>
        <item x="952"/>
        <item x="996"/>
        <item x="1244"/>
        <item x="810"/>
        <item x="812"/>
        <item x="228"/>
        <item x="954"/>
        <item x="279"/>
        <item x="197"/>
        <item x="411"/>
        <item x="995"/>
        <item x="169"/>
        <item x="222"/>
        <item x="212"/>
        <item x="278"/>
        <item x="838"/>
        <item x="274"/>
        <item x="281"/>
        <item x="195"/>
        <item x="1129"/>
        <item x="999"/>
        <item x="1131"/>
        <item x="947"/>
        <item x="193"/>
        <item x="809"/>
        <item x="290"/>
        <item x="500"/>
        <item x="350"/>
        <item x="465"/>
        <item x="951"/>
        <item x="217"/>
        <item x="218"/>
        <item x="1249"/>
        <item x="185"/>
        <item x="808"/>
        <item x="813"/>
        <item x="946"/>
        <item x="1127"/>
        <item x="220"/>
        <item x="233"/>
        <item x="223"/>
        <item x="550"/>
        <item x="547"/>
        <item x="1198"/>
        <item x="257"/>
        <item x="242"/>
        <item x="570"/>
        <item x="1034"/>
        <item x="316"/>
        <item x="1037"/>
        <item x="268"/>
        <item x="1030"/>
        <item x="1031"/>
        <item x="215"/>
        <item x="315"/>
        <item x="1033"/>
        <item x="267"/>
        <item x="314"/>
        <item x="451"/>
        <item x="457"/>
        <item x="592"/>
        <item x="176"/>
        <item x="168"/>
        <item x="181"/>
        <item x="172"/>
        <item x="183"/>
        <item x="174"/>
        <item x="173"/>
        <item x="175"/>
        <item x="984"/>
        <item x="260"/>
        <item x="261"/>
        <item x="985"/>
        <item x="266"/>
        <item x="1279"/>
        <item x="491"/>
        <item x="1018"/>
        <item x="830"/>
        <item x="227"/>
        <item x="349"/>
        <item x="1286"/>
        <item x="1170"/>
        <item x="1181"/>
        <item x="1130"/>
        <item x="347"/>
        <item x="1309"/>
        <item x="1238"/>
        <item x="1075"/>
        <item x="1104"/>
        <item x="615"/>
        <item x="1123"/>
        <item x="510"/>
        <item x="355"/>
        <item x="967"/>
        <item x="1128"/>
        <item x="178"/>
        <item x="1173"/>
        <item x="994"/>
        <item x="474"/>
        <item x="519"/>
        <item x="338"/>
        <item x="469"/>
        <item x="333"/>
        <item x="1308"/>
        <item x="596"/>
        <item x="605"/>
        <item x="1267"/>
        <item x="205"/>
        <item x="1010"/>
        <item x="398"/>
        <item x="208"/>
        <item x="402"/>
        <item x="1011"/>
        <item x="1278"/>
        <item x="993"/>
        <item x="371"/>
        <item x="370"/>
        <item x="421"/>
        <item x="987"/>
        <item x="1232"/>
        <item x="427"/>
        <item x="394"/>
        <item x="1001"/>
        <item x="1135"/>
        <item x="956"/>
        <item x="521"/>
        <item x="1188"/>
        <item x="1153"/>
        <item x="1042"/>
        <item x="912"/>
        <item x="206"/>
        <item x="953"/>
        <item x="1183"/>
        <item x="631"/>
        <item x="625"/>
        <item x="626"/>
        <item x="1100"/>
        <item x="490"/>
        <item x="1089"/>
        <item x="821"/>
        <item x="822"/>
        <item x="818"/>
        <item x="1004"/>
        <item x="262"/>
        <item x="404"/>
        <item x="422"/>
        <item x="180"/>
        <item x="1006"/>
        <item x="271"/>
        <item x="1289"/>
        <item x="407"/>
        <item x="374"/>
        <item x="344"/>
        <item x="356"/>
        <item x="1079"/>
        <item x="304"/>
        <item x="1102"/>
        <item x="312"/>
        <item x="243"/>
        <item x="327"/>
        <item x="336"/>
        <item x="968"/>
        <item x="1305"/>
        <item x="597"/>
        <item x="1147"/>
        <item x="1171"/>
        <item x="1138"/>
        <item x="1050"/>
        <item x="1154"/>
        <item x="1093"/>
        <item x="204"/>
        <item x="247"/>
        <item x="989"/>
        <item x="1254"/>
        <item x="957"/>
        <item x="1294"/>
        <item x="518"/>
        <item x="401"/>
        <item x="194"/>
        <item x="1206"/>
        <item x="1209"/>
        <item x="1204"/>
        <item x="282"/>
        <item x="1210"/>
        <item x="1230"/>
        <item x="190"/>
        <item x="1228"/>
        <item x="1222"/>
        <item x="1229"/>
        <item x="811"/>
        <item x="226"/>
        <item x="517"/>
        <item x="1085"/>
        <item x="516"/>
        <item x="1320"/>
        <item x="1195"/>
        <item x="245"/>
        <item x="619"/>
        <item x="343"/>
        <item x="203"/>
        <item x="828"/>
        <item x="463"/>
        <item x="492"/>
        <item x="513"/>
        <item x="963"/>
        <item x="1190"/>
        <item x="983"/>
        <item x="1261"/>
        <item x="250"/>
        <item x="1258"/>
        <item x="1098"/>
        <item x="385"/>
        <item x="462"/>
        <item x="614"/>
        <item x="1169"/>
        <item x="386"/>
        <item x="417"/>
        <item x="425"/>
        <item x="1086"/>
        <item x="1014"/>
        <item x="1166"/>
        <item x="395"/>
        <item x="1024"/>
        <item x="405"/>
        <item x="418"/>
        <item x="1168"/>
        <item x="351"/>
        <item x="1150"/>
        <item x="334"/>
        <item x="1112"/>
        <item x="511"/>
        <item x="794"/>
        <item x="795"/>
        <item x="793"/>
        <item x="419"/>
        <item x="1187"/>
        <item x="354"/>
        <item x="412"/>
        <item x="981"/>
        <item x="1007"/>
        <item x="318"/>
        <item x="400"/>
        <item x="317"/>
        <item x="1005"/>
        <item x="276"/>
        <item x="321"/>
        <item x="1176"/>
        <item x="1002"/>
        <item x="388"/>
        <item x="1091"/>
        <item x="1103"/>
        <item x="391"/>
        <item x="408"/>
        <item x="1175"/>
        <item x="320"/>
        <item x="376"/>
        <item x="1156"/>
        <item x="420"/>
        <item x="377"/>
        <item x="1287"/>
        <item x="361"/>
        <item x="170"/>
        <item x="1182"/>
        <item x="224"/>
        <item x="797"/>
        <item x="1184"/>
        <item x="493"/>
        <item x="239"/>
        <item x="1314"/>
        <item x="508"/>
        <item x="1257"/>
        <item x="293"/>
        <item x="801"/>
        <item x="857"/>
        <item x="1088"/>
        <item x="1179"/>
        <item x="1095"/>
        <item x="494"/>
        <item x="1146"/>
        <item x="323"/>
        <item x="1177"/>
        <item x="380"/>
        <item x="540"/>
        <item x="1090"/>
        <item x="958"/>
        <item x="602"/>
        <item x="1311"/>
        <item x="399"/>
        <item x="817"/>
        <item x="340"/>
        <item x="539"/>
        <item x="533"/>
        <item x="955"/>
        <item x="1134"/>
        <item x="464"/>
        <item x="831"/>
        <item x="537"/>
        <item x="342"/>
        <item x="201"/>
        <item x="1058"/>
        <item x="1237"/>
        <item x="509"/>
        <item x="618"/>
        <item x="182"/>
        <item x="959"/>
        <item x="1186"/>
        <item x="1077"/>
        <item x="1256"/>
        <item x="1255"/>
        <item x="982"/>
        <item x="823"/>
        <item x="798"/>
        <item x="292"/>
        <item x="1096"/>
        <item x="1159"/>
        <item x="1092"/>
        <item x="1233"/>
        <item x="1125"/>
        <item x="341"/>
        <item x="1292"/>
        <item x="280"/>
        <item x="1180"/>
        <item x="1148"/>
        <item x="1106"/>
        <item x="1164"/>
        <item x="199"/>
        <item x="207"/>
        <item x="835"/>
        <item x="599"/>
        <item x="1120"/>
        <item x="1265"/>
        <item x="313"/>
        <item x="532"/>
        <item x="520"/>
        <item x="1119"/>
        <item x="601"/>
        <item x="512"/>
        <item x="628"/>
        <item x="191"/>
        <item x="914"/>
        <item x="353"/>
        <item x="839"/>
        <item x="393"/>
        <item x="1243"/>
        <item x="916"/>
        <item x="397"/>
        <item x="1078"/>
        <item x="515"/>
        <item x="467"/>
        <item x="219"/>
        <item x="548"/>
        <item x="514"/>
        <item x="1053"/>
        <item x="396"/>
        <item x="1239"/>
        <item x="627"/>
        <item x="964"/>
        <item x="1083"/>
        <item x="1323"/>
        <item x="829"/>
        <item x="1155"/>
        <item x="1025"/>
        <item x="209"/>
        <item x="436"/>
        <item x="1026"/>
        <item x="236"/>
        <item x="198"/>
        <item x="1052"/>
        <item x="1208"/>
        <item x="1205"/>
        <item x="339"/>
        <item x="265"/>
        <item x="264"/>
        <item x="476"/>
        <item x="473"/>
        <item x="1221"/>
        <item x="935"/>
        <item x="939"/>
        <item x="936"/>
        <item x="1218"/>
        <item x="934"/>
        <item x="1224"/>
        <item x="1217"/>
        <item x="942"/>
        <item x="1219"/>
        <item x="275"/>
        <item x="944"/>
        <item x="943"/>
        <item x="283"/>
        <item x="1223"/>
        <item x="997"/>
        <item x="824"/>
        <item x="820"/>
        <item x="819"/>
        <item x="792"/>
        <item x="1028"/>
        <item x="1290"/>
        <item x="1185"/>
        <item x="1281"/>
        <item x="403"/>
        <item x="1149"/>
        <item x="833"/>
        <item x="305"/>
        <item x="379"/>
        <item x="392"/>
        <item x="423"/>
        <item x="352"/>
        <item x="1094"/>
        <item x="1039"/>
        <item x="937"/>
        <item x="858"/>
        <item x="406"/>
        <item x="1157"/>
        <item x="1172"/>
        <item x="1076"/>
        <item x="329"/>
        <item x="330"/>
        <item x="856"/>
        <item x="322"/>
        <item x="832"/>
        <item x="1105"/>
        <item x="362"/>
        <item x="300"/>
        <item x="1051"/>
        <item x="1082"/>
        <item x="297"/>
        <item x="911"/>
        <item x="1023"/>
        <item x="855"/>
        <item x="1263"/>
        <item x="1121"/>
        <item x="363"/>
        <item x="360"/>
        <item x="319"/>
        <item x="1008"/>
        <item x="346"/>
        <item x="1193"/>
        <item x="1111"/>
        <item x="375"/>
        <item x="1262"/>
        <item x="603"/>
        <item x="433"/>
        <item x="568"/>
        <item x="595"/>
        <item x="889"/>
        <item x="691"/>
        <item x="715"/>
        <item x="731"/>
        <item x="676"/>
        <item x="873"/>
        <item x="694"/>
        <item x="710"/>
        <item x="701"/>
        <item x="880"/>
        <item x="1251"/>
        <item x="799"/>
        <item x="506"/>
        <item x="504"/>
        <item x="1049"/>
        <item x="507"/>
        <item x="502"/>
        <item x="503"/>
        <item x="1174"/>
        <item x="1178"/>
        <item x="192"/>
        <item x="171"/>
        <item x="1226"/>
        <item x="1201"/>
        <item x="1203"/>
        <item x="1225"/>
        <item x="1227"/>
        <item x="776"/>
        <item x="26"/>
        <item x="5"/>
        <item x="6"/>
        <item x="28"/>
        <item x="33"/>
        <item x="31"/>
        <item x="38"/>
        <item x="27"/>
        <item x="23"/>
        <item x="30"/>
        <item x="24"/>
        <item x="0"/>
        <item x="29"/>
        <item x="34"/>
        <item x="37"/>
        <item x="36"/>
        <item x="4"/>
        <item x="13"/>
        <item x="9"/>
        <item x="3"/>
        <item x="11"/>
        <item x="35"/>
        <item x="15"/>
        <item x="7"/>
        <item x="12"/>
        <item x="19"/>
        <item x="18"/>
        <item x="16"/>
        <item x="20"/>
        <item x="21"/>
        <item x="10"/>
        <item x="2"/>
        <item x="1"/>
        <item x="22"/>
        <item x="14"/>
        <item x="8"/>
        <item x="17"/>
        <item x="25"/>
        <item x="210"/>
        <item x="235"/>
        <item x="636"/>
        <item x="667"/>
        <item x="635"/>
        <item x="637"/>
        <item x="655"/>
        <item x="668"/>
        <item x="656"/>
        <item x="663"/>
        <item x="658"/>
        <item x="662"/>
        <item x="659"/>
        <item x="652"/>
        <item x="657"/>
        <item x="672"/>
        <item x="661"/>
        <item x="653"/>
        <item x="650"/>
        <item x="670"/>
        <item x="640"/>
        <item x="669"/>
        <item x="633"/>
        <item x="664"/>
        <item x="649"/>
        <item x="648"/>
        <item x="638"/>
        <item x="639"/>
        <item x="646"/>
        <item x="634"/>
        <item x="647"/>
        <item x="665"/>
        <item x="666"/>
        <item x="654"/>
        <item x="660"/>
        <item x="671"/>
        <item x="645"/>
        <item x="644"/>
        <item x="642"/>
        <item x="641"/>
        <item x="643"/>
        <item x="651"/>
        <item x="252"/>
        <item x="211"/>
        <item x="744"/>
        <item x="769"/>
        <item x="770"/>
        <item x="762"/>
        <item x="768"/>
        <item x="772"/>
        <item x="771"/>
        <item x="766"/>
        <item x="736"/>
        <item x="763"/>
        <item x="761"/>
        <item x="764"/>
        <item x="745"/>
        <item x="737"/>
        <item x="756"/>
        <item x="742"/>
        <item x="741"/>
        <item x="747"/>
        <item x="749"/>
        <item x="748"/>
        <item x="759"/>
        <item x="753"/>
        <item x="738"/>
        <item x="765"/>
        <item x="767"/>
        <item x="754"/>
        <item x="751"/>
        <item x="755"/>
        <item x="758"/>
        <item x="757"/>
        <item x="735"/>
        <item x="743"/>
        <item x="752"/>
        <item x="760"/>
        <item x="750"/>
        <item x="740"/>
        <item x="746"/>
        <item x="739"/>
        <item x="234"/>
        <item x="580"/>
        <item x="1304"/>
        <item x="269"/>
        <item x="488"/>
        <item x="482"/>
        <item x="501"/>
        <item x="357"/>
        <item x="1303"/>
        <item x="1032"/>
        <item x="1036"/>
        <item x="1035"/>
        <item x="1029"/>
        <item x="1220"/>
        <item x="479"/>
        <item x="1296"/>
        <item x="612"/>
        <item x="998"/>
        <item x="498"/>
        <item x="1301"/>
        <item x="986"/>
        <item x="1132"/>
        <item x="348"/>
        <item x="1297"/>
        <item x="804"/>
        <item x="1214"/>
        <item x="184"/>
        <item x="980"/>
        <item x="780"/>
        <item x="558"/>
        <item x="434"/>
        <item x="1027"/>
        <item x="1240"/>
        <item x="471"/>
        <item x="177"/>
        <item x="1074"/>
        <item x="915"/>
        <item x="430"/>
        <item x="918"/>
        <item x="913"/>
        <item x="834"/>
        <item x="1152"/>
        <item x="246"/>
        <item x="851"/>
        <item x="598"/>
        <item x="1288"/>
        <item x="922"/>
        <item x="475"/>
        <item x="384"/>
        <item x="1291"/>
        <item x="526"/>
        <item x="369"/>
        <item x="1158"/>
        <item x="1202"/>
        <item x="387"/>
        <item x="221"/>
        <item x="909"/>
        <item x="468"/>
        <item x="549"/>
        <item x="383"/>
        <item x="472"/>
        <item x="1087"/>
        <item x="179"/>
        <item x="917"/>
        <item x="551"/>
        <item x="1216"/>
        <item x="1211"/>
        <item x="381"/>
        <item x="378"/>
        <item x="910"/>
        <item x="263"/>
        <item x="796"/>
        <item x="1253"/>
        <item x="1252"/>
        <item x="1268"/>
        <item x="1247"/>
        <item x="1245"/>
        <item x="1250"/>
        <item x="719"/>
        <item x="733"/>
        <item x="722"/>
        <item x="138"/>
        <item x="716"/>
        <item x="708"/>
        <item x="101"/>
        <item x="724"/>
        <item x="882"/>
        <item x="900"/>
        <item x="721"/>
        <item x="712"/>
        <item x="294"/>
        <item x="678"/>
        <item x="732"/>
        <item x="895"/>
        <item x="698"/>
        <item x="891"/>
        <item x="709"/>
        <item x="868"/>
        <item x="877"/>
        <item x="675"/>
        <item x="1277"/>
        <item x="1271"/>
        <item x="837"/>
        <item x="773"/>
        <item x="789"/>
        <item x="575"/>
        <item x="576"/>
        <item x="578"/>
        <item x="979"/>
        <item x="674"/>
        <item x="1017"/>
        <item x="1145"/>
        <item x="1285"/>
        <item x="978"/>
        <item m="1" x="1330"/>
        <item x="40"/>
        <item x="41"/>
        <item x="865"/>
        <item x="1072"/>
        <item x="1073"/>
        <item x="118"/>
        <item x="673"/>
        <item x="39"/>
        <item x="864"/>
        <item x="1071"/>
        <item t="default"/>
      </items>
    </pivotField>
    <pivotField showAll="0">
      <items count="31">
        <item h="1" x="2"/>
        <item h="1" x="1"/>
        <item h="1" x="3"/>
        <item h="1" x="6"/>
        <item h="1" x="21"/>
        <item h="1" x="8"/>
        <item h="1" x="4"/>
        <item x="10"/>
        <item h="1" x="13"/>
        <item h="1" x="14"/>
        <item h="1" x="20"/>
        <item h="1" x="16"/>
        <item h="1" x="11"/>
        <item h="1" x="17"/>
        <item h="1" x="9"/>
        <item h="1" x="7"/>
        <item h="1" x="28"/>
        <item h="1" x="24"/>
        <item h="1" x="18"/>
        <item h="1" x="29"/>
        <item h="1" x="19"/>
        <item h="1" x="22"/>
        <item h="1" x="15"/>
        <item h="1" x="23"/>
        <item h="1" x="26"/>
        <item h="1" x="25"/>
        <item h="1" x="0"/>
        <item h="1" x="5"/>
        <item h="1" x="27"/>
        <item h="1" x="12"/>
        <item t="default"/>
      </items>
    </pivotField>
  </pivotFields>
  <rowFields count="2">
    <field x="0"/>
    <field x="1"/>
  </rowFields>
  <rowItems count="129">
    <i>
      <x v="15"/>
    </i>
    <i r="1">
      <x v="826"/>
    </i>
    <i>
      <x v="17"/>
    </i>
    <i r="1">
      <x v="815"/>
    </i>
    <i>
      <x v="25"/>
    </i>
    <i r="1">
      <x v="908"/>
    </i>
    <i>
      <x v="28"/>
    </i>
    <i r="1">
      <x v="642"/>
    </i>
    <i>
      <x v="31"/>
    </i>
    <i r="1">
      <x v="595"/>
    </i>
    <i>
      <x v="32"/>
    </i>
    <i r="1">
      <x v="962"/>
    </i>
    <i>
      <x v="33"/>
    </i>
    <i r="1">
      <x v="1263"/>
    </i>
    <i>
      <x v="37"/>
    </i>
    <i r="1">
      <x v="715"/>
    </i>
    <i>
      <x v="38"/>
    </i>
    <i r="1">
      <x v="193"/>
    </i>
    <i r="1">
      <x v="1239"/>
    </i>
    <i>
      <x v="42"/>
    </i>
    <i r="1">
      <x v="988"/>
    </i>
    <i r="1">
      <x v="1266"/>
    </i>
    <i>
      <x v="43"/>
    </i>
    <i r="1">
      <x v="712"/>
    </i>
    <i>
      <x v="51"/>
    </i>
    <i r="1">
      <x v="987"/>
    </i>
    <i r="1">
      <x v="1253"/>
    </i>
    <i>
      <x v="53"/>
    </i>
    <i r="1">
      <x v="233"/>
    </i>
    <i r="1">
      <x v="241"/>
    </i>
    <i r="1">
      <x v="242"/>
    </i>
    <i r="1">
      <x v="244"/>
    </i>
    <i r="1">
      <x v="250"/>
    </i>
    <i r="1">
      <x v="255"/>
    </i>
    <i r="1">
      <x v="1211"/>
    </i>
    <i r="1">
      <x v="1220"/>
    </i>
    <i>
      <x v="54"/>
    </i>
    <i r="1">
      <x v="237"/>
    </i>
    <i r="1">
      <x v="239"/>
    </i>
    <i r="1">
      <x v="253"/>
    </i>
    <i r="1">
      <x v="1210"/>
    </i>
    <i>
      <x v="62"/>
    </i>
    <i r="1">
      <x v="604"/>
    </i>
    <i r="1">
      <x v="751"/>
    </i>
    <i>
      <x v="72"/>
    </i>
    <i r="1">
      <x v="689"/>
    </i>
    <i>
      <x v="73"/>
    </i>
    <i r="1">
      <x v="816"/>
    </i>
    <i>
      <x v="74"/>
    </i>
    <i r="1">
      <x v="880"/>
    </i>
    <i>
      <x v="81"/>
    </i>
    <i r="1">
      <x v="891"/>
    </i>
    <i>
      <x v="89"/>
    </i>
    <i r="1">
      <x v="80"/>
    </i>
    <i r="1">
      <x v="104"/>
    </i>
    <i r="1">
      <x v="581"/>
    </i>
    <i r="1">
      <x v="612"/>
    </i>
    <i r="1">
      <x v="640"/>
    </i>
    <i r="1">
      <x v="1224"/>
    </i>
    <i>
      <x v="90"/>
    </i>
    <i r="1">
      <x v="1212"/>
    </i>
    <i>
      <x v="91"/>
    </i>
    <i r="1">
      <x v="1074"/>
    </i>
    <i>
      <x v="92"/>
    </i>
    <i r="1">
      <x v="1075"/>
    </i>
    <i>
      <x v="98"/>
    </i>
    <i r="1">
      <x v="225"/>
    </i>
    <i r="1">
      <x v="1070"/>
    </i>
    <i r="1">
      <x v="1071"/>
    </i>
    <i r="1">
      <x v="1073"/>
    </i>
    <i>
      <x v="120"/>
    </i>
    <i r="1">
      <x v="883"/>
    </i>
    <i>
      <x v="131"/>
    </i>
    <i r="1">
      <x v="915"/>
    </i>
    <i>
      <x v="137"/>
    </i>
    <i r="1">
      <x v="705"/>
    </i>
    <i>
      <x v="139"/>
    </i>
    <i r="1">
      <x v="817"/>
    </i>
    <i r="1">
      <x v="844"/>
    </i>
    <i r="1">
      <x v="950"/>
    </i>
    <i>
      <x v="140"/>
    </i>
    <i r="1">
      <x v="713"/>
    </i>
    <i r="1">
      <x v="739"/>
    </i>
    <i r="1">
      <x v="790"/>
    </i>
    <i r="1">
      <x v="805"/>
    </i>
    <i r="1">
      <x v="807"/>
    </i>
    <i r="1">
      <x v="947"/>
    </i>
    <i r="1">
      <x v="961"/>
    </i>
    <i r="1">
      <x v="965"/>
    </i>
    <i>
      <x v="142"/>
    </i>
    <i r="1">
      <x v="47"/>
    </i>
    <i r="1">
      <x v="264"/>
    </i>
    <i r="1">
      <x v="266"/>
    </i>
    <i r="1">
      <x v="270"/>
    </i>
    <i r="1">
      <x v="274"/>
    </i>
    <i r="1">
      <x v="278"/>
    </i>
    <i r="1">
      <x v="459"/>
    </i>
    <i r="1">
      <x v="483"/>
    </i>
    <i r="1">
      <x v="1256"/>
    </i>
    <i>
      <x v="143"/>
    </i>
    <i r="1">
      <x v="466"/>
    </i>
    <i>
      <x v="144"/>
    </i>
    <i r="1">
      <x v="471"/>
    </i>
    <i r="1">
      <x v="478"/>
    </i>
    <i r="1">
      <x v="580"/>
    </i>
    <i r="1">
      <x v="905"/>
    </i>
    <i r="1">
      <x v="946"/>
    </i>
    <i>
      <x v="145"/>
    </i>
    <i r="1">
      <x v="37"/>
    </i>
    <i r="1">
      <x v="485"/>
    </i>
    <i r="1">
      <x v="491"/>
    </i>
    <i r="1">
      <x v="495"/>
    </i>
    <i r="1">
      <x v="896"/>
    </i>
    <i r="1">
      <x v="904"/>
    </i>
    <i r="1">
      <x v="910"/>
    </i>
    <i>
      <x v="146"/>
    </i>
    <i r="1">
      <x v="31"/>
    </i>
    <i r="1">
      <x v="494"/>
    </i>
    <i r="1">
      <x v="499"/>
    </i>
    <i r="1">
      <x v="655"/>
    </i>
    <i r="1">
      <x v="656"/>
    </i>
    <i r="1">
      <x v="964"/>
    </i>
    <i r="1">
      <x v="1264"/>
    </i>
    <i r="1">
      <x v="1270"/>
    </i>
    <i>
      <x v="147"/>
    </i>
    <i r="1">
      <x v="273"/>
    </i>
    <i r="1">
      <x v="277"/>
    </i>
    <i r="1">
      <x v="504"/>
    </i>
    <i t="grand">
      <x/>
    </i>
  </rowItems>
  <colItems count="1">
    <i/>
  </colItems>
  <formats count="39">
    <format dxfId="66">
      <pivotArea type="all" dataOnly="0" outline="0" fieldPosition="0"/>
    </format>
    <format dxfId="65">
      <pivotArea field="0" type="button" dataOnly="0" labelOnly="1" outline="0" axis="axisRow" fieldPosition="0"/>
    </format>
    <format dxfId="64">
      <pivotArea dataOnly="0" labelOnly="1" fieldPosition="0">
        <references count="1">
          <reference field="0" count="35">
            <x v="15"/>
            <x v="17"/>
            <x v="25"/>
            <x v="28"/>
            <x v="31"/>
            <x v="32"/>
            <x v="33"/>
            <x v="37"/>
            <x v="38"/>
            <x v="42"/>
            <x v="43"/>
            <x v="51"/>
            <x v="53"/>
            <x v="54"/>
            <x v="62"/>
            <x v="72"/>
            <x v="73"/>
            <x v="74"/>
            <x v="81"/>
            <x v="89"/>
            <x v="90"/>
            <x v="91"/>
            <x v="92"/>
            <x v="98"/>
            <x v="120"/>
            <x v="131"/>
            <x v="137"/>
            <x v="139"/>
            <x v="140"/>
            <x v="142"/>
            <x v="143"/>
            <x v="144"/>
            <x v="145"/>
            <x v="146"/>
            <x v="147"/>
          </reference>
        </references>
      </pivotArea>
    </format>
    <format dxfId="63">
      <pivotArea dataOnly="0" labelOnly="1" grandRow="1" outline="0" fieldPosition="0"/>
    </format>
    <format dxfId="62">
      <pivotArea dataOnly="0" labelOnly="1" fieldPosition="0">
        <references count="2">
          <reference field="0" count="1" selected="0">
            <x v="15"/>
          </reference>
          <reference field="1" count="1">
            <x v="826"/>
          </reference>
        </references>
      </pivotArea>
    </format>
    <format dxfId="61">
      <pivotArea dataOnly="0" labelOnly="1" fieldPosition="0">
        <references count="2">
          <reference field="0" count="1" selected="0">
            <x v="17"/>
          </reference>
          <reference field="1" count="1">
            <x v="815"/>
          </reference>
        </references>
      </pivotArea>
    </format>
    <format dxfId="60">
      <pivotArea dataOnly="0" labelOnly="1" fieldPosition="0">
        <references count="2">
          <reference field="0" count="1" selected="0">
            <x v="25"/>
          </reference>
          <reference field="1" count="1">
            <x v="908"/>
          </reference>
        </references>
      </pivotArea>
    </format>
    <format dxfId="59">
      <pivotArea dataOnly="0" labelOnly="1" fieldPosition="0">
        <references count="2">
          <reference field="0" count="1" selected="0">
            <x v="28"/>
          </reference>
          <reference field="1" count="1">
            <x v="642"/>
          </reference>
        </references>
      </pivotArea>
    </format>
    <format dxfId="58">
      <pivotArea dataOnly="0" labelOnly="1" fieldPosition="0">
        <references count="2">
          <reference field="0" count="1" selected="0">
            <x v="31"/>
          </reference>
          <reference field="1" count="1">
            <x v="595"/>
          </reference>
        </references>
      </pivotArea>
    </format>
    <format dxfId="57">
      <pivotArea dataOnly="0" labelOnly="1" fieldPosition="0">
        <references count="2">
          <reference field="0" count="1" selected="0">
            <x v="32"/>
          </reference>
          <reference field="1" count="1">
            <x v="962"/>
          </reference>
        </references>
      </pivotArea>
    </format>
    <format dxfId="56">
      <pivotArea dataOnly="0" labelOnly="1" fieldPosition="0">
        <references count="2">
          <reference field="0" count="1" selected="0">
            <x v="33"/>
          </reference>
          <reference field="1" count="1">
            <x v="1263"/>
          </reference>
        </references>
      </pivotArea>
    </format>
    <format dxfId="55">
      <pivotArea dataOnly="0" labelOnly="1" fieldPosition="0">
        <references count="2">
          <reference field="0" count="1" selected="0">
            <x v="37"/>
          </reference>
          <reference field="1" count="1">
            <x v="715"/>
          </reference>
        </references>
      </pivotArea>
    </format>
    <format dxfId="54">
      <pivotArea dataOnly="0" labelOnly="1" fieldPosition="0">
        <references count="2">
          <reference field="0" count="1" selected="0">
            <x v="38"/>
          </reference>
          <reference field="1" count="2">
            <x v="193"/>
            <x v="1239"/>
          </reference>
        </references>
      </pivotArea>
    </format>
    <format dxfId="53">
      <pivotArea dataOnly="0" labelOnly="1" fieldPosition="0">
        <references count="2">
          <reference field="0" count="1" selected="0">
            <x v="42"/>
          </reference>
          <reference field="1" count="2">
            <x v="988"/>
            <x v="1266"/>
          </reference>
        </references>
      </pivotArea>
    </format>
    <format dxfId="52">
      <pivotArea dataOnly="0" labelOnly="1" fieldPosition="0">
        <references count="2">
          <reference field="0" count="1" selected="0">
            <x v="43"/>
          </reference>
          <reference field="1" count="1">
            <x v="712"/>
          </reference>
        </references>
      </pivotArea>
    </format>
    <format dxfId="51">
      <pivotArea dataOnly="0" labelOnly="1" fieldPosition="0">
        <references count="2">
          <reference field="0" count="1" selected="0">
            <x v="51"/>
          </reference>
          <reference field="1" count="2">
            <x v="987"/>
            <x v="1253"/>
          </reference>
        </references>
      </pivotArea>
    </format>
    <format dxfId="50">
      <pivotArea dataOnly="0" labelOnly="1" fieldPosition="0">
        <references count="2">
          <reference field="0" count="1" selected="0">
            <x v="53"/>
          </reference>
          <reference field="1" count="8">
            <x v="233"/>
            <x v="241"/>
            <x v="242"/>
            <x v="244"/>
            <x v="250"/>
            <x v="255"/>
            <x v="1211"/>
            <x v="1220"/>
          </reference>
        </references>
      </pivotArea>
    </format>
    <format dxfId="49">
      <pivotArea dataOnly="0" labelOnly="1" fieldPosition="0">
        <references count="2">
          <reference field="0" count="1" selected="0">
            <x v="54"/>
          </reference>
          <reference field="1" count="4">
            <x v="237"/>
            <x v="239"/>
            <x v="253"/>
            <x v="1210"/>
          </reference>
        </references>
      </pivotArea>
    </format>
    <format dxfId="48">
      <pivotArea dataOnly="0" labelOnly="1" fieldPosition="0">
        <references count="2">
          <reference field="0" count="1" selected="0">
            <x v="62"/>
          </reference>
          <reference field="1" count="2">
            <x v="604"/>
            <x v="751"/>
          </reference>
        </references>
      </pivotArea>
    </format>
    <format dxfId="47">
      <pivotArea dataOnly="0" labelOnly="1" fieldPosition="0">
        <references count="2">
          <reference field="0" count="1" selected="0">
            <x v="72"/>
          </reference>
          <reference field="1" count="1">
            <x v="689"/>
          </reference>
        </references>
      </pivotArea>
    </format>
    <format dxfId="46">
      <pivotArea dataOnly="0" labelOnly="1" fieldPosition="0">
        <references count="2">
          <reference field="0" count="1" selected="0">
            <x v="73"/>
          </reference>
          <reference field="1" count="1">
            <x v="816"/>
          </reference>
        </references>
      </pivotArea>
    </format>
    <format dxfId="45">
      <pivotArea dataOnly="0" labelOnly="1" fieldPosition="0">
        <references count="2">
          <reference field="0" count="1" selected="0">
            <x v="74"/>
          </reference>
          <reference field="1" count="1">
            <x v="880"/>
          </reference>
        </references>
      </pivotArea>
    </format>
    <format dxfId="44">
      <pivotArea dataOnly="0" labelOnly="1" fieldPosition="0">
        <references count="2">
          <reference field="0" count="1" selected="0">
            <x v="81"/>
          </reference>
          <reference field="1" count="1">
            <x v="891"/>
          </reference>
        </references>
      </pivotArea>
    </format>
    <format dxfId="43">
      <pivotArea dataOnly="0" labelOnly="1" fieldPosition="0">
        <references count="2">
          <reference field="0" count="1" selected="0">
            <x v="89"/>
          </reference>
          <reference field="1" count="6">
            <x v="80"/>
            <x v="104"/>
            <x v="581"/>
            <x v="612"/>
            <x v="640"/>
            <x v="1224"/>
          </reference>
        </references>
      </pivotArea>
    </format>
    <format dxfId="42">
      <pivotArea dataOnly="0" labelOnly="1" fieldPosition="0">
        <references count="2">
          <reference field="0" count="1" selected="0">
            <x v="90"/>
          </reference>
          <reference field="1" count="1">
            <x v="1212"/>
          </reference>
        </references>
      </pivotArea>
    </format>
    <format dxfId="41">
      <pivotArea dataOnly="0" labelOnly="1" fieldPosition="0">
        <references count="2">
          <reference field="0" count="1" selected="0">
            <x v="91"/>
          </reference>
          <reference field="1" count="1">
            <x v="1074"/>
          </reference>
        </references>
      </pivotArea>
    </format>
    <format dxfId="40">
      <pivotArea dataOnly="0" labelOnly="1" fieldPosition="0">
        <references count="2">
          <reference field="0" count="1" selected="0">
            <x v="92"/>
          </reference>
          <reference field="1" count="1">
            <x v="1075"/>
          </reference>
        </references>
      </pivotArea>
    </format>
    <format dxfId="39">
      <pivotArea dataOnly="0" labelOnly="1" fieldPosition="0">
        <references count="2">
          <reference field="0" count="1" selected="0">
            <x v="98"/>
          </reference>
          <reference field="1" count="4">
            <x v="225"/>
            <x v="1070"/>
            <x v="1071"/>
            <x v="1073"/>
          </reference>
        </references>
      </pivotArea>
    </format>
    <format dxfId="38">
      <pivotArea dataOnly="0" labelOnly="1" fieldPosition="0">
        <references count="2">
          <reference field="0" count="1" selected="0">
            <x v="120"/>
          </reference>
          <reference field="1" count="1">
            <x v="883"/>
          </reference>
        </references>
      </pivotArea>
    </format>
    <format dxfId="37">
      <pivotArea dataOnly="0" labelOnly="1" fieldPosition="0">
        <references count="2">
          <reference field="0" count="1" selected="0">
            <x v="131"/>
          </reference>
          <reference field="1" count="1">
            <x v="915"/>
          </reference>
        </references>
      </pivotArea>
    </format>
    <format dxfId="36">
      <pivotArea dataOnly="0" labelOnly="1" fieldPosition="0">
        <references count="2">
          <reference field="0" count="1" selected="0">
            <x v="137"/>
          </reference>
          <reference field="1" count="1">
            <x v="705"/>
          </reference>
        </references>
      </pivotArea>
    </format>
    <format dxfId="35">
      <pivotArea dataOnly="0" labelOnly="1" fieldPosition="0">
        <references count="2">
          <reference field="0" count="1" selected="0">
            <x v="139"/>
          </reference>
          <reference field="1" count="3">
            <x v="817"/>
            <x v="844"/>
            <x v="950"/>
          </reference>
        </references>
      </pivotArea>
    </format>
    <format dxfId="34">
      <pivotArea dataOnly="0" labelOnly="1" fieldPosition="0">
        <references count="2">
          <reference field="0" count="1" selected="0">
            <x v="140"/>
          </reference>
          <reference field="1" count="8">
            <x v="713"/>
            <x v="739"/>
            <x v="790"/>
            <x v="805"/>
            <x v="807"/>
            <x v="947"/>
            <x v="961"/>
            <x v="965"/>
          </reference>
        </references>
      </pivotArea>
    </format>
    <format dxfId="33">
      <pivotArea dataOnly="0" labelOnly="1" fieldPosition="0">
        <references count="2">
          <reference field="0" count="1" selected="0">
            <x v="142"/>
          </reference>
          <reference field="1" count="9">
            <x v="47"/>
            <x v="264"/>
            <x v="266"/>
            <x v="270"/>
            <x v="274"/>
            <x v="278"/>
            <x v="459"/>
            <x v="483"/>
            <x v="1256"/>
          </reference>
        </references>
      </pivotArea>
    </format>
    <format dxfId="32">
      <pivotArea dataOnly="0" labelOnly="1" fieldPosition="0">
        <references count="2">
          <reference field="0" count="1" selected="0">
            <x v="143"/>
          </reference>
          <reference field="1" count="1">
            <x v="466"/>
          </reference>
        </references>
      </pivotArea>
    </format>
    <format dxfId="31">
      <pivotArea dataOnly="0" labelOnly="1" fieldPosition="0">
        <references count="2">
          <reference field="0" count="1" selected="0">
            <x v="144"/>
          </reference>
          <reference field="1" count="5">
            <x v="471"/>
            <x v="478"/>
            <x v="580"/>
            <x v="905"/>
            <x v="946"/>
          </reference>
        </references>
      </pivotArea>
    </format>
    <format dxfId="30">
      <pivotArea dataOnly="0" labelOnly="1" fieldPosition="0">
        <references count="2">
          <reference field="0" count="1" selected="0">
            <x v="145"/>
          </reference>
          <reference field="1" count="7">
            <x v="37"/>
            <x v="485"/>
            <x v="491"/>
            <x v="495"/>
            <x v="896"/>
            <x v="904"/>
            <x v="910"/>
          </reference>
        </references>
      </pivotArea>
    </format>
    <format dxfId="29">
      <pivotArea dataOnly="0" labelOnly="1" fieldPosition="0">
        <references count="2">
          <reference field="0" count="1" selected="0">
            <x v="146"/>
          </reference>
          <reference field="1" count="8">
            <x v="31"/>
            <x v="494"/>
            <x v="499"/>
            <x v="655"/>
            <x v="656"/>
            <x v="964"/>
            <x v="1264"/>
            <x v="1270"/>
          </reference>
        </references>
      </pivotArea>
    </format>
    <format dxfId="28">
      <pivotArea dataOnly="0" labelOnly="1" fieldPosition="0">
        <references count="2">
          <reference field="0" count="1" selected="0">
            <x v="147"/>
          </reference>
          <reference field="1" count="3">
            <x v="273"/>
            <x v="277"/>
            <x v="50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96CD2C2-4DD1-47EE-9998-858AAC41D7E8}" name="Tabela dinâmica25" cacheId="59" applyNumberFormats="0" applyBorderFormats="0" applyFontFormats="0" applyPatternFormats="0" applyAlignmentFormats="0" applyWidthHeightFormats="1" dataCaption="Valores" updatedVersion="6" minRefreshableVersion="3" showDrill="0" itemPrintTitles="1" createdVersion="6" indent="0" outline="1" outlineData="1" multipleFieldFilters="0">
  <location ref="C1:C2532" firstHeaderRow="1" firstDataRow="1" firstDataCol="1"/>
  <pivotFields count="3">
    <pivotField axis="axisRow" showAll="0" sortType="descending">
      <items count="151">
        <item x="38"/>
        <item x="135"/>
        <item x="39"/>
        <item x="136"/>
        <item x="82"/>
        <item x="133"/>
        <item x="124"/>
        <item x="83"/>
        <item x="137"/>
        <item x="146"/>
        <item x="40"/>
        <item x="41"/>
        <item x="125"/>
        <item x="148"/>
        <item x="109"/>
        <item x="126"/>
        <item x="84"/>
        <item x="42"/>
        <item x="130"/>
        <item x="85"/>
        <item x="86"/>
        <item x="122"/>
        <item x="87"/>
        <item x="134"/>
        <item x="88"/>
        <item x="89"/>
        <item x="0"/>
        <item x="90"/>
        <item x="110"/>
        <item x="66"/>
        <item x="43"/>
        <item x="67"/>
        <item x="44"/>
        <item x="1"/>
        <item x="139"/>
        <item x="91"/>
        <item x="95"/>
        <item x="68"/>
        <item x="2"/>
        <item x="45"/>
        <item x="141"/>
        <item x="46"/>
        <item x="3"/>
        <item x="47"/>
        <item x="127"/>
        <item x="69"/>
        <item x="128"/>
        <item x="92"/>
        <item x="123"/>
        <item x="129"/>
        <item x="96"/>
        <item x="4"/>
        <item x="111"/>
        <item x="48"/>
        <item x="49"/>
        <item x="50"/>
        <item x="112"/>
        <item x="70"/>
        <item x="5"/>
        <item x="113"/>
        <item x="118"/>
        <item x="6"/>
        <item x="7"/>
        <item x="149"/>
        <item x="131"/>
        <item x="71"/>
        <item x="93"/>
        <item x="51"/>
        <item x="8"/>
        <item x="97"/>
        <item x="52"/>
        <item x="72"/>
        <item x="53"/>
        <item x="54"/>
        <item x="55"/>
        <item x="142"/>
        <item x="56"/>
        <item x="140"/>
        <item x="9"/>
        <item x="10"/>
        <item x="143"/>
        <item x="11"/>
        <item x="12"/>
        <item x="13"/>
        <item x="14"/>
        <item x="15"/>
        <item x="98"/>
        <item x="99"/>
        <item x="57"/>
        <item x="16"/>
        <item x="17"/>
        <item x="58"/>
        <item x="73"/>
        <item x="74"/>
        <item x="18"/>
        <item x="19"/>
        <item x="20"/>
        <item x="21"/>
        <item x="59"/>
        <item x="100"/>
        <item x="75"/>
        <item x="101"/>
        <item x="147"/>
        <item x="94"/>
        <item x="119"/>
        <item x="102"/>
        <item x="103"/>
        <item x="104"/>
        <item x="76"/>
        <item x="114"/>
        <item x="60"/>
        <item x="105"/>
        <item x="106"/>
        <item x="145"/>
        <item x="120"/>
        <item x="77"/>
        <item x="132"/>
        <item x="107"/>
        <item x="115"/>
        <item x="22"/>
        <item x="121"/>
        <item x="108"/>
        <item x="23"/>
        <item x="61"/>
        <item x="138"/>
        <item x="24"/>
        <item x="25"/>
        <item x="62"/>
        <item x="116"/>
        <item x="26"/>
        <item x="63"/>
        <item x="78"/>
        <item x="27"/>
        <item x="79"/>
        <item x="80"/>
        <item x="28"/>
        <item x="64"/>
        <item x="81"/>
        <item x="29"/>
        <item x="30"/>
        <item x="31"/>
        <item x="117"/>
        <item x="32"/>
        <item x="33"/>
        <item x="65"/>
        <item x="34"/>
        <item x="35"/>
        <item x="36"/>
        <item x="144"/>
        <item x="37"/>
        <item t="default"/>
      </items>
    </pivotField>
    <pivotField axis="axisRow" showAll="0">
      <items count="1332">
        <item x="410"/>
        <item x="213"/>
        <item x="1000"/>
        <item x="908"/>
        <item x="324"/>
        <item x="1084"/>
        <item x="1097"/>
        <item x="368"/>
        <item x="1060"/>
        <item x="1136"/>
        <item x="974"/>
        <item x="1062"/>
        <item x="311"/>
        <item x="1194"/>
        <item x="960"/>
        <item x="825"/>
        <item x="1276"/>
        <item x="1264"/>
        <item x="1284"/>
        <item x="1280"/>
        <item x="1270"/>
        <item x="976"/>
        <item x="1242"/>
        <item x="1070"/>
        <item x="1200"/>
        <item x="624"/>
        <item x="827"/>
        <item x="826"/>
        <item x="629"/>
        <item x="617"/>
        <item x="1108"/>
        <item x="546"/>
        <item x="1057"/>
        <item x="1241"/>
        <item x="616"/>
        <item x="366"/>
        <item x="1327"/>
        <item x="541"/>
        <item x="632"/>
        <item x="972"/>
        <item x="364"/>
        <item x="302"/>
        <item x="308"/>
        <item x="622"/>
        <item x="1325"/>
        <item x="621"/>
        <item x="1266"/>
        <item x="529"/>
        <item x="1234"/>
        <item x="299"/>
        <item x="295"/>
        <item x="1283"/>
        <item x="961"/>
        <item x="1137"/>
        <item x="1329"/>
        <item x="367"/>
        <item x="1326"/>
        <item x="623"/>
        <item x="862"/>
        <item x="365"/>
        <item x="1065"/>
        <item x="291"/>
        <item x="309"/>
        <item x="1191"/>
        <item x="1189"/>
        <item x="1061"/>
        <item x="784"/>
        <item x="1275"/>
        <item x="1282"/>
        <item x="1318"/>
        <item x="1044"/>
        <item x="1048"/>
        <item x="1021"/>
        <item x="921"/>
        <item x="1307"/>
        <item x="933"/>
        <item x="1315"/>
        <item x="840"/>
        <item x="847"/>
        <item x="938"/>
        <item x="496"/>
        <item x="1313"/>
        <item x="1306"/>
        <item x="1312"/>
        <item x="941"/>
        <item x="1047"/>
        <item x="1316"/>
        <item x="1041"/>
        <item x="920"/>
        <item x="841"/>
        <item x="1310"/>
        <item x="940"/>
        <item x="844"/>
        <item x="846"/>
        <item x="1045"/>
        <item x="845"/>
        <item x="1019"/>
        <item x="932"/>
        <item x="848"/>
        <item x="919"/>
        <item x="1160"/>
        <item x="1293"/>
        <item x="1298"/>
        <item x="836"/>
        <item x="497"/>
        <item x="1043"/>
        <item x="843"/>
        <item x="1040"/>
        <item x="565"/>
        <item x="586"/>
        <item x="587"/>
        <item x="590"/>
        <item x="447"/>
        <item x="607"/>
        <item x="251"/>
        <item x="588"/>
        <item x="440"/>
        <item x="450"/>
        <item x="787"/>
        <item x="572"/>
        <item x="567"/>
        <item x="1165"/>
        <item x="452"/>
        <item x="574"/>
        <item x="569"/>
        <item x="571"/>
        <item x="788"/>
        <item x="556"/>
        <item x="901"/>
        <item x="1038"/>
        <item x="557"/>
        <item x="785"/>
        <item x="132"/>
        <item x="155"/>
        <item x="160"/>
        <item x="167"/>
        <item x="145"/>
        <item x="142"/>
        <item x="136"/>
        <item x="131"/>
        <item x="146"/>
        <item x="147"/>
        <item x="124"/>
        <item x="162"/>
        <item x="164"/>
        <item x="149"/>
        <item x="161"/>
        <item x="133"/>
        <item x="163"/>
        <item x="128"/>
        <item x="156"/>
        <item x="150"/>
        <item x="158"/>
        <item x="148"/>
        <item x="134"/>
        <item x="159"/>
        <item x="157"/>
        <item x="129"/>
        <item x="144"/>
        <item x="153"/>
        <item x="165"/>
        <item x="119"/>
        <item x="151"/>
        <item x="126"/>
        <item x="140"/>
        <item x="135"/>
        <item x="141"/>
        <item x="143"/>
        <item x="152"/>
        <item x="120"/>
        <item x="123"/>
        <item x="139"/>
        <item x="121"/>
        <item x="122"/>
        <item x="127"/>
        <item x="125"/>
        <item x="1116"/>
        <item x="682"/>
        <item x="32"/>
        <item x="902"/>
        <item x="906"/>
        <item x="872"/>
        <item x="693"/>
        <item x="965"/>
        <item x="878"/>
        <item x="154"/>
        <item x="1322"/>
        <item x="881"/>
        <item x="775"/>
        <item x="438"/>
        <item x="435"/>
        <item x="1020"/>
        <item x="416"/>
        <item x="470"/>
        <item x="345"/>
        <item x="988"/>
        <item x="382"/>
        <item x="389"/>
        <item x="1022"/>
        <item x="577"/>
        <item x="604"/>
        <item x="805"/>
        <item x="803"/>
        <item x="460"/>
        <item x="459"/>
        <item x="725"/>
        <item x="687"/>
        <item x="706"/>
        <item x="679"/>
        <item x="684"/>
        <item x="734"/>
        <item x="702"/>
        <item x="683"/>
        <item x="1012"/>
        <item x="923"/>
        <item x="166"/>
        <item x="686"/>
        <item x="689"/>
        <item x="1151"/>
        <item x="564"/>
        <item x="779"/>
        <item x="441"/>
        <item x="1236"/>
        <item x="1273"/>
        <item x="1272"/>
        <item x="505"/>
        <item x="453"/>
        <item x="869"/>
        <item x="1015"/>
        <item x="890"/>
        <item x="879"/>
        <item x="896"/>
        <item x="904"/>
        <item x="480"/>
        <item x="1295"/>
        <item x="1300"/>
        <item x="928"/>
        <item x="486"/>
        <item x="1213"/>
        <item x="485"/>
        <item x="924"/>
        <item x="484"/>
        <item x="483"/>
        <item x="1302"/>
        <item x="477"/>
        <item x="929"/>
        <item x="930"/>
        <item x="1163"/>
        <item x="926"/>
        <item x="1212"/>
        <item x="481"/>
        <item x="931"/>
        <item x="1161"/>
        <item x="487"/>
        <item x="1162"/>
        <item x="478"/>
        <item x="681"/>
        <item x="240"/>
        <item x="699"/>
        <item x="237"/>
        <item x="727"/>
        <item x="842"/>
        <item x="786"/>
        <item x="782"/>
        <item x="527"/>
        <item x="1009"/>
        <item x="522"/>
        <item x="1013"/>
        <item x="1069"/>
        <item x="1064"/>
        <item x="524"/>
        <item x="1016"/>
        <item x="249"/>
        <item x="553"/>
        <item x="525"/>
        <item x="1199"/>
        <item x="253"/>
        <item x="554"/>
        <item x="523"/>
        <item x="977"/>
        <item x="1139"/>
        <item x="863"/>
        <item x="241"/>
        <item x="238"/>
        <item x="244"/>
        <item x="790"/>
        <item x="566"/>
        <item x="563"/>
        <item x="214"/>
        <item x="1215"/>
        <item x="270"/>
        <item x="606"/>
        <item x="359"/>
        <item x="54"/>
        <item x="111"/>
        <item x="117"/>
        <item x="114"/>
        <item x="115"/>
        <item x="108"/>
        <item x="98"/>
        <item x="113"/>
        <item x="59"/>
        <item x="61"/>
        <item x="53"/>
        <item x="48"/>
        <item x="97"/>
        <item x="100"/>
        <item x="63"/>
        <item x="64"/>
        <item x="60"/>
        <item x="43"/>
        <item x="103"/>
        <item x="45"/>
        <item x="51"/>
        <item x="110"/>
        <item x="84"/>
        <item x="91"/>
        <item x="94"/>
        <item x="95"/>
        <item x="88"/>
        <item x="83"/>
        <item x="71"/>
        <item x="69"/>
        <item x="68"/>
        <item x="66"/>
        <item x="70"/>
        <item x="67"/>
        <item x="65"/>
        <item x="72"/>
        <item x="62"/>
        <item x="42"/>
        <item x="96"/>
        <item x="44"/>
        <item x="85"/>
        <item x="112"/>
        <item x="47"/>
        <item x="116"/>
        <item x="86"/>
        <item x="90"/>
        <item x="76"/>
        <item x="107"/>
        <item x="109"/>
        <item x="81"/>
        <item x="50"/>
        <item x="104"/>
        <item x="57"/>
        <item x="74"/>
        <item x="58"/>
        <item x="55"/>
        <item x="99"/>
        <item x="106"/>
        <item x="77"/>
        <item x="49"/>
        <item x="80"/>
        <item x="93"/>
        <item x="78"/>
        <item x="87"/>
        <item x="46"/>
        <item x="92"/>
        <item x="75"/>
        <item x="105"/>
        <item x="102"/>
        <item x="56"/>
        <item x="82"/>
        <item x="79"/>
        <item x="52"/>
        <item x="89"/>
        <item x="73"/>
        <item x="454"/>
        <item x="680"/>
        <item x="1110"/>
        <item x="1107"/>
        <item x="897"/>
        <item x="898"/>
        <item x="899"/>
        <item x="437"/>
        <item x="854"/>
        <item x="849"/>
        <item x="850"/>
        <item x="1231"/>
        <item x="555"/>
        <item x="562"/>
        <item x="581"/>
        <item x="783"/>
        <item x="778"/>
        <item x="442"/>
        <item x="456"/>
        <item x="585"/>
        <item x="774"/>
        <item x="455"/>
        <item x="458"/>
        <item x="446"/>
        <item x="448"/>
        <item x="888"/>
        <item x="867"/>
        <item x="870"/>
        <item x="903"/>
        <item x="1274"/>
        <item x="1269"/>
        <item x="905"/>
        <item x="884"/>
        <item x="726"/>
        <item x="874"/>
        <item x="729"/>
        <item x="720"/>
        <item x="692"/>
        <item x="886"/>
        <item x="875"/>
        <item x="677"/>
        <item x="258"/>
        <item x="685"/>
        <item x="1321"/>
        <item x="1115"/>
        <item x="887"/>
        <item x="893"/>
        <item x="894"/>
        <item x="439"/>
        <item x="871"/>
        <item x="591"/>
        <item x="432"/>
        <item x="443"/>
        <item x="594"/>
        <item x="593"/>
        <item x="230"/>
        <item x="444"/>
        <item x="582"/>
        <item x="573"/>
        <item x="781"/>
        <item x="445"/>
        <item x="579"/>
        <item x="289"/>
        <item x="277"/>
        <item x="853"/>
        <item x="337"/>
        <item x="335"/>
        <item x="777"/>
        <item x="130"/>
        <item x="561"/>
        <item x="559"/>
        <item x="584"/>
        <item x="1167"/>
        <item x="707"/>
        <item x="704"/>
        <item x="711"/>
        <item x="697"/>
        <item x="688"/>
        <item x="461"/>
        <item x="449"/>
        <item x="1246"/>
        <item x="730"/>
        <item x="705"/>
        <item x="728"/>
        <item x="695"/>
        <item x="907"/>
        <item x="717"/>
        <item x="883"/>
        <item x="713"/>
        <item x="589"/>
        <item x="560"/>
        <item x="530"/>
        <item x="1235"/>
        <item x="1324"/>
        <item x="1197"/>
        <item x="1081"/>
        <item x="966"/>
        <item x="1143"/>
        <item x="531"/>
        <item x="970"/>
        <item x="255"/>
        <item x="254"/>
        <item x="248"/>
        <item x="534"/>
        <item x="1054"/>
        <item x="1141"/>
        <item x="200"/>
        <item x="816"/>
        <item x="815"/>
        <item x="287"/>
        <item x="535"/>
        <item x="1192"/>
        <item x="428"/>
        <item x="1067"/>
        <item x="1144"/>
        <item x="528"/>
        <item x="1113"/>
        <item x="538"/>
        <item x="859"/>
        <item x="372"/>
        <item x="202"/>
        <item x="306"/>
        <item x="860"/>
        <item x="542"/>
        <item x="424"/>
        <item x="1142"/>
        <item x="544"/>
        <item x="543"/>
        <item x="1080"/>
        <item x="1328"/>
        <item x="1207"/>
        <item x="545"/>
        <item x="1140"/>
        <item x="814"/>
        <item x="971"/>
        <item x="429"/>
        <item x="552"/>
        <item x="620"/>
        <item x="1319"/>
        <item x="288"/>
        <item x="256"/>
        <item x="1196"/>
        <item x="1059"/>
        <item x="426"/>
        <item x="1068"/>
        <item x="969"/>
        <item x="975"/>
        <item x="852"/>
        <item x="272"/>
        <item x="1055"/>
        <item x="1063"/>
        <item x="885"/>
        <item x="723"/>
        <item x="866"/>
        <item x="892"/>
        <item x="703"/>
        <item x="583"/>
        <item x="791"/>
        <item x="718"/>
        <item x="876"/>
        <item x="714"/>
        <item x="301"/>
        <item x="690"/>
        <item x="137"/>
        <item x="298"/>
        <item x="303"/>
        <item x="310"/>
        <item x="700"/>
        <item x="696"/>
        <item x="927"/>
        <item x="1299"/>
        <item x="925"/>
        <item x="949"/>
        <item x="609"/>
        <item x="962"/>
        <item x="1124"/>
        <item x="1101"/>
        <item x="1118"/>
        <item x="945"/>
        <item x="415"/>
        <item x="1046"/>
        <item x="1317"/>
        <item x="1126"/>
        <item x="325"/>
        <item x="611"/>
        <item x="1117"/>
        <item x="807"/>
        <item x="806"/>
        <item x="973"/>
        <item x="1056"/>
        <item x="1066"/>
        <item x="332"/>
        <item x="1133"/>
        <item x="414"/>
        <item x="373"/>
        <item x="1003"/>
        <item x="1099"/>
        <item x="990"/>
        <item x="1109"/>
        <item x="1114"/>
        <item x="409"/>
        <item x="979"/>
        <item x="328"/>
        <item x="331"/>
        <item x="630"/>
        <item x="600"/>
        <item x="259"/>
        <item x="1260"/>
        <item x="1122"/>
        <item x="390"/>
        <item x="991"/>
        <item x="413"/>
        <item x="358"/>
        <item x="536"/>
        <item x="499"/>
        <item x="307"/>
        <item x="326"/>
        <item x="431"/>
        <item x="1259"/>
        <item x="285"/>
        <item x="284"/>
        <item x="225"/>
        <item x="232"/>
        <item x="296"/>
        <item x="216"/>
        <item x="610"/>
        <item x="1248"/>
        <item x="196"/>
        <item x="466"/>
        <item x="948"/>
        <item x="992"/>
        <item x="800"/>
        <item x="802"/>
        <item x="273"/>
        <item x="229"/>
        <item x="861"/>
        <item x="186"/>
        <item x="489"/>
        <item x="188"/>
        <item x="189"/>
        <item x="286"/>
        <item x="187"/>
        <item x="613"/>
        <item x="608"/>
        <item x="950"/>
        <item x="495"/>
        <item x="231"/>
        <item x="952"/>
        <item x="996"/>
        <item x="1244"/>
        <item x="810"/>
        <item x="812"/>
        <item x="228"/>
        <item x="954"/>
        <item x="279"/>
        <item x="197"/>
        <item x="411"/>
        <item x="995"/>
        <item x="169"/>
        <item x="222"/>
        <item x="212"/>
        <item x="278"/>
        <item x="838"/>
        <item x="274"/>
        <item x="281"/>
        <item x="195"/>
        <item x="1129"/>
        <item x="999"/>
        <item x="1131"/>
        <item x="947"/>
        <item x="193"/>
        <item x="809"/>
        <item x="290"/>
        <item x="500"/>
        <item x="350"/>
        <item x="465"/>
        <item x="951"/>
        <item x="217"/>
        <item x="218"/>
        <item x="1249"/>
        <item x="185"/>
        <item x="808"/>
        <item x="813"/>
        <item x="946"/>
        <item x="1127"/>
        <item x="220"/>
        <item x="233"/>
        <item x="223"/>
        <item x="550"/>
        <item x="547"/>
        <item x="1198"/>
        <item x="257"/>
        <item x="242"/>
        <item x="570"/>
        <item x="1034"/>
        <item x="316"/>
        <item x="1037"/>
        <item x="268"/>
        <item x="1030"/>
        <item x="1031"/>
        <item x="215"/>
        <item x="315"/>
        <item x="1033"/>
        <item x="267"/>
        <item x="314"/>
        <item x="451"/>
        <item x="457"/>
        <item x="592"/>
        <item x="176"/>
        <item x="168"/>
        <item x="181"/>
        <item x="172"/>
        <item x="183"/>
        <item x="174"/>
        <item x="173"/>
        <item x="175"/>
        <item x="984"/>
        <item x="260"/>
        <item x="261"/>
        <item x="985"/>
        <item x="266"/>
        <item x="1279"/>
        <item x="491"/>
        <item x="1018"/>
        <item x="830"/>
        <item x="227"/>
        <item x="349"/>
        <item x="1286"/>
        <item x="1170"/>
        <item x="1181"/>
        <item x="1130"/>
        <item x="347"/>
        <item x="1309"/>
        <item x="1238"/>
        <item x="1075"/>
        <item x="1104"/>
        <item x="615"/>
        <item x="1123"/>
        <item x="510"/>
        <item x="355"/>
        <item x="967"/>
        <item x="1128"/>
        <item x="178"/>
        <item x="1173"/>
        <item x="994"/>
        <item x="474"/>
        <item x="519"/>
        <item x="338"/>
        <item x="469"/>
        <item x="333"/>
        <item x="1308"/>
        <item x="596"/>
        <item x="605"/>
        <item x="1267"/>
        <item x="205"/>
        <item x="1010"/>
        <item x="398"/>
        <item x="208"/>
        <item x="402"/>
        <item x="1011"/>
        <item x="1278"/>
        <item x="993"/>
        <item x="371"/>
        <item x="370"/>
        <item x="421"/>
        <item x="987"/>
        <item x="1232"/>
        <item x="427"/>
        <item x="394"/>
        <item x="1001"/>
        <item x="1135"/>
        <item x="956"/>
        <item x="521"/>
        <item x="1188"/>
        <item x="1153"/>
        <item x="1042"/>
        <item x="912"/>
        <item x="206"/>
        <item x="953"/>
        <item x="1183"/>
        <item x="631"/>
        <item x="625"/>
        <item x="626"/>
        <item x="1100"/>
        <item x="490"/>
        <item x="1089"/>
        <item x="821"/>
        <item x="822"/>
        <item x="818"/>
        <item x="1004"/>
        <item x="262"/>
        <item x="404"/>
        <item x="422"/>
        <item x="180"/>
        <item x="1006"/>
        <item x="271"/>
        <item x="1289"/>
        <item x="407"/>
        <item x="374"/>
        <item x="344"/>
        <item x="356"/>
        <item x="1079"/>
        <item x="304"/>
        <item x="1102"/>
        <item x="312"/>
        <item x="243"/>
        <item x="327"/>
        <item x="336"/>
        <item x="968"/>
        <item x="1305"/>
        <item x="597"/>
        <item x="1147"/>
        <item x="1171"/>
        <item x="1138"/>
        <item x="1050"/>
        <item x="1154"/>
        <item x="1093"/>
        <item x="204"/>
        <item x="247"/>
        <item x="989"/>
        <item x="1254"/>
        <item x="957"/>
        <item x="1294"/>
        <item x="518"/>
        <item x="401"/>
        <item x="194"/>
        <item x="1206"/>
        <item x="1209"/>
        <item x="1204"/>
        <item x="282"/>
        <item x="1210"/>
        <item x="1230"/>
        <item x="190"/>
        <item x="1228"/>
        <item x="1222"/>
        <item x="1229"/>
        <item x="811"/>
        <item x="226"/>
        <item x="517"/>
        <item x="1085"/>
        <item x="516"/>
        <item x="1320"/>
        <item x="1195"/>
        <item x="245"/>
        <item x="619"/>
        <item x="343"/>
        <item x="203"/>
        <item x="828"/>
        <item x="463"/>
        <item x="492"/>
        <item x="513"/>
        <item x="963"/>
        <item x="1190"/>
        <item x="983"/>
        <item x="1261"/>
        <item x="250"/>
        <item x="1258"/>
        <item x="1098"/>
        <item x="385"/>
        <item x="462"/>
        <item x="614"/>
        <item x="1169"/>
        <item x="386"/>
        <item x="417"/>
        <item x="425"/>
        <item x="1086"/>
        <item x="1014"/>
        <item x="1166"/>
        <item x="395"/>
        <item x="1024"/>
        <item x="405"/>
        <item x="418"/>
        <item x="1168"/>
        <item x="351"/>
        <item x="1150"/>
        <item x="334"/>
        <item x="1112"/>
        <item x="511"/>
        <item x="794"/>
        <item x="795"/>
        <item x="793"/>
        <item x="419"/>
        <item x="1187"/>
        <item x="354"/>
        <item x="412"/>
        <item x="981"/>
        <item x="1007"/>
        <item x="318"/>
        <item x="400"/>
        <item x="317"/>
        <item x="1005"/>
        <item x="276"/>
        <item x="321"/>
        <item x="1176"/>
        <item x="1002"/>
        <item x="388"/>
        <item x="1091"/>
        <item x="1103"/>
        <item x="391"/>
        <item x="408"/>
        <item x="1175"/>
        <item x="320"/>
        <item x="376"/>
        <item x="1156"/>
        <item x="420"/>
        <item x="377"/>
        <item x="1287"/>
        <item x="361"/>
        <item x="170"/>
        <item x="1182"/>
        <item x="224"/>
        <item x="797"/>
        <item x="1184"/>
        <item x="493"/>
        <item x="239"/>
        <item x="1314"/>
        <item x="508"/>
        <item x="1257"/>
        <item x="293"/>
        <item x="801"/>
        <item x="857"/>
        <item x="1088"/>
        <item x="1179"/>
        <item x="1095"/>
        <item x="494"/>
        <item x="1146"/>
        <item x="323"/>
        <item x="1177"/>
        <item x="380"/>
        <item x="540"/>
        <item x="1090"/>
        <item x="958"/>
        <item x="602"/>
        <item x="1311"/>
        <item x="399"/>
        <item x="817"/>
        <item x="340"/>
        <item x="539"/>
        <item x="533"/>
        <item x="955"/>
        <item x="1134"/>
        <item x="464"/>
        <item x="831"/>
        <item x="537"/>
        <item x="342"/>
        <item x="201"/>
        <item x="1058"/>
        <item x="1237"/>
        <item x="509"/>
        <item x="618"/>
        <item x="182"/>
        <item x="959"/>
        <item x="1186"/>
        <item x="1077"/>
        <item x="1256"/>
        <item x="1255"/>
        <item x="982"/>
        <item x="823"/>
        <item x="798"/>
        <item x="292"/>
        <item x="1096"/>
        <item x="1159"/>
        <item x="1092"/>
        <item x="1233"/>
        <item x="1125"/>
        <item x="341"/>
        <item x="1292"/>
        <item x="280"/>
        <item x="1180"/>
        <item x="1148"/>
        <item x="1106"/>
        <item x="1164"/>
        <item x="199"/>
        <item x="207"/>
        <item x="835"/>
        <item x="599"/>
        <item x="1120"/>
        <item x="1265"/>
        <item x="313"/>
        <item x="532"/>
        <item x="520"/>
        <item x="1119"/>
        <item x="601"/>
        <item x="512"/>
        <item x="628"/>
        <item x="191"/>
        <item x="914"/>
        <item x="353"/>
        <item x="839"/>
        <item x="393"/>
        <item x="1243"/>
        <item x="916"/>
        <item x="397"/>
        <item x="1078"/>
        <item x="515"/>
        <item x="467"/>
        <item x="219"/>
        <item x="548"/>
        <item x="514"/>
        <item x="1053"/>
        <item x="396"/>
        <item x="1239"/>
        <item x="627"/>
        <item x="964"/>
        <item x="1083"/>
        <item x="1323"/>
        <item x="829"/>
        <item x="1155"/>
        <item x="1025"/>
        <item x="209"/>
        <item x="436"/>
        <item x="1026"/>
        <item x="236"/>
        <item x="198"/>
        <item x="1052"/>
        <item x="1208"/>
        <item x="1205"/>
        <item x="339"/>
        <item x="265"/>
        <item x="264"/>
        <item x="476"/>
        <item x="473"/>
        <item x="1221"/>
        <item x="935"/>
        <item x="939"/>
        <item x="936"/>
        <item x="1218"/>
        <item x="934"/>
        <item x="1224"/>
        <item x="1217"/>
        <item x="942"/>
        <item x="1219"/>
        <item x="275"/>
        <item x="944"/>
        <item x="943"/>
        <item x="283"/>
        <item x="1223"/>
        <item x="997"/>
        <item x="824"/>
        <item x="820"/>
        <item x="819"/>
        <item x="792"/>
        <item x="1028"/>
        <item x="1290"/>
        <item x="1185"/>
        <item x="1281"/>
        <item x="403"/>
        <item x="1149"/>
        <item x="833"/>
        <item x="305"/>
        <item x="379"/>
        <item x="392"/>
        <item x="423"/>
        <item x="352"/>
        <item x="1094"/>
        <item x="1039"/>
        <item x="937"/>
        <item x="858"/>
        <item x="406"/>
        <item x="1157"/>
        <item x="1172"/>
        <item x="1076"/>
        <item x="329"/>
        <item x="330"/>
        <item x="856"/>
        <item x="322"/>
        <item x="832"/>
        <item x="1105"/>
        <item x="362"/>
        <item x="300"/>
        <item x="1051"/>
        <item x="1082"/>
        <item x="297"/>
        <item x="911"/>
        <item x="1023"/>
        <item x="855"/>
        <item x="1263"/>
        <item x="1121"/>
        <item x="363"/>
        <item x="360"/>
        <item x="319"/>
        <item x="1008"/>
        <item x="346"/>
        <item x="1193"/>
        <item x="1111"/>
        <item x="375"/>
        <item x="1262"/>
        <item x="603"/>
        <item x="433"/>
        <item x="568"/>
        <item x="595"/>
        <item x="889"/>
        <item x="691"/>
        <item x="715"/>
        <item x="731"/>
        <item x="676"/>
        <item x="873"/>
        <item x="694"/>
        <item x="710"/>
        <item x="701"/>
        <item x="880"/>
        <item x="1251"/>
        <item x="799"/>
        <item x="506"/>
        <item x="504"/>
        <item x="1049"/>
        <item x="507"/>
        <item x="502"/>
        <item x="503"/>
        <item x="1174"/>
        <item x="1178"/>
        <item x="192"/>
        <item x="171"/>
        <item x="1226"/>
        <item x="1201"/>
        <item x="1203"/>
        <item x="1225"/>
        <item x="1227"/>
        <item x="776"/>
        <item x="26"/>
        <item x="5"/>
        <item x="6"/>
        <item x="28"/>
        <item x="33"/>
        <item x="31"/>
        <item x="38"/>
        <item x="27"/>
        <item x="23"/>
        <item x="30"/>
        <item x="24"/>
        <item x="0"/>
        <item x="29"/>
        <item x="34"/>
        <item x="37"/>
        <item x="36"/>
        <item x="4"/>
        <item x="13"/>
        <item x="9"/>
        <item x="3"/>
        <item x="11"/>
        <item x="35"/>
        <item x="15"/>
        <item x="7"/>
        <item x="12"/>
        <item x="19"/>
        <item x="18"/>
        <item x="16"/>
        <item x="20"/>
        <item x="21"/>
        <item x="10"/>
        <item x="2"/>
        <item x="1"/>
        <item x="22"/>
        <item x="14"/>
        <item x="8"/>
        <item x="17"/>
        <item x="25"/>
        <item x="210"/>
        <item x="235"/>
        <item x="636"/>
        <item x="667"/>
        <item x="635"/>
        <item x="637"/>
        <item x="655"/>
        <item x="668"/>
        <item x="656"/>
        <item x="663"/>
        <item x="658"/>
        <item x="662"/>
        <item x="659"/>
        <item x="652"/>
        <item x="657"/>
        <item x="672"/>
        <item x="661"/>
        <item x="653"/>
        <item x="650"/>
        <item x="670"/>
        <item x="640"/>
        <item x="669"/>
        <item x="633"/>
        <item x="664"/>
        <item x="649"/>
        <item x="648"/>
        <item x="638"/>
        <item x="639"/>
        <item x="646"/>
        <item x="634"/>
        <item x="647"/>
        <item x="665"/>
        <item x="666"/>
        <item x="654"/>
        <item x="660"/>
        <item x="671"/>
        <item x="645"/>
        <item x="644"/>
        <item x="642"/>
        <item x="641"/>
        <item x="643"/>
        <item x="651"/>
        <item x="252"/>
        <item x="211"/>
        <item x="744"/>
        <item x="769"/>
        <item x="770"/>
        <item x="762"/>
        <item x="768"/>
        <item x="772"/>
        <item x="771"/>
        <item x="766"/>
        <item x="736"/>
        <item x="763"/>
        <item x="761"/>
        <item x="764"/>
        <item x="745"/>
        <item x="737"/>
        <item x="756"/>
        <item x="742"/>
        <item x="741"/>
        <item x="747"/>
        <item x="749"/>
        <item x="748"/>
        <item x="759"/>
        <item x="753"/>
        <item x="738"/>
        <item x="765"/>
        <item x="767"/>
        <item x="754"/>
        <item x="751"/>
        <item x="755"/>
        <item x="758"/>
        <item x="757"/>
        <item x="735"/>
        <item x="743"/>
        <item x="752"/>
        <item x="760"/>
        <item x="750"/>
        <item x="740"/>
        <item x="746"/>
        <item x="739"/>
        <item x="234"/>
        <item x="580"/>
        <item x="1304"/>
        <item x="269"/>
        <item x="488"/>
        <item x="482"/>
        <item x="501"/>
        <item x="357"/>
        <item x="1303"/>
        <item x="1032"/>
        <item x="1036"/>
        <item x="1035"/>
        <item x="1029"/>
        <item x="1220"/>
        <item x="479"/>
        <item x="1296"/>
        <item x="612"/>
        <item x="998"/>
        <item x="498"/>
        <item x="1301"/>
        <item x="986"/>
        <item x="1132"/>
        <item x="348"/>
        <item x="1297"/>
        <item x="804"/>
        <item x="1214"/>
        <item x="184"/>
        <item x="980"/>
        <item x="780"/>
        <item x="558"/>
        <item x="434"/>
        <item x="1027"/>
        <item x="1240"/>
        <item x="471"/>
        <item x="177"/>
        <item x="1074"/>
        <item x="915"/>
        <item x="430"/>
        <item x="918"/>
        <item x="913"/>
        <item x="834"/>
        <item x="1152"/>
        <item x="246"/>
        <item x="851"/>
        <item x="598"/>
        <item x="1288"/>
        <item x="922"/>
        <item x="475"/>
        <item x="384"/>
        <item x="1291"/>
        <item x="526"/>
        <item x="369"/>
        <item x="1158"/>
        <item x="1202"/>
        <item x="387"/>
        <item x="221"/>
        <item x="909"/>
        <item x="468"/>
        <item x="549"/>
        <item x="383"/>
        <item x="472"/>
        <item x="1087"/>
        <item x="179"/>
        <item x="917"/>
        <item x="551"/>
        <item x="1216"/>
        <item x="1211"/>
        <item x="381"/>
        <item x="378"/>
        <item x="910"/>
        <item x="263"/>
        <item x="796"/>
        <item x="1253"/>
        <item x="1252"/>
        <item x="1268"/>
        <item x="1247"/>
        <item x="1245"/>
        <item x="1250"/>
        <item x="719"/>
        <item x="733"/>
        <item x="722"/>
        <item x="138"/>
        <item x="716"/>
        <item x="708"/>
        <item x="101"/>
        <item x="724"/>
        <item x="882"/>
        <item x="900"/>
        <item x="721"/>
        <item x="712"/>
        <item x="294"/>
        <item x="678"/>
        <item x="732"/>
        <item x="895"/>
        <item x="698"/>
        <item x="891"/>
        <item x="709"/>
        <item x="868"/>
        <item x="877"/>
        <item x="675"/>
        <item x="1277"/>
        <item x="1271"/>
        <item x="837"/>
        <item x="773"/>
        <item x="789"/>
        <item x="575"/>
        <item x="576"/>
        <item x="578"/>
        <item x="674"/>
        <item x="1017"/>
        <item x="1145"/>
        <item x="1285"/>
        <item x="978"/>
        <item m="1" x="1330"/>
        <item x="40"/>
        <item x="41"/>
        <item x="865"/>
        <item x="1072"/>
        <item x="1073"/>
        <item x="118"/>
        <item x="673"/>
        <item x="39"/>
        <item x="864"/>
        <item x="1071"/>
        <item t="default"/>
      </items>
    </pivotField>
    <pivotField axis="axisRow" showAll="0">
      <items count="31">
        <item x="2"/>
        <item x="1"/>
        <item x="3"/>
        <item x="6"/>
        <item x="21"/>
        <item x="8"/>
        <item x="4"/>
        <item x="10"/>
        <item x="13"/>
        <item x="14"/>
        <item x="20"/>
        <item x="16"/>
        <item x="11"/>
        <item x="17"/>
        <item x="9"/>
        <item x="7"/>
        <item x="28"/>
        <item x="24"/>
        <item x="18"/>
        <item x="29"/>
        <item x="19"/>
        <item x="22"/>
        <item x="15"/>
        <item x="23"/>
        <item x="26"/>
        <item x="25"/>
        <item x="0"/>
        <item x="5"/>
        <item x="27"/>
        <item x="12"/>
        <item t="default"/>
      </items>
    </pivotField>
  </pivotFields>
  <rowFields count="3">
    <field x="0"/>
    <field x="2"/>
    <field x="1"/>
  </rowFields>
  <rowItems count="2531">
    <i>
      <x/>
    </i>
    <i r="1">
      <x/>
    </i>
    <i r="2">
      <x v="1326"/>
    </i>
    <i r="1">
      <x v="1"/>
    </i>
    <i r="2">
      <x v="1328"/>
    </i>
    <i r="1">
      <x v="10"/>
    </i>
    <i r="2">
      <x v="1329"/>
    </i>
    <i r="1">
      <x v="17"/>
    </i>
    <i r="2">
      <x v="1330"/>
    </i>
    <i>
      <x v="1"/>
    </i>
    <i r="1">
      <x v="10"/>
    </i>
    <i r="2">
      <x v="1323"/>
    </i>
    <i r="1">
      <x v="17"/>
    </i>
    <i r="2">
      <x v="1324"/>
    </i>
    <i r="1">
      <x v="22"/>
    </i>
    <i r="2">
      <x v="1327"/>
    </i>
    <i>
      <x v="2"/>
    </i>
    <i r="1">
      <x v="1"/>
    </i>
    <i r="2">
      <x v="1321"/>
    </i>
    <i r="2">
      <x v="1322"/>
    </i>
    <i r="1">
      <x v="17"/>
    </i>
    <i r="2">
      <x v="1325"/>
    </i>
    <i r="1">
      <x v="19"/>
    </i>
    <i r="2">
      <x v="1318"/>
    </i>
    <i r="1">
      <x v="21"/>
    </i>
    <i r="2">
      <x v="1319"/>
    </i>
    <i r="1">
      <x v="22"/>
    </i>
    <i r="2">
      <x v="1315"/>
    </i>
    <i r="1">
      <x v="24"/>
    </i>
    <i r="2">
      <x v="1317"/>
    </i>
    <i>
      <x v="3"/>
    </i>
    <i r="1">
      <x v="21"/>
    </i>
    <i r="2">
      <x v="569"/>
    </i>
    <i r="1">
      <x v="22"/>
    </i>
    <i r="2">
      <x v="1306"/>
    </i>
    <i r="1">
      <x v="23"/>
    </i>
    <i r="2">
      <x v="1316"/>
    </i>
    <i>
      <x v="4"/>
    </i>
    <i r="1">
      <x v="2"/>
    </i>
    <i r="2">
      <x v="677"/>
    </i>
    <i>
      <x v="5"/>
    </i>
    <i r="1">
      <x v="29"/>
    </i>
    <i r="2">
      <x v="719"/>
    </i>
    <i>
      <x v="6"/>
    </i>
    <i r="1">
      <x v="5"/>
    </i>
    <i r="2">
      <x v="7"/>
    </i>
    <i r="2">
      <x v="1258"/>
    </i>
    <i r="1">
      <x v="21"/>
    </i>
    <i r="2">
      <x v="1234"/>
    </i>
    <i>
      <x v="7"/>
    </i>
    <i r="1">
      <x v="2"/>
    </i>
    <i r="2">
      <x v="626"/>
    </i>
    <i r="1">
      <x v="4"/>
    </i>
    <i r="2">
      <x v="3"/>
    </i>
    <i r="2">
      <x v="1263"/>
    </i>
    <i>
      <x v="8"/>
    </i>
    <i r="1">
      <x v="22"/>
    </i>
    <i r="2">
      <x v="1063"/>
    </i>
    <i>
      <x v="9"/>
    </i>
    <i r="1">
      <x v="17"/>
    </i>
    <i r="2">
      <x v="1242"/>
    </i>
    <i>
      <x v="10"/>
    </i>
    <i r="1">
      <x v="1"/>
    </i>
    <i r="2">
      <x v="310"/>
    </i>
    <i r="2">
      <x v="330"/>
    </i>
    <i>
      <x v="11"/>
    </i>
    <i r="1">
      <x v="1"/>
    </i>
    <i r="2">
      <x v="332"/>
    </i>
    <i r="1">
      <x v="23"/>
    </i>
    <i r="2">
      <x v="691"/>
    </i>
    <i>
      <x v="12"/>
    </i>
    <i r="1">
      <x v="5"/>
    </i>
    <i r="2">
      <x v="731"/>
    </i>
    <i>
      <x v="13"/>
    </i>
    <i r="1">
      <x v="24"/>
    </i>
    <i r="2">
      <x v="893"/>
    </i>
    <i>
      <x v="14"/>
    </i>
    <i r="1">
      <x v="19"/>
    </i>
    <i r="2">
      <x v="695"/>
    </i>
    <i r="1">
      <x v="25"/>
    </i>
    <i r="2">
      <x v="553"/>
    </i>
    <i r="1">
      <x v="27"/>
    </i>
    <i r="2">
      <x v="574"/>
    </i>
    <i>
      <x v="15"/>
    </i>
    <i r="1">
      <x v="5"/>
    </i>
    <i r="2">
      <x v="487"/>
    </i>
    <i r="2">
      <x v="730"/>
    </i>
    <i r="1">
      <x v="7"/>
    </i>
    <i r="2">
      <x v="827"/>
    </i>
    <i r="1">
      <x v="21"/>
    </i>
    <i r="2">
      <x v="853"/>
    </i>
    <i r="1">
      <x v="24"/>
    </i>
    <i r="2">
      <x v="779"/>
    </i>
    <i>
      <x v="16"/>
    </i>
    <i r="1">
      <x v="2"/>
    </i>
    <i r="2">
      <x v="876"/>
    </i>
    <i r="1">
      <x v="9"/>
    </i>
    <i r="2">
      <x v="1147"/>
    </i>
    <i r="1">
      <x v="10"/>
    </i>
    <i r="2">
      <x v="521"/>
    </i>
    <i r="1">
      <x v="14"/>
    </i>
    <i r="2">
      <x v="419"/>
    </i>
    <i r="1">
      <x v="23"/>
    </i>
    <i r="2">
      <x v="96"/>
    </i>
    <i>
      <x v="17"/>
    </i>
    <i r="1">
      <x/>
    </i>
    <i r="2">
      <x v="161"/>
    </i>
    <i r="1">
      <x v="1"/>
    </i>
    <i r="2">
      <x v="312"/>
    </i>
    <i r="2">
      <x v="357"/>
    </i>
    <i r="1">
      <x v="7"/>
    </i>
    <i r="2">
      <x v="816"/>
    </i>
    <i r="1">
      <x v="11"/>
    </i>
    <i r="2">
      <x v="1199"/>
    </i>
    <i r="1">
      <x v="21"/>
    </i>
    <i r="2">
      <x v="924"/>
    </i>
    <i>
      <x v="18"/>
    </i>
    <i r="1">
      <x v="12"/>
    </i>
    <i r="2">
      <x v="380"/>
    </i>
    <i r="1">
      <x v="16"/>
    </i>
    <i r="2">
      <x v="958"/>
    </i>
    <i r="1">
      <x v="24"/>
    </i>
    <i r="2">
      <x v="937"/>
    </i>
    <i r="1">
      <x v="25"/>
    </i>
    <i r="2">
      <x v="545"/>
    </i>
    <i>
      <x v="19"/>
    </i>
    <i r="1">
      <x v="2"/>
    </i>
    <i r="2">
      <x v="1080"/>
    </i>
    <i r="1">
      <x v="6"/>
    </i>
    <i r="2">
      <x v="814"/>
    </i>
    <i r="1">
      <x v="9"/>
    </i>
    <i r="2">
      <x v="1154"/>
    </i>
    <i r="1">
      <x v="10"/>
    </i>
    <i r="2">
      <x v="394"/>
    </i>
    <i r="1">
      <x v="13"/>
    </i>
    <i r="2">
      <x v="388"/>
    </i>
    <i r="2">
      <x v="1310"/>
    </i>
    <i r="1">
      <x v="14"/>
    </i>
    <i r="2">
      <x v="1056"/>
    </i>
    <i r="1">
      <x v="16"/>
    </i>
    <i r="2">
      <x v="617"/>
    </i>
    <i r="1">
      <x v="29"/>
    </i>
    <i r="2">
      <x v="778"/>
    </i>
    <i>
      <x v="20"/>
    </i>
    <i r="1">
      <x v="2"/>
    </i>
    <i r="2">
      <x v="679"/>
    </i>
    <i r="1">
      <x v="5"/>
    </i>
    <i r="2">
      <x v="562"/>
    </i>
    <i r="2">
      <x v="766"/>
    </i>
    <i r="1">
      <x v="15"/>
    </i>
    <i r="2">
      <x v="933"/>
    </i>
    <i r="1">
      <x v="17"/>
    </i>
    <i r="2">
      <x v="702"/>
    </i>
    <i r="1">
      <x v="19"/>
    </i>
    <i r="2">
      <x v="874"/>
    </i>
    <i r="1">
      <x v="28"/>
    </i>
    <i r="2">
      <x v="1082"/>
    </i>
    <i r="1">
      <x v="29"/>
    </i>
    <i r="2">
      <x v="1251"/>
    </i>
    <i>
      <x v="21"/>
    </i>
    <i r="1">
      <x v="11"/>
    </i>
    <i r="2">
      <x v="1177"/>
    </i>
    <i r="1">
      <x v="12"/>
    </i>
    <i r="2">
      <x v="127"/>
    </i>
    <i r="1">
      <x v="15"/>
    </i>
    <i r="2">
      <x v="912"/>
    </i>
    <i r="1">
      <x v="17"/>
    </i>
    <i r="2">
      <x v="1029"/>
    </i>
    <i r="1">
      <x v="19"/>
    </i>
    <i r="2">
      <x v="1252"/>
    </i>
    <i r="1">
      <x v="21"/>
    </i>
    <i r="2">
      <x v="821"/>
    </i>
    <i r="1">
      <x v="22"/>
    </i>
    <i r="2">
      <x v="408"/>
    </i>
    <i r="2">
      <x v="1298"/>
    </i>
    <i>
      <x v="22"/>
    </i>
    <i r="1">
      <x v="2"/>
    </i>
    <i r="2">
      <x v="682"/>
    </i>
    <i r="1">
      <x v="12"/>
    </i>
    <i r="2">
      <x v="130"/>
    </i>
    <i r="1">
      <x v="21"/>
    </i>
    <i r="2">
      <x v="684"/>
    </i>
    <i r="1">
      <x v="27"/>
    </i>
    <i r="2">
      <x v="685"/>
    </i>
    <i>
      <x v="23"/>
    </i>
    <i r="1">
      <x v="9"/>
    </i>
    <i r="2">
      <x v="1129"/>
    </i>
    <i r="1">
      <x v="11"/>
    </i>
    <i r="2">
      <x v="1182"/>
    </i>
    <i r="1">
      <x v="16"/>
    </i>
    <i r="2">
      <x v="1283"/>
    </i>
    <i r="1">
      <x v="17"/>
    </i>
    <i r="2">
      <x v="921"/>
    </i>
    <i r="1">
      <x v="18"/>
    </i>
    <i r="2">
      <x v="848"/>
    </i>
    <i r="2">
      <x v="1009"/>
    </i>
    <i>
      <x v="24"/>
    </i>
    <i r="1">
      <x v="2"/>
    </i>
    <i r="2">
      <x v="681"/>
    </i>
    <i r="1">
      <x v="17"/>
    </i>
    <i r="2">
      <x v="961"/>
    </i>
    <i r="1">
      <x v="28"/>
    </i>
    <i r="2">
      <x v="1260"/>
    </i>
    <i>
      <x v="25"/>
    </i>
    <i r="1">
      <x v="2"/>
    </i>
    <i r="2">
      <x v="683"/>
    </i>
    <i r="1">
      <x v="4"/>
    </i>
    <i r="2">
      <x v="1041"/>
    </i>
    <i r="2">
      <x v="1276"/>
    </i>
    <i r="1">
      <x v="7"/>
    </i>
    <i r="2">
      <x v="909"/>
    </i>
    <i r="1">
      <x v="11"/>
    </i>
    <i r="2">
      <x v="1191"/>
    </i>
    <i r="1">
      <x v="16"/>
    </i>
    <i r="2">
      <x v="448"/>
    </i>
    <i r="1">
      <x v="24"/>
    </i>
    <i r="2">
      <x v="1015"/>
    </i>
    <i r="1">
      <x v="27"/>
    </i>
    <i r="2">
      <x v="686"/>
    </i>
    <i>
      <x v="26"/>
    </i>
    <i r="1">
      <x v="11"/>
    </i>
    <i r="2">
      <x v="1206"/>
    </i>
    <i r="1">
      <x v="26"/>
    </i>
    <i r="2">
      <x v="1098"/>
    </i>
    <i>
      <x v="27"/>
    </i>
    <i r="1">
      <x v="2"/>
    </i>
    <i r="2">
      <x v="676"/>
    </i>
    <i r="1">
      <x v="11"/>
    </i>
    <i r="2">
      <x v="1204"/>
    </i>
    <i r="1">
      <x v="19"/>
    </i>
    <i r="2">
      <x v="764"/>
    </i>
    <i r="1">
      <x v="20"/>
    </i>
    <i r="2">
      <x v="815"/>
    </i>
    <i r="1">
      <x v="24"/>
    </i>
    <i r="2">
      <x v="842"/>
    </i>
    <i r="1">
      <x v="25"/>
    </i>
    <i r="2">
      <x v="949"/>
    </i>
    <i>
      <x v="28"/>
    </i>
    <i r="1">
      <x v="4"/>
    </i>
    <i r="2">
      <x v="744"/>
    </i>
    <i r="1">
      <x v="7"/>
    </i>
    <i r="2">
      <x v="643"/>
    </i>
    <i r="1">
      <x v="19"/>
    </i>
    <i r="2">
      <x v="1011"/>
    </i>
    <i r="1">
      <x v="24"/>
    </i>
    <i r="2">
      <x v="218"/>
    </i>
    <i r="1">
      <x v="27"/>
    </i>
    <i r="2">
      <x v="758"/>
    </i>
    <i r="1">
      <x v="28"/>
    </i>
    <i r="2">
      <x v="1083"/>
    </i>
    <i>
      <x v="29"/>
    </i>
    <i r="1">
      <x/>
    </i>
    <i r="2">
      <x v="169"/>
    </i>
    <i r="1">
      <x v="2"/>
    </i>
    <i r="2">
      <x v="710"/>
    </i>
    <i r="2">
      <x v="1241"/>
    </i>
    <i r="1">
      <x v="9"/>
    </i>
    <i r="2">
      <x v="1127"/>
    </i>
    <i r="2">
      <x v="1130"/>
    </i>
    <i r="1">
      <x v="11"/>
    </i>
    <i r="2">
      <x v="1185"/>
    </i>
    <i r="1">
      <x v="15"/>
    </i>
    <i r="2">
      <x v="813"/>
    </i>
    <i r="1">
      <x v="24"/>
    </i>
    <i r="2">
      <x v="1248"/>
    </i>
    <i r="1">
      <x v="27"/>
    </i>
    <i r="2">
      <x v="1277"/>
    </i>
    <i>
      <x v="30"/>
    </i>
    <i r="1">
      <x v="1"/>
    </i>
    <i r="2">
      <x v="304"/>
    </i>
    <i r="2">
      <x v="335"/>
    </i>
    <i r="1">
      <x v="10"/>
    </i>
    <i r="2">
      <x v="1304"/>
    </i>
    <i r="1">
      <x v="22"/>
    </i>
    <i r="2">
      <x v="208"/>
    </i>
    <i>
      <x v="31"/>
    </i>
    <i r="1">
      <x/>
    </i>
    <i r="2">
      <x v="172"/>
    </i>
    <i r="1">
      <x v="7"/>
    </i>
    <i r="2">
      <x v="596"/>
    </i>
    <i r="1">
      <x v="10"/>
    </i>
    <i r="2">
      <x v="227"/>
    </i>
    <i r="1">
      <x v="13"/>
    </i>
    <i r="2">
      <x v="188"/>
    </i>
    <i r="1">
      <x v="16"/>
    </i>
    <i r="2">
      <x v="1282"/>
    </i>
    <i r="1">
      <x v="17"/>
    </i>
    <i r="2">
      <x v="769"/>
    </i>
    <i r="1">
      <x v="18"/>
    </i>
    <i r="2">
      <x v="846"/>
    </i>
    <i r="1">
      <x v="25"/>
    </i>
    <i r="2">
      <x v="944"/>
    </i>
    <i>
      <x v="32"/>
    </i>
    <i r="1">
      <x v="1"/>
    </i>
    <i r="2">
      <x v="352"/>
    </i>
    <i r="1">
      <x v="2"/>
    </i>
    <i r="2">
      <x v="1269"/>
    </i>
    <i r="1">
      <x v="4"/>
    </i>
    <i r="2">
      <x v="1246"/>
    </i>
    <i r="1">
      <x v="7"/>
    </i>
    <i r="2">
      <x v="963"/>
    </i>
    <i r="1">
      <x v="12"/>
    </i>
    <i r="2">
      <x v="1236"/>
    </i>
    <i r="1">
      <x v="17"/>
    </i>
    <i r="2">
      <x v="496"/>
    </i>
    <i r="1">
      <x v="20"/>
    </i>
    <i r="2">
      <x v="974"/>
    </i>
    <i r="1">
      <x v="28"/>
    </i>
    <i r="2">
      <x v="796"/>
    </i>
    <i>
      <x v="33"/>
    </i>
    <i r="1">
      <x v="1"/>
    </i>
    <i r="2">
      <x v="343"/>
    </i>
    <i r="1">
      <x v="2"/>
    </i>
    <i r="2">
      <x v="761"/>
    </i>
    <i r="1">
      <x v="6"/>
    </i>
    <i r="2">
      <x v="785"/>
    </i>
    <i r="1">
      <x v="7"/>
    </i>
    <i r="2">
      <x v="1264"/>
    </i>
    <i r="1">
      <x v="11"/>
    </i>
    <i r="2">
      <x v="1184"/>
    </i>
    <i r="1">
      <x v="12"/>
    </i>
    <i r="2">
      <x v="438"/>
    </i>
    <i r="1">
      <x v="16"/>
    </i>
    <i r="2">
      <x v="594"/>
    </i>
    <i r="1">
      <x v="17"/>
    </i>
    <i r="2">
      <x v="463"/>
    </i>
    <i r="1">
      <x v="22"/>
    </i>
    <i r="2">
      <x v="369"/>
    </i>
    <i r="1">
      <x v="23"/>
    </i>
    <i r="2">
      <x v="191"/>
    </i>
    <i r="1">
      <x v="25"/>
    </i>
    <i r="2">
      <x v="1045"/>
    </i>
    <i r="1">
      <x v="26"/>
    </i>
    <i r="2">
      <x v="1119"/>
    </i>
    <i r="1">
      <x v="29"/>
    </i>
    <i r="2">
      <x v="943"/>
    </i>
    <i>
      <x v="34"/>
    </i>
    <i r="1">
      <x v="11"/>
    </i>
    <i r="2">
      <x v="1200"/>
    </i>
    <i>
      <x v="35"/>
    </i>
    <i r="1">
      <x v="2"/>
    </i>
    <i r="2">
      <x v="678"/>
    </i>
    <i r="1">
      <x v="6"/>
    </i>
    <i r="2">
      <x v="722"/>
    </i>
    <i r="2">
      <x v="745"/>
    </i>
    <i r="1">
      <x v="10"/>
    </i>
    <i r="2">
      <x v="395"/>
    </i>
    <i r="1">
      <x v="17"/>
    </i>
    <i r="2">
      <x v="1039"/>
    </i>
    <i r="1">
      <x v="24"/>
    </i>
    <i r="2">
      <x v="742"/>
    </i>
    <i r="1">
      <x v="25"/>
    </i>
    <i r="2">
      <x v="576"/>
    </i>
    <i r="1">
      <x v="28"/>
    </i>
    <i r="2">
      <x v="984"/>
    </i>
    <i>
      <x v="36"/>
    </i>
    <i r="1">
      <x v="6"/>
    </i>
    <i r="2">
      <x v="941"/>
    </i>
    <i r="1">
      <x v="22"/>
    </i>
    <i r="2">
      <x v="177"/>
    </i>
    <i r="2">
      <x v="212"/>
    </i>
    <i r="2">
      <x v="256"/>
    </i>
    <i>
      <x v="37"/>
    </i>
    <i r="1">
      <x/>
    </i>
    <i r="2">
      <x v="173"/>
    </i>
    <i r="1">
      <x v="6"/>
    </i>
    <i r="2">
      <x v="725"/>
    </i>
    <i r="1">
      <x v="7"/>
    </i>
    <i r="2">
      <x v="716"/>
    </i>
    <i r="1">
      <x v="10"/>
    </i>
    <i r="2">
      <x v="181"/>
    </i>
    <i r="2">
      <x v="417"/>
    </i>
    <i r="1">
      <x v="12"/>
    </i>
    <i r="2">
      <x v="458"/>
    </i>
    <i r="1">
      <x v="15"/>
    </i>
    <i r="2">
      <x v="767"/>
    </i>
    <i r="1">
      <x v="16"/>
    </i>
    <i r="2">
      <x v="647"/>
    </i>
    <i r="1">
      <x v="18"/>
    </i>
    <i r="2">
      <x v="847"/>
    </i>
    <i r="1">
      <x v="20"/>
    </i>
    <i r="2">
      <x v="692"/>
    </i>
    <i r="1">
      <x v="22"/>
    </i>
    <i r="2">
      <x v="206"/>
    </i>
    <i r="2">
      <x v="209"/>
    </i>
    <i r="2">
      <x v="216"/>
    </i>
    <i r="2">
      <x v="410"/>
    </i>
    <i r="1">
      <x v="23"/>
    </i>
    <i r="2">
      <x v="72"/>
    </i>
    <i r="1">
      <x v="28"/>
    </i>
    <i r="2">
      <x v="794"/>
    </i>
    <i r="1">
      <x v="29"/>
    </i>
    <i r="2">
      <x v="573"/>
    </i>
    <i>
      <x v="38"/>
    </i>
    <i r="1">
      <x/>
    </i>
    <i r="2">
      <x v="142"/>
    </i>
    <i r="2">
      <x v="170"/>
    </i>
    <i r="1">
      <x v="5"/>
    </i>
    <i r="2">
      <x v="870"/>
    </i>
    <i r="2">
      <x v="1053"/>
    </i>
    <i r="1">
      <x v="7"/>
    </i>
    <i r="2">
      <x v="193"/>
    </i>
    <i r="2">
      <x v="1240"/>
    </i>
    <i r="1">
      <x v="11"/>
    </i>
    <i r="2">
      <x v="1169"/>
    </i>
    <i r="1">
      <x v="15"/>
    </i>
    <i r="2">
      <x v="194"/>
    </i>
    <i r="1">
      <x v="16"/>
    </i>
    <i r="2">
      <x v="1284"/>
    </i>
    <i r="1">
      <x v="20"/>
    </i>
    <i r="2">
      <x v="910"/>
    </i>
    <i r="1">
      <x v="23"/>
    </i>
    <i r="2">
      <x v="198"/>
    </i>
    <i r="1">
      <x v="26"/>
    </i>
    <i r="2">
      <x v="1118"/>
    </i>
    <i>
      <x v="39"/>
    </i>
    <i r="1">
      <x/>
    </i>
    <i r="2">
      <x v="175"/>
    </i>
    <i r="1">
      <x v="1"/>
    </i>
    <i r="2">
      <x v="313"/>
    </i>
    <i r="2">
      <x v="365"/>
    </i>
    <i r="1">
      <x v="3"/>
    </i>
    <i r="2">
      <x v="772"/>
    </i>
    <i r="1">
      <x v="4"/>
    </i>
    <i r="2">
      <x v="954"/>
    </i>
    <i r="2">
      <x v="959"/>
    </i>
    <i r="2">
      <x v="1243"/>
    </i>
    <i r="1">
      <x v="5"/>
    </i>
    <i r="2">
      <x v="873"/>
    </i>
    <i r="1">
      <x v="9"/>
    </i>
    <i r="2">
      <x v="1151"/>
    </i>
    <i r="1">
      <x v="11"/>
    </i>
    <i r="2">
      <x v="1181"/>
    </i>
    <i r="1">
      <x v="13"/>
    </i>
    <i r="2">
      <x v="435"/>
    </i>
    <i r="2">
      <x v="1086"/>
    </i>
    <i r="1">
      <x v="14"/>
    </i>
    <i r="2">
      <x v="1237"/>
    </i>
    <i r="1">
      <x v="17"/>
    </i>
    <i r="2">
      <x v="972"/>
    </i>
    <i r="1">
      <x v="19"/>
    </i>
    <i r="2">
      <x v="1256"/>
    </i>
    <i r="1">
      <x v="21"/>
    </i>
    <i r="2">
      <x v="687"/>
    </i>
    <i r="1">
      <x v="23"/>
    </i>
    <i r="2">
      <x v="837"/>
    </i>
    <i r="2">
      <x v="1042"/>
    </i>
    <i r="1">
      <x v="24"/>
    </i>
    <i r="2">
      <x v="783"/>
    </i>
    <i r="1">
      <x v="25"/>
    </i>
    <i r="2">
      <x v="705"/>
    </i>
    <i r="1">
      <x v="27"/>
    </i>
    <i r="2">
      <x v="987"/>
    </i>
    <i r="1">
      <x v="28"/>
    </i>
    <i r="2">
      <x v="498"/>
    </i>
    <i r="1">
      <x v="29"/>
    </i>
    <i r="2">
      <x v="950"/>
    </i>
    <i>
      <x v="40"/>
    </i>
    <i r="1">
      <x v="20"/>
    </i>
    <i r="2">
      <x v="1034"/>
    </i>
    <i>
      <x v="41"/>
    </i>
    <i r="1">
      <x v="1"/>
    </i>
    <i r="2">
      <x v="293"/>
    </i>
    <i r="2">
      <x v="303"/>
    </i>
    <i r="1">
      <x v="4"/>
    </i>
    <i r="2">
      <x v="1270"/>
    </i>
    <i r="1">
      <x v="18"/>
    </i>
    <i r="2">
      <x v="1278"/>
    </i>
    <i r="1">
      <x v="22"/>
    </i>
    <i r="2">
      <x v="217"/>
    </i>
    <i r="2">
      <x v="445"/>
    </i>
    <i r="1">
      <x v="24"/>
    </i>
    <i r="2">
      <x v="975"/>
    </i>
    <i>
      <x v="42"/>
    </i>
    <i r="1">
      <x/>
    </i>
    <i r="2">
      <x v="163"/>
    </i>
    <i r="1">
      <x v="6"/>
    </i>
    <i r="2">
      <x v="977"/>
    </i>
    <i r="2">
      <x v="1125"/>
    </i>
    <i r="1">
      <x v="7"/>
    </i>
    <i r="2">
      <x v="989"/>
    </i>
    <i r="2">
      <x v="1267"/>
    </i>
    <i r="1">
      <x v="9"/>
    </i>
    <i r="2">
      <x v="1145"/>
    </i>
    <i r="2">
      <x v="1152"/>
    </i>
    <i r="1">
      <x v="11"/>
    </i>
    <i r="2">
      <x v="1205"/>
    </i>
    <i r="1">
      <x v="12"/>
    </i>
    <i r="2">
      <x v="287"/>
    </i>
    <i r="2">
      <x v="381"/>
    </i>
    <i r="2">
      <x v="437"/>
    </i>
    <i r="1">
      <x v="13"/>
    </i>
    <i r="2">
      <x v="220"/>
    </i>
    <i r="2">
      <x v="384"/>
    </i>
    <i r="2">
      <x v="1235"/>
    </i>
    <i r="1">
      <x v="15"/>
    </i>
    <i r="2">
      <x v="1050"/>
    </i>
    <i r="1">
      <x v="16"/>
    </i>
    <i r="2">
      <x v="1069"/>
    </i>
    <i r="1">
      <x v="17"/>
    </i>
    <i r="2">
      <x v="5"/>
    </i>
    <i r="1">
      <x v="18"/>
    </i>
    <i r="2">
      <x v="879"/>
    </i>
    <i r="1">
      <x v="20"/>
    </i>
    <i r="2">
      <x v="1016"/>
    </i>
    <i r="1">
      <x v="21"/>
    </i>
    <i r="2">
      <x v="733"/>
    </i>
    <i r="2">
      <x v="1227"/>
    </i>
    <i r="1">
      <x v="22"/>
    </i>
    <i r="2">
      <x v="530"/>
    </i>
    <i r="2">
      <x v="1060"/>
    </i>
    <i r="1">
      <x v="24"/>
    </i>
    <i r="2">
      <x v="871"/>
    </i>
    <i r="2">
      <x v="1027"/>
    </i>
    <i r="1">
      <x v="25"/>
    </i>
    <i r="2">
      <x v="543"/>
    </i>
    <i r="1">
      <x v="26"/>
    </i>
    <i r="2">
      <x v="1106"/>
    </i>
    <i r="1">
      <x v="27"/>
    </i>
    <i r="2">
      <x v="986"/>
    </i>
    <i r="1">
      <x v="28"/>
    </i>
    <i r="2">
      <x v="983"/>
    </i>
    <i>
      <x v="43"/>
    </i>
    <i r="1">
      <x/>
    </i>
    <i r="2">
      <x v="174"/>
    </i>
    <i r="1">
      <x v="1"/>
    </i>
    <i r="2">
      <x v="345"/>
    </i>
    <i r="2">
      <x v="347"/>
    </i>
    <i r="2">
      <x v="348"/>
    </i>
    <i r="2">
      <x v="362"/>
    </i>
    <i r="1">
      <x v="3"/>
    </i>
    <i r="2">
      <x v="946"/>
    </i>
    <i r="1">
      <x v="5"/>
    </i>
    <i r="2">
      <x v="1018"/>
    </i>
    <i r="2">
      <x v="1275"/>
    </i>
    <i r="1">
      <x v="7"/>
    </i>
    <i r="2">
      <x v="713"/>
    </i>
    <i r="1">
      <x v="9"/>
    </i>
    <i r="2">
      <x v="1164"/>
    </i>
    <i r="1">
      <x v="10"/>
    </i>
    <i r="2">
      <x v="1064"/>
    </i>
    <i r="1">
      <x v="17"/>
    </i>
    <i r="2">
      <x v="807"/>
    </i>
    <i r="1">
      <x v="19"/>
    </i>
    <i r="2">
      <x v="934"/>
    </i>
    <i r="1">
      <x v="27"/>
    </i>
    <i r="2">
      <x v="688"/>
    </i>
    <i r="1">
      <x v="28"/>
    </i>
    <i r="2">
      <x v="795"/>
    </i>
    <i>
      <x v="44"/>
    </i>
    <i r="1">
      <x v="4"/>
    </i>
    <i r="2">
      <x v="1245"/>
    </i>
    <i r="1">
      <x v="5"/>
    </i>
    <i r="2">
      <x v="196"/>
    </i>
    <i r="2">
      <x v="896"/>
    </i>
    <i r="2">
      <x v="1266"/>
    </i>
    <i r="2">
      <x v="1274"/>
    </i>
    <i r="1">
      <x v="9"/>
    </i>
    <i r="2">
      <x v="1163"/>
    </i>
    <i r="1">
      <x v="11"/>
    </i>
    <i r="2">
      <x v="1186"/>
    </i>
    <i r="1">
      <x v="13"/>
    </i>
    <i r="2">
      <x v="263"/>
    </i>
    <i r="2">
      <x v="383"/>
    </i>
    <i r="2">
      <x v="427"/>
    </i>
    <i r="1">
      <x v="20"/>
    </i>
    <i r="2">
      <x v="1247"/>
    </i>
    <i r="1">
      <x v="21"/>
    </i>
    <i r="2">
      <x v="195"/>
    </i>
    <i>
      <x v="45"/>
    </i>
    <i r="1">
      <x/>
    </i>
    <i r="2">
      <x v="149"/>
    </i>
    <i r="1">
      <x v="2"/>
    </i>
    <i r="2">
      <x v="918"/>
    </i>
    <i r="1">
      <x v="4"/>
    </i>
    <i r="2">
      <x v="88"/>
    </i>
    <i r="2">
      <x v="99"/>
    </i>
    <i r="1">
      <x v="9"/>
    </i>
    <i r="2">
      <x v="1162"/>
    </i>
    <i r="2">
      <x v="1165"/>
    </i>
    <i r="1">
      <x v="11"/>
    </i>
    <i r="2">
      <x v="1188"/>
    </i>
    <i r="1">
      <x v="12"/>
    </i>
    <i r="2">
      <x v="219"/>
    </i>
    <i r="1">
      <x v="14"/>
    </i>
    <i r="2">
      <x v="190"/>
    </i>
    <i r="1">
      <x v="18"/>
    </i>
    <i r="2">
      <x v="926"/>
    </i>
    <i r="1">
      <x v="22"/>
    </i>
    <i r="2">
      <x v="405"/>
    </i>
    <i r="1">
      <x v="24"/>
    </i>
    <i r="2">
      <x v="1259"/>
    </i>
    <i>
      <x v="46"/>
    </i>
    <i r="1">
      <x v="5"/>
    </i>
    <i r="2">
      <x v="826"/>
    </i>
    <i r="2">
      <x v="1255"/>
    </i>
    <i r="1">
      <x v="10"/>
    </i>
    <i r="2">
      <x v="402"/>
    </i>
    <i r="1">
      <x v="17"/>
    </i>
    <i r="2">
      <x v="833"/>
    </i>
    <i r="1">
      <x v="21"/>
    </i>
    <i r="2">
      <x v="787"/>
    </i>
    <i r="1">
      <x v="22"/>
    </i>
    <i r="2">
      <x v="182"/>
    </i>
    <i r="1">
      <x v="28"/>
    </i>
    <i r="2">
      <x v="798"/>
    </i>
    <i>
      <x v="47"/>
    </i>
    <i r="1">
      <x v="2"/>
    </i>
    <i r="2">
      <x v="680"/>
    </i>
    <i r="1">
      <x v="4"/>
    </i>
    <i r="2">
      <x v="73"/>
    </i>
    <i r="1">
      <x v="5"/>
    </i>
    <i r="2">
      <x v="830"/>
    </i>
    <i r="2">
      <x v="863"/>
    </i>
    <i r="2">
      <x v="1261"/>
    </i>
    <i r="1">
      <x v="10"/>
    </i>
    <i r="2">
      <x v="407"/>
    </i>
    <i r="1">
      <x v="14"/>
    </i>
    <i r="2">
      <x v="978"/>
    </i>
    <i r="1">
      <x v="23"/>
    </i>
    <i r="2">
      <x v="976"/>
    </i>
    <i r="1">
      <x v="25"/>
    </i>
    <i r="2">
      <x v="932"/>
    </i>
    <i r="1">
      <x v="29"/>
    </i>
    <i r="2">
      <x v="900"/>
    </i>
    <i>
      <x v="48"/>
    </i>
    <i r="1">
      <x v="14"/>
    </i>
    <i r="2">
      <x v="375"/>
    </i>
    <i r="1">
      <x v="15"/>
    </i>
    <i r="2">
      <x v="699"/>
    </i>
    <i r="1">
      <x v="17"/>
    </i>
    <i r="2">
      <x v="1268"/>
    </i>
    <i r="1">
      <x v="19"/>
    </i>
    <i r="2">
      <x v="101"/>
    </i>
    <i r="1">
      <x v="21"/>
    </i>
    <i r="2">
      <x v="565"/>
    </i>
    <i r="1">
      <x v="23"/>
    </i>
    <i r="2">
      <x v="979"/>
    </i>
    <i>
      <x v="49"/>
    </i>
    <i r="1">
      <x v="4"/>
    </i>
    <i r="2">
      <x v="1253"/>
    </i>
    <i r="1">
      <x v="5"/>
    </i>
    <i r="2">
      <x v="197"/>
    </i>
    <i r="1">
      <x v="11"/>
    </i>
    <i r="2">
      <x v="1187"/>
    </i>
    <i r="1">
      <x v="13"/>
    </i>
    <i r="2">
      <x v="66"/>
    </i>
    <i r="1">
      <x v="16"/>
    </i>
    <i r="2">
      <x v="1280"/>
    </i>
    <i r="1">
      <x v="23"/>
    </i>
    <i r="2">
      <x v="1238"/>
    </i>
    <i r="1">
      <x v="29"/>
    </i>
    <i r="2">
      <x v="1055"/>
    </i>
    <i>
      <x v="50"/>
    </i>
    <i r="1">
      <x v="4"/>
    </i>
    <i r="2">
      <x v="214"/>
    </i>
    <i r="1">
      <x v="6"/>
    </i>
    <i r="2">
      <x v="1168"/>
    </i>
    <i r="1">
      <x v="11"/>
    </i>
    <i r="2">
      <x v="1203"/>
    </i>
    <i r="1">
      <x v="14"/>
    </i>
    <i r="2">
      <x v="189"/>
    </i>
    <i r="1">
      <x v="20"/>
    </i>
    <i r="2">
      <x v="942"/>
    </i>
    <i r="1">
      <x v="21"/>
    </i>
    <i r="2">
      <x v="578"/>
    </i>
    <i r="1">
      <x v="23"/>
    </i>
    <i r="2">
      <x v="1010"/>
    </i>
    <i r="1">
      <x v="24"/>
    </i>
    <i r="2">
      <x v="929"/>
    </i>
    <i r="1">
      <x v="25"/>
    </i>
    <i r="2">
      <x v="550"/>
    </i>
    <i r="1">
      <x v="29"/>
    </i>
    <i r="2">
      <x v="200"/>
    </i>
    <i>
      <x v="51"/>
    </i>
    <i r="1">
      <x/>
    </i>
    <i r="2">
      <x v="139"/>
    </i>
    <i r="2">
      <x v="157"/>
    </i>
    <i r="2">
      <x v="436"/>
    </i>
    <i r="1">
      <x v="1"/>
    </i>
    <i r="2">
      <x v="301"/>
    </i>
    <i r="2">
      <x v="302"/>
    </i>
    <i r="2">
      <x v="307"/>
    </i>
    <i r="2">
      <x v="308"/>
    </i>
    <i r="2">
      <x v="309"/>
    </i>
    <i r="2">
      <x v="329"/>
    </i>
    <i r="1">
      <x v="6"/>
    </i>
    <i r="2">
      <x v="628"/>
    </i>
    <i r="1">
      <x v="7"/>
    </i>
    <i r="2">
      <x v="988"/>
    </i>
    <i r="2">
      <x v="1254"/>
    </i>
    <i r="1">
      <x v="10"/>
    </i>
    <i r="2">
      <x v="527"/>
    </i>
    <i r="1">
      <x v="11"/>
    </i>
    <i r="2">
      <x v="1195"/>
    </i>
    <i r="1">
      <x v="13"/>
    </i>
    <i r="2">
      <x v="131"/>
    </i>
    <i r="1">
      <x v="14"/>
    </i>
    <i r="2">
      <x v="416"/>
    </i>
    <i r="1">
      <x v="19"/>
    </i>
    <i r="2">
      <x v="790"/>
    </i>
    <i r="1">
      <x v="26"/>
    </i>
    <i r="2">
      <x v="1103"/>
    </i>
    <i r="1">
      <x v="28"/>
    </i>
    <i r="2">
      <x v="1273"/>
    </i>
    <i r="1">
      <x v="29"/>
    </i>
    <i r="2">
      <x v="720"/>
    </i>
    <i>
      <x v="52"/>
    </i>
    <i r="1">
      <x v="5"/>
    </i>
    <i r="2">
      <x v="577"/>
    </i>
    <i r="1">
      <x v="20"/>
    </i>
    <i r="2">
      <x v="103"/>
    </i>
    <i r="1">
      <x v="24"/>
    </i>
    <i r="2">
      <x v="100"/>
    </i>
    <i r="1">
      <x v="27"/>
    </i>
    <i r="2">
      <x v="671"/>
    </i>
    <i>
      <x v="53"/>
    </i>
    <i r="1">
      <x v="1"/>
    </i>
    <i r="2">
      <x v="324"/>
    </i>
    <i r="2">
      <x v="326"/>
    </i>
    <i r="2">
      <x v="327"/>
    </i>
    <i r="1">
      <x v="3"/>
    </i>
    <i r="2">
      <x v="672"/>
    </i>
    <i r="1">
      <x v="4"/>
    </i>
    <i r="2">
      <x v="236"/>
    </i>
    <i r="2">
      <x v="240"/>
    </i>
    <i r="2">
      <x v="245"/>
    </i>
    <i r="2">
      <x v="246"/>
    </i>
    <i r="2">
      <x v="248"/>
    </i>
    <i r="2">
      <x v="537"/>
    </i>
    <i r="2">
      <x v="539"/>
    </i>
    <i r="1">
      <x v="6"/>
    </i>
    <i r="2">
      <x v="1"/>
    </i>
    <i r="1">
      <x v="7"/>
    </i>
    <i r="2">
      <x v="233"/>
    </i>
    <i r="2">
      <x v="241"/>
    </i>
    <i r="2">
      <x v="242"/>
    </i>
    <i r="2">
      <x v="244"/>
    </i>
    <i r="2">
      <x v="250"/>
    </i>
    <i r="2">
      <x v="255"/>
    </i>
    <i r="2">
      <x v="1212"/>
    </i>
    <i r="2">
      <x v="1221"/>
    </i>
    <i r="1">
      <x v="12"/>
    </i>
    <i r="2">
      <x v="108"/>
    </i>
    <i r="2">
      <x v="286"/>
    </i>
    <i r="1">
      <x v="15"/>
    </i>
    <i r="2">
      <x v="1229"/>
    </i>
    <i r="1">
      <x v="19"/>
    </i>
    <i r="2">
      <x v="102"/>
    </i>
    <i r="2">
      <x v="234"/>
    </i>
    <i r="2">
      <x v="235"/>
    </i>
    <i r="2">
      <x v="538"/>
    </i>
    <i r="2">
      <x v="1222"/>
    </i>
    <i r="2">
      <x v="1226"/>
    </i>
    <i r="2">
      <x v="1230"/>
    </i>
    <i r="1">
      <x v="23"/>
    </i>
    <i r="2">
      <x v="666"/>
    </i>
    <i r="2">
      <x v="667"/>
    </i>
    <i r="2">
      <x v="670"/>
    </i>
    <i r="2">
      <x v="1216"/>
    </i>
    <i r="2">
      <x v="1219"/>
    </i>
    <i r="1">
      <x v="24"/>
    </i>
    <i r="2">
      <x v="252"/>
    </i>
    <i r="1">
      <x v="27"/>
    </i>
    <i r="2">
      <x v="665"/>
    </i>
    <i r="1">
      <x v="28"/>
    </i>
    <i r="2">
      <x v="249"/>
    </i>
    <i>
      <x v="54"/>
    </i>
    <i r="1">
      <x/>
    </i>
    <i r="2">
      <x v="132"/>
    </i>
    <i r="1">
      <x v="1"/>
    </i>
    <i r="2">
      <x v="321"/>
    </i>
    <i r="2">
      <x v="322"/>
    </i>
    <i r="2">
      <x v="323"/>
    </i>
    <i r="2">
      <x v="325"/>
    </i>
    <i r="1">
      <x v="2"/>
    </i>
    <i r="2">
      <x v="1233"/>
    </i>
    <i r="1">
      <x v="3"/>
    </i>
    <i r="2">
      <x v="669"/>
    </i>
    <i r="1">
      <x v="6"/>
    </i>
    <i r="2">
      <x v="288"/>
    </i>
    <i r="1">
      <x v="7"/>
    </i>
    <i r="2">
      <x v="237"/>
    </i>
    <i r="2">
      <x v="239"/>
    </i>
    <i r="2">
      <x v="253"/>
    </i>
    <i r="2">
      <x v="1211"/>
    </i>
    <i r="1">
      <x v="19"/>
    </i>
    <i r="2">
      <x v="243"/>
    </i>
    <i r="2">
      <x v="1209"/>
    </i>
    <i r="2">
      <x v="1215"/>
    </i>
    <i r="1">
      <x v="20"/>
    </i>
    <i r="2">
      <x v="1309"/>
    </i>
    <i r="1">
      <x v="23"/>
    </i>
    <i r="2">
      <x v="662"/>
    </i>
    <i r="2">
      <x v="664"/>
    </i>
    <i r="2">
      <x v="1217"/>
    </i>
    <i r="2">
      <x v="1218"/>
    </i>
    <i r="1">
      <x v="24"/>
    </i>
    <i r="2">
      <x v="247"/>
    </i>
    <i r="2">
      <x v="254"/>
    </i>
    <i r="1">
      <x v="28"/>
    </i>
    <i r="2">
      <x v="238"/>
    </i>
    <i>
      <x v="55"/>
    </i>
    <i r="1">
      <x/>
    </i>
    <i r="2">
      <x v="147"/>
    </i>
    <i r="1">
      <x v="1"/>
    </i>
    <i r="2">
      <x v="328"/>
    </i>
    <i r="1">
      <x v="3"/>
    </i>
    <i r="2">
      <x v="663"/>
    </i>
    <i r="1">
      <x v="4"/>
    </i>
    <i r="2">
      <x v="251"/>
    </i>
    <i r="1">
      <x v="6"/>
    </i>
    <i r="2">
      <x v="668"/>
    </i>
    <i r="1">
      <x v="18"/>
    </i>
    <i r="2">
      <x v="1070"/>
    </i>
    <i r="1">
      <x v="21"/>
    </i>
    <i r="2">
      <x v="598"/>
    </i>
    <i r="1">
      <x v="27"/>
    </i>
    <i r="2">
      <x v="1210"/>
    </i>
    <i r="1">
      <x v="28"/>
    </i>
    <i r="2">
      <x v="1232"/>
    </i>
    <i>
      <x v="56"/>
    </i>
    <i r="1">
      <x v="9"/>
    </i>
    <i r="2">
      <x v="1161"/>
    </i>
    <i r="1">
      <x v="14"/>
    </i>
    <i r="2">
      <x v="116"/>
    </i>
    <i r="1">
      <x v="27"/>
    </i>
    <i r="2">
      <x v="290"/>
    </i>
    <i r="1">
      <x v="28"/>
    </i>
    <i r="2">
      <x v="289"/>
    </i>
    <i>
      <x v="57"/>
    </i>
    <i r="1">
      <x/>
    </i>
    <i r="2">
      <x v="154"/>
    </i>
    <i r="1">
      <x v="11"/>
    </i>
    <i r="2">
      <x v="1201"/>
    </i>
    <i r="1">
      <x v="15"/>
    </i>
    <i r="2">
      <x v="694"/>
    </i>
    <i>
      <x v="58"/>
    </i>
    <i r="1">
      <x v="5"/>
    </i>
    <i r="2">
      <x v="866"/>
    </i>
    <i r="1">
      <x v="23"/>
    </i>
    <i r="2">
      <x v="129"/>
    </i>
    <i r="1">
      <x v="24"/>
    </i>
    <i r="2">
      <x v="939"/>
    </i>
    <i r="1">
      <x v="26"/>
    </i>
    <i r="2">
      <x v="1088"/>
    </i>
    <i>
      <x v="59"/>
    </i>
    <i r="1">
      <x v="22"/>
    </i>
    <i r="2">
      <x v="1065"/>
    </i>
    <i r="1">
      <x v="27"/>
    </i>
    <i r="2">
      <x v="763"/>
    </i>
    <i r="1">
      <x v="29"/>
    </i>
    <i r="2">
      <x v="291"/>
    </i>
    <i>
      <x v="60"/>
    </i>
    <i r="1">
      <x v="3"/>
    </i>
    <i r="2">
      <x v="857"/>
    </i>
    <i r="1">
      <x v="5"/>
    </i>
    <i r="2">
      <x v="1019"/>
    </i>
    <i>
      <x v="61"/>
    </i>
    <i r="1">
      <x/>
    </i>
    <i r="2">
      <x v="165"/>
    </i>
    <i r="1">
      <x v="1"/>
    </i>
    <i r="2">
      <x v="346"/>
    </i>
    <i r="2">
      <x v="367"/>
    </i>
    <i r="1">
      <x v="12"/>
    </i>
    <i r="2">
      <x v="120"/>
    </i>
    <i r="1">
      <x v="16"/>
    </i>
    <i r="2">
      <x v="788"/>
    </i>
    <i r="2">
      <x v="1279"/>
    </i>
    <i r="1">
      <x v="18"/>
    </i>
    <i r="2">
      <x v="599"/>
    </i>
    <i r="1">
      <x v="24"/>
    </i>
    <i r="2">
      <x v="121"/>
    </i>
    <i r="2">
      <x v="835"/>
    </i>
    <i r="1">
      <x v="25"/>
    </i>
    <i r="2">
      <x v="652"/>
    </i>
    <i r="1">
      <x v="26"/>
    </i>
    <i r="2">
      <x v="1089"/>
    </i>
    <i>
      <x v="62"/>
    </i>
    <i r="1">
      <x v="2"/>
    </i>
    <i r="2">
      <x v="648"/>
    </i>
    <i r="1">
      <x v="5"/>
    </i>
    <i r="2">
      <x v="957"/>
    </i>
    <i r="1">
      <x v="7"/>
    </i>
    <i r="2">
      <x v="605"/>
    </i>
    <i r="2">
      <x v="752"/>
    </i>
    <i r="1">
      <x v="12"/>
    </i>
    <i r="2">
      <x v="1057"/>
    </i>
    <i r="1">
      <x v="15"/>
    </i>
    <i r="2">
      <x v="642"/>
    </i>
    <i r="1">
      <x v="20"/>
    </i>
    <i r="2">
      <x v="630"/>
    </i>
    <i r="1">
      <x v="26"/>
    </i>
    <i r="2">
      <x v="1110"/>
    </i>
    <i r="1">
      <x v="27"/>
    </i>
    <i r="2">
      <x v="516"/>
    </i>
    <i>
      <x v="63"/>
    </i>
    <i r="1">
      <x v="16"/>
    </i>
    <i r="2">
      <x v="923"/>
    </i>
    <i>
      <x v="64"/>
    </i>
    <i r="1">
      <x v="12"/>
    </i>
    <i r="2">
      <x v="124"/>
    </i>
    <i>
      <x v="65"/>
    </i>
    <i r="1">
      <x/>
    </i>
    <i r="2">
      <x v="138"/>
    </i>
    <i r="1">
      <x v="2"/>
    </i>
    <i r="2">
      <x v="604"/>
    </i>
    <i r="1">
      <x v="9"/>
    </i>
    <i r="2">
      <x v="1153"/>
    </i>
    <i r="1">
      <x v="10"/>
    </i>
    <i r="2">
      <x v="1305"/>
    </i>
    <i r="1">
      <x v="11"/>
    </i>
    <i r="2">
      <x v="1190"/>
    </i>
    <i r="1">
      <x v="12"/>
    </i>
    <i r="2">
      <x v="661"/>
    </i>
    <i r="1">
      <x v="16"/>
    </i>
    <i r="2">
      <x v="922"/>
    </i>
    <i r="1">
      <x v="29"/>
    </i>
    <i r="2">
      <x v="113"/>
    </i>
    <i>
      <x v="66"/>
    </i>
    <i r="1">
      <x v="2"/>
    </i>
    <i r="2">
      <x v="609"/>
    </i>
    <i r="1">
      <x v="12"/>
    </i>
    <i r="2">
      <x v="125"/>
    </i>
    <i r="1">
      <x v="17"/>
    </i>
    <i r="2">
      <x v="889"/>
    </i>
    <i>
      <x v="67"/>
    </i>
    <i r="1">
      <x v="1"/>
    </i>
    <i r="2">
      <x v="359"/>
    </i>
    <i r="1">
      <x v="15"/>
    </i>
    <i r="2">
      <x v="841"/>
    </i>
    <i r="1">
      <x v="24"/>
    </i>
    <i r="2">
      <x v="440"/>
    </i>
    <i r="1">
      <x v="27"/>
    </i>
    <i r="2">
      <x v="601"/>
    </i>
    <i>
      <x v="68"/>
    </i>
    <i r="1">
      <x/>
    </i>
    <i r="2">
      <x v="531"/>
    </i>
    <i r="1">
      <x v="3"/>
    </i>
    <i r="2">
      <x v="855"/>
    </i>
    <i r="1">
      <x v="5"/>
    </i>
    <i r="2">
      <x v="736"/>
    </i>
    <i r="1">
      <x v="11"/>
    </i>
    <i r="2">
      <x v="1194"/>
    </i>
    <i r="1">
      <x v="13"/>
    </i>
    <i r="2">
      <x v="262"/>
    </i>
    <i r="1">
      <x v="15"/>
    </i>
    <i r="2">
      <x v="1021"/>
    </i>
    <i r="1">
      <x v="17"/>
    </i>
    <i r="2">
      <x v="753"/>
    </i>
    <i r="1">
      <x v="26"/>
    </i>
    <i r="2">
      <x v="1122"/>
    </i>
    <i r="1">
      <x v="29"/>
    </i>
    <i r="2">
      <x v="611"/>
    </i>
    <i>
      <x v="69"/>
    </i>
    <i r="1">
      <x v="5"/>
    </i>
    <i r="2">
      <x v="836"/>
    </i>
    <i r="1">
      <x v="6"/>
    </i>
    <i r="2">
      <x v="592"/>
    </i>
    <i>
      <x v="70"/>
    </i>
    <i r="1">
      <x v="1"/>
    </i>
    <i r="2">
      <x v="339"/>
    </i>
    <i r="1">
      <x v="5"/>
    </i>
    <i r="2">
      <x v="968"/>
    </i>
    <i r="1">
      <x v="6"/>
    </i>
    <i r="2">
      <x v="645"/>
    </i>
    <i r="2">
      <x v="646"/>
    </i>
    <i r="1">
      <x v="18"/>
    </i>
    <i r="2">
      <x v="887"/>
    </i>
    <i r="1">
      <x v="22"/>
    </i>
    <i r="2">
      <x v="452"/>
    </i>
    <i r="1">
      <x v="23"/>
    </i>
    <i r="2">
      <x v="1023"/>
    </i>
    <i r="1">
      <x v="24"/>
    </i>
    <i r="2">
      <x v="840"/>
    </i>
    <i r="1">
      <x v="27"/>
    </i>
    <i r="2">
      <x v="631"/>
    </i>
    <i r="1">
      <x v="29"/>
    </i>
    <i r="2">
      <x v="541"/>
    </i>
    <i>
      <x v="71"/>
    </i>
    <i r="1">
      <x/>
    </i>
    <i r="2">
      <x v="1288"/>
    </i>
    <i r="1">
      <x v="2"/>
    </i>
    <i r="2">
      <x v="606"/>
    </i>
    <i r="1">
      <x v="3"/>
    </i>
    <i r="2">
      <x v="1048"/>
    </i>
    <i r="1">
      <x v="18"/>
    </i>
    <i r="2">
      <x v="600"/>
    </i>
    <i r="1">
      <x v="19"/>
    </i>
    <i r="2">
      <x v="777"/>
    </i>
    <i r="1">
      <x v="28"/>
    </i>
    <i r="2">
      <x v="1272"/>
    </i>
    <i>
      <x v="72"/>
    </i>
    <i r="1">
      <x v="1"/>
    </i>
    <i r="2">
      <x v="351"/>
    </i>
    <i r="2">
      <x v="355"/>
    </i>
    <i r="1">
      <x v="7"/>
    </i>
    <i r="2">
      <x v="690"/>
    </i>
    <i r="1">
      <x v="18"/>
    </i>
    <i r="2">
      <x v="202"/>
    </i>
    <i r="1">
      <x v="27"/>
    </i>
    <i r="2">
      <x v="1000"/>
    </i>
    <i>
      <x v="73"/>
    </i>
    <i r="1">
      <x v="1"/>
    </i>
    <i r="2">
      <x v="364"/>
    </i>
    <i r="1">
      <x v="6"/>
    </i>
    <i r="2">
      <x v="964"/>
    </i>
    <i r="1">
      <x v="7"/>
    </i>
    <i r="2">
      <x v="817"/>
    </i>
    <i r="1">
      <x v="12"/>
    </i>
    <i r="2">
      <x v="119"/>
    </i>
    <i r="1">
      <x v="16"/>
    </i>
    <i r="2">
      <x v="885"/>
    </i>
    <i r="1">
      <x v="18"/>
    </i>
    <i r="2">
      <x v="1231"/>
    </i>
    <i r="1">
      <x v="20"/>
    </i>
    <i r="2">
      <x v="956"/>
    </i>
    <i>
      <x v="74"/>
    </i>
    <i r="1">
      <x/>
    </i>
    <i r="2">
      <x v="171"/>
    </i>
    <i r="1">
      <x v="1"/>
    </i>
    <i r="2">
      <x v="353"/>
    </i>
    <i r="1">
      <x v="3"/>
    </i>
    <i r="2">
      <x v="869"/>
    </i>
    <i r="1">
      <x v="5"/>
    </i>
    <i r="2">
      <x v="960"/>
    </i>
    <i r="1">
      <x v="7"/>
    </i>
    <i r="2">
      <x v="881"/>
    </i>
    <i r="1">
      <x v="16"/>
    </i>
    <i r="2">
      <x v="824"/>
    </i>
    <i r="1">
      <x v="17"/>
    </i>
    <i r="2">
      <x v="898"/>
    </i>
    <i r="1">
      <x v="18"/>
    </i>
    <i r="2">
      <x v="201"/>
    </i>
    <i r="1">
      <x v="20"/>
    </i>
    <i r="2">
      <x v="77"/>
    </i>
    <i r="1">
      <x v="21"/>
    </i>
    <i r="2">
      <x v="729"/>
    </i>
    <i r="1">
      <x v="23"/>
    </i>
    <i r="2">
      <x v="107"/>
    </i>
    <i r="1">
      <x v="27"/>
    </i>
    <i r="2">
      <x v="859"/>
    </i>
    <i r="1">
      <x v="28"/>
    </i>
    <i r="2">
      <x v="997"/>
    </i>
    <i>
      <x v="75"/>
    </i>
    <i r="1">
      <x v="19"/>
    </i>
    <i r="2">
      <x v="82"/>
    </i>
    <i r="1">
      <x v="20"/>
    </i>
    <i r="2">
      <x v="89"/>
    </i>
    <i>
      <x v="76"/>
    </i>
    <i r="1">
      <x v="1"/>
    </i>
    <i r="2">
      <x v="342"/>
    </i>
    <i r="1">
      <x v="5"/>
    </i>
    <i r="2">
      <x v="724"/>
    </i>
    <i r="1">
      <x v="20"/>
    </i>
    <i r="2">
      <x v="261"/>
    </i>
    <i r="1">
      <x v="24"/>
    </i>
    <i r="2">
      <x v="829"/>
    </i>
    <i r="1">
      <x v="27"/>
    </i>
    <i r="2">
      <x v="431"/>
    </i>
    <i r="2">
      <x v="629"/>
    </i>
    <i>
      <x v="77"/>
    </i>
    <i r="1">
      <x v="13"/>
    </i>
    <i r="2">
      <x v="118"/>
    </i>
    <i r="1">
      <x v="19"/>
    </i>
    <i r="2">
      <x v="74"/>
    </i>
    <i r="1">
      <x v="20"/>
    </i>
    <i r="2">
      <x v="106"/>
    </i>
    <i r="1">
      <x v="28"/>
    </i>
    <i r="2">
      <x v="994"/>
    </i>
    <i>
      <x v="78"/>
    </i>
    <i r="1">
      <x v="5"/>
    </i>
    <i r="2">
      <x v="902"/>
    </i>
    <i r="1">
      <x v="11"/>
    </i>
    <i r="2">
      <x v="1196"/>
    </i>
    <i r="1">
      <x v="20"/>
    </i>
    <i r="2">
      <x v="92"/>
    </i>
    <i r="1">
      <x v="26"/>
    </i>
    <i r="2">
      <x v="1105"/>
    </i>
    <i>
      <x v="79"/>
    </i>
    <i r="1">
      <x/>
    </i>
    <i r="2">
      <x v="164"/>
    </i>
    <i r="1">
      <x v="1"/>
    </i>
    <i r="2">
      <x v="320"/>
    </i>
    <i r="2">
      <x v="363"/>
    </i>
    <i r="1">
      <x v="3"/>
    </i>
    <i r="2">
      <x v="860"/>
    </i>
    <i r="1">
      <x v="6"/>
    </i>
    <i r="2">
      <x v="653"/>
    </i>
    <i r="1">
      <x v="9"/>
    </i>
    <i r="2">
      <x v="1155"/>
    </i>
    <i r="1">
      <x v="11"/>
    </i>
    <i r="2">
      <x v="1183"/>
    </i>
    <i r="1">
      <x v="13"/>
    </i>
    <i r="2">
      <x v="126"/>
    </i>
    <i r="1">
      <x v="14"/>
    </i>
    <i r="2">
      <x v="221"/>
    </i>
    <i r="1">
      <x v="19"/>
    </i>
    <i r="2">
      <x v="718"/>
    </i>
    <i r="1">
      <x v="22"/>
    </i>
    <i r="2">
      <x v="444"/>
    </i>
    <i r="2">
      <x v="536"/>
    </i>
    <i r="1">
      <x v="26"/>
    </i>
    <i r="2">
      <x v="1117"/>
    </i>
    <i r="1">
      <x v="27"/>
    </i>
    <i r="2">
      <x v="622"/>
    </i>
    <i>
      <x v="80"/>
    </i>
    <i r="1">
      <x v="10"/>
    </i>
    <i r="2">
      <x v="184"/>
    </i>
    <i r="1">
      <x v="23"/>
    </i>
    <i r="2">
      <x v="87"/>
    </i>
    <i>
      <x v="81"/>
    </i>
    <i r="1">
      <x v="1"/>
    </i>
    <i r="2">
      <x v="315"/>
    </i>
    <i r="2">
      <x v="333"/>
    </i>
    <i r="2">
      <x v="337"/>
    </i>
    <i r="1">
      <x v="4"/>
    </i>
    <i r="2">
      <x v="97"/>
    </i>
    <i r="1">
      <x v="7"/>
    </i>
    <i r="2">
      <x v="892"/>
    </i>
    <i r="1">
      <x v="9"/>
    </i>
    <i r="2">
      <x v="1150"/>
    </i>
    <i r="1">
      <x v="11"/>
    </i>
    <i r="2">
      <x v="1198"/>
    </i>
    <i r="1">
      <x v="14"/>
    </i>
    <i r="2">
      <x v="385"/>
    </i>
    <i r="1">
      <x v="17"/>
    </i>
    <i r="2">
      <x v="864"/>
    </i>
    <i r="1">
      <x v="18"/>
    </i>
    <i r="2">
      <x v="555"/>
    </i>
    <i r="1">
      <x v="19"/>
    </i>
    <i r="2">
      <x v="700"/>
    </i>
    <i r="1">
      <x v="20"/>
    </i>
    <i r="2">
      <x v="95"/>
    </i>
    <i r="1">
      <x v="22"/>
    </i>
    <i r="2">
      <x v="1301"/>
    </i>
    <i r="1">
      <x v="24"/>
    </i>
    <i r="2">
      <x v="696"/>
    </i>
    <i r="1">
      <x v="26"/>
    </i>
    <i r="2">
      <x v="1107"/>
    </i>
    <i r="1">
      <x v="28"/>
    </i>
    <i r="2">
      <x v="999"/>
    </i>
    <i>
      <x v="82"/>
    </i>
    <i r="1">
      <x v="2"/>
    </i>
    <i r="2">
      <x v="607"/>
    </i>
    <i r="1">
      <x v="11"/>
    </i>
    <i r="2">
      <x v="1197"/>
    </i>
    <i r="1">
      <x v="13"/>
    </i>
    <i r="2">
      <x v="1311"/>
    </i>
    <i r="1">
      <x v="14"/>
    </i>
    <i r="2">
      <x v="420"/>
    </i>
    <i r="2">
      <x v="424"/>
    </i>
    <i r="1">
      <x v="17"/>
    </i>
    <i r="2">
      <x v="930"/>
    </i>
    <i r="1">
      <x v="18"/>
    </i>
    <i r="2">
      <x v="554"/>
    </i>
    <i r="1">
      <x v="21"/>
    </i>
    <i r="2">
      <x v="712"/>
    </i>
    <i r="1">
      <x v="23"/>
    </i>
    <i r="2">
      <x v="743"/>
    </i>
    <i r="1">
      <x v="25"/>
    </i>
    <i r="2">
      <x v="709"/>
    </i>
    <i r="1">
      <x v="26"/>
    </i>
    <i r="2">
      <x v="1111"/>
    </i>
    <i r="1">
      <x v="27"/>
    </i>
    <i r="2">
      <x v="935"/>
    </i>
    <i>
      <x v="83"/>
    </i>
    <i r="1">
      <x v="2"/>
    </i>
    <i r="2">
      <x v="800"/>
    </i>
    <i r="1">
      <x v="4"/>
    </i>
    <i r="2">
      <x v="75"/>
    </i>
    <i r="1">
      <x v="5"/>
    </i>
    <i r="2">
      <x v="856"/>
    </i>
    <i r="1">
      <x v="6"/>
    </i>
    <i r="2">
      <x v="1262"/>
    </i>
    <i r="1">
      <x v="9"/>
    </i>
    <i r="2">
      <x v="1143"/>
    </i>
    <i r="2">
      <x v="1149"/>
    </i>
    <i r="2">
      <x v="1166"/>
    </i>
    <i r="1">
      <x v="10"/>
    </i>
    <i r="2">
      <x v="230"/>
    </i>
    <i r="1">
      <x v="11"/>
    </i>
    <i r="2">
      <x v="1189"/>
    </i>
    <i r="1">
      <x v="17"/>
    </i>
    <i r="2">
      <x v="784"/>
    </i>
    <i r="1">
      <x v="21"/>
    </i>
    <i r="2">
      <x v="625"/>
    </i>
    <i r="1">
      <x v="22"/>
    </i>
    <i r="2">
      <x v="258"/>
    </i>
    <i r="1">
      <x v="26"/>
    </i>
    <i r="2">
      <x v="1104"/>
    </i>
    <i r="1">
      <x v="27"/>
    </i>
    <i r="2">
      <x v="632"/>
    </i>
    <i r="1">
      <x v="28"/>
    </i>
    <i r="2">
      <x v="1220"/>
    </i>
    <i>
      <x v="84"/>
    </i>
    <i r="1">
      <x/>
    </i>
    <i r="2">
      <x v="166"/>
    </i>
    <i r="1">
      <x v="1"/>
    </i>
    <i r="2">
      <x v="319"/>
    </i>
    <i r="2">
      <x v="356"/>
    </i>
    <i r="1">
      <x v="3"/>
    </i>
    <i r="2">
      <x v="1033"/>
    </i>
    <i r="1">
      <x v="4"/>
    </i>
    <i r="2">
      <x v="995"/>
    </i>
    <i r="1">
      <x v="5"/>
    </i>
    <i r="2">
      <x v="792"/>
    </i>
    <i r="1">
      <x v="6"/>
    </i>
    <i r="2">
      <x v="627"/>
    </i>
    <i r="1">
      <x v="9"/>
    </i>
    <i r="2">
      <x v="1138"/>
    </i>
    <i r="1">
      <x v="11"/>
    </i>
    <i r="2">
      <x v="1202"/>
    </i>
    <i r="1">
      <x v="14"/>
    </i>
    <i r="2">
      <x v="428"/>
    </i>
    <i r="1">
      <x v="15"/>
    </i>
    <i r="2">
      <x v="955"/>
    </i>
    <i r="1">
      <x v="17"/>
    </i>
    <i r="2">
      <x v="1022"/>
    </i>
    <i r="1">
      <x v="18"/>
    </i>
    <i r="2">
      <x v="649"/>
    </i>
    <i r="1">
      <x v="19"/>
    </i>
    <i r="2">
      <x v="90"/>
    </i>
    <i r="2">
      <x v="901"/>
    </i>
    <i r="1">
      <x v="20"/>
    </i>
    <i r="2">
      <x v="93"/>
    </i>
    <i r="1">
      <x v="24"/>
    </i>
    <i r="2">
      <x v="780"/>
    </i>
    <i r="1">
      <x v="26"/>
    </i>
    <i r="2">
      <x v="1121"/>
    </i>
    <i r="1">
      <x v="28"/>
    </i>
    <i r="2">
      <x v="990"/>
    </i>
    <i>
      <x v="85"/>
    </i>
    <i r="1">
      <x v="1"/>
    </i>
    <i r="2">
      <x v="366"/>
    </i>
    <i r="1">
      <x v="3"/>
    </i>
    <i r="2">
      <x v="894"/>
    </i>
    <i r="1">
      <x v="6"/>
    </i>
    <i r="2">
      <x v="655"/>
    </i>
    <i r="1">
      <x v="10"/>
    </i>
    <i r="2">
      <x v="187"/>
    </i>
    <i r="2">
      <x v="1068"/>
    </i>
    <i r="1">
      <x v="11"/>
    </i>
    <i r="2">
      <x v="1179"/>
    </i>
    <i r="1">
      <x v="12"/>
    </i>
    <i r="2">
      <x v="426"/>
    </i>
    <i r="1">
      <x v="15"/>
    </i>
    <i r="2">
      <x v="851"/>
    </i>
    <i r="1">
      <x v="17"/>
    </i>
    <i r="2">
      <x v="891"/>
    </i>
    <i r="1">
      <x v="18"/>
    </i>
    <i r="2">
      <x v="639"/>
    </i>
    <i r="1">
      <x v="21"/>
    </i>
    <i r="2">
      <x v="616"/>
    </i>
    <i r="1">
      <x v="22"/>
    </i>
    <i r="2">
      <x v="535"/>
    </i>
    <i r="1">
      <x v="23"/>
    </i>
    <i r="2">
      <x v="105"/>
    </i>
    <i r="1">
      <x v="24"/>
    </i>
    <i r="2">
      <x v="1028"/>
    </i>
    <i r="1">
      <x v="25"/>
    </i>
    <i r="2">
      <x v="634"/>
    </i>
    <i r="1">
      <x v="26"/>
    </i>
    <i r="2">
      <x v="1109"/>
    </i>
    <i r="1">
      <x v="27"/>
    </i>
    <i r="2">
      <x v="797"/>
    </i>
    <i r="1">
      <x v="28"/>
    </i>
    <i r="2">
      <x v="802"/>
    </i>
    <i>
      <x v="86"/>
    </i>
    <i r="1">
      <x v="3"/>
    </i>
    <i r="2">
      <x v="4"/>
    </i>
    <i r="1">
      <x v="5"/>
    </i>
    <i r="2">
      <x v="726"/>
    </i>
    <i r="2">
      <x v="759"/>
    </i>
    <i r="2">
      <x v="1014"/>
    </i>
    <i r="1">
      <x v="6"/>
    </i>
    <i r="2">
      <x v="878"/>
    </i>
    <i r="1">
      <x v="14"/>
    </i>
    <i r="2">
      <x v="391"/>
    </i>
    <i r="1">
      <x v="16"/>
    </i>
    <i r="2">
      <x v="586"/>
    </i>
    <i>
      <x v="87"/>
    </i>
    <i r="1">
      <x v="4"/>
    </i>
    <i r="2">
      <x v="991"/>
    </i>
    <i r="1">
      <x v="6"/>
    </i>
    <i r="2">
      <x v="589"/>
    </i>
    <i r="1">
      <x v="17"/>
    </i>
    <i r="2">
      <x v="928"/>
    </i>
    <i r="1">
      <x v="21"/>
    </i>
    <i r="2">
      <x v="1005"/>
    </i>
    <i r="1">
      <x v="23"/>
    </i>
    <i r="2">
      <x v="70"/>
    </i>
    <i r="1">
      <x v="28"/>
    </i>
    <i r="2">
      <x v="1004"/>
    </i>
    <i>
      <x v="88"/>
    </i>
    <i r="1">
      <x/>
    </i>
    <i r="2">
      <x v="137"/>
    </i>
    <i r="1">
      <x v="1"/>
    </i>
    <i r="2">
      <x v="316"/>
    </i>
    <i r="2">
      <x v="338"/>
    </i>
    <i r="2">
      <x v="358"/>
    </i>
    <i r="1">
      <x v="3"/>
    </i>
    <i r="2">
      <x v="551"/>
    </i>
    <i r="1">
      <x v="4"/>
    </i>
    <i r="2">
      <x v="79"/>
    </i>
    <i r="2">
      <x v="91"/>
    </i>
    <i r="2">
      <x v="992"/>
    </i>
    <i r="2">
      <x v="993"/>
    </i>
    <i r="2">
      <x v="1024"/>
    </i>
    <i r="1">
      <x v="5"/>
    </i>
    <i r="2">
      <x v="765"/>
    </i>
    <i r="2">
      <x v="838"/>
    </i>
    <i r="2">
      <x v="867"/>
    </i>
    <i r="2">
      <x v="1026"/>
    </i>
    <i r="1">
      <x v="6"/>
    </i>
    <i r="2">
      <x v="805"/>
    </i>
    <i r="1">
      <x v="9"/>
    </i>
    <i r="2">
      <x v="1142"/>
    </i>
    <i r="1">
      <x v="10"/>
    </i>
    <i r="2">
      <x v="455"/>
    </i>
    <i r="2">
      <x v="1293"/>
    </i>
    <i r="1">
      <x v="12"/>
    </i>
    <i r="2">
      <x v="123"/>
    </i>
    <i r="1">
      <x v="14"/>
    </i>
    <i r="2">
      <x v="112"/>
    </i>
    <i r="1">
      <x v="15"/>
    </i>
    <i r="2">
      <x v="707"/>
    </i>
    <i r="1">
      <x v="17"/>
    </i>
    <i r="2">
      <x v="6"/>
    </i>
    <i r="1">
      <x v="18"/>
    </i>
    <i r="2">
      <x v="618"/>
    </i>
    <i r="1">
      <x v="22"/>
    </i>
    <i r="2">
      <x v="1067"/>
    </i>
    <i r="1">
      <x v="23"/>
    </i>
    <i r="2">
      <x v="94"/>
    </i>
    <i r="1">
      <x v="25"/>
    </i>
    <i r="2">
      <x v="698"/>
    </i>
    <i r="1">
      <x v="27"/>
    </i>
    <i r="2">
      <x v="1003"/>
    </i>
    <i>
      <x v="89"/>
    </i>
    <i r="1">
      <x/>
    </i>
    <i r="2">
      <x v="167"/>
    </i>
    <i r="1">
      <x v="1"/>
    </i>
    <i r="2">
      <x v="317"/>
    </i>
    <i r="2">
      <x v="318"/>
    </i>
    <i r="2">
      <x v="354"/>
    </i>
    <i r="1">
      <x v="2"/>
    </i>
    <i r="2">
      <x v="953"/>
    </i>
    <i r="1">
      <x v="3"/>
    </i>
    <i r="2">
      <x v="584"/>
    </i>
    <i r="1">
      <x v="4"/>
    </i>
    <i r="2">
      <x v="84"/>
    </i>
    <i r="2">
      <x v="998"/>
    </i>
    <i r="2">
      <x v="1001"/>
    </i>
    <i r="2">
      <x v="1002"/>
    </i>
    <i r="1">
      <x v="5"/>
    </i>
    <i r="2">
      <x v="568"/>
    </i>
    <i r="1">
      <x v="6"/>
    </i>
    <i r="2">
      <x v="693"/>
    </i>
    <i r="1">
      <x v="7"/>
    </i>
    <i r="2">
      <x v="80"/>
    </i>
    <i r="2">
      <x v="104"/>
    </i>
    <i r="2">
      <x v="582"/>
    </i>
    <i r="2">
      <x v="613"/>
    </i>
    <i r="2">
      <x v="641"/>
    </i>
    <i r="2">
      <x v="1225"/>
    </i>
    <i r="1">
      <x v="9"/>
    </i>
    <i r="2">
      <x v="1158"/>
    </i>
    <i r="1">
      <x v="10"/>
    </i>
    <i r="2">
      <x v="400"/>
    </i>
    <i r="1">
      <x v="14"/>
    </i>
    <i r="2">
      <x v="392"/>
    </i>
    <i r="1">
      <x v="15"/>
    </i>
    <i r="2">
      <x v="768"/>
    </i>
    <i r="1">
      <x v="16"/>
    </i>
    <i r="2">
      <x v="575"/>
    </i>
    <i r="1">
      <x v="17"/>
    </i>
    <i r="2">
      <x v="564"/>
    </i>
    <i r="2">
      <x v="825"/>
    </i>
    <i r="1">
      <x v="18"/>
    </i>
    <i r="2">
      <x v="804"/>
    </i>
    <i r="1">
      <x v="20"/>
    </i>
    <i r="2">
      <x v="78"/>
    </i>
    <i r="1">
      <x v="21"/>
    </i>
    <i r="2">
      <x v="2"/>
    </i>
    <i r="2">
      <x v="635"/>
    </i>
    <i r="2">
      <x v="1224"/>
    </i>
    <i r="1">
      <x v="22"/>
    </i>
    <i r="2">
      <x v="211"/>
    </i>
    <i r="2">
      <x v="442"/>
    </i>
    <i r="2">
      <x v="450"/>
    </i>
    <i r="2">
      <x v="523"/>
    </i>
    <i r="1">
      <x v="23"/>
    </i>
    <i r="2">
      <x v="548"/>
    </i>
    <i r="1">
      <x v="24"/>
    </i>
    <i r="2">
      <x v="711"/>
    </i>
    <i r="2">
      <x v="861"/>
    </i>
    <i r="2">
      <x v="868"/>
    </i>
    <i r="2">
      <x v="895"/>
    </i>
    <i r="2">
      <x v="1077"/>
    </i>
    <i r="1">
      <x v="25"/>
    </i>
    <i r="2">
      <x v="636"/>
    </i>
    <i r="1">
      <x v="26"/>
    </i>
    <i r="2">
      <x v="1114"/>
    </i>
    <i r="1">
      <x v="28"/>
    </i>
    <i r="2">
      <x v="996"/>
    </i>
    <i r="1">
      <x v="29"/>
    </i>
    <i r="2">
      <x v="593"/>
    </i>
    <i>
      <x v="90"/>
    </i>
    <i r="1">
      <x/>
    </i>
    <i r="2">
      <x v="158"/>
    </i>
    <i r="1">
      <x v="1"/>
    </i>
    <i r="2">
      <x v="331"/>
    </i>
    <i r="1">
      <x v="3"/>
    </i>
    <i r="2">
      <x v="774"/>
    </i>
    <i r="1">
      <x v="4"/>
    </i>
    <i r="2">
      <x v="546"/>
    </i>
    <i r="2">
      <x v="651"/>
    </i>
    <i r="1">
      <x v="5"/>
    </i>
    <i r="2">
      <x/>
    </i>
    <i r="2">
      <x v="561"/>
    </i>
    <i r="2">
      <x v="579"/>
    </i>
    <i r="2">
      <x v="624"/>
    </i>
    <i r="2">
      <x v="852"/>
    </i>
    <i r="1">
      <x v="6"/>
    </i>
    <i r="2">
      <x v="620"/>
    </i>
    <i r="1">
      <x v="7"/>
    </i>
    <i r="2">
      <x v="1213"/>
    </i>
    <i r="1">
      <x v="9"/>
    </i>
    <i r="2">
      <x v="1131"/>
    </i>
    <i r="1">
      <x v="12"/>
    </i>
    <i r="2">
      <x v="199"/>
    </i>
    <i r="2">
      <x v="1312"/>
    </i>
    <i r="2">
      <x v="1313"/>
    </i>
    <i r="2">
      <x v="1314"/>
    </i>
    <i r="1">
      <x v="15"/>
    </i>
    <i r="2">
      <x v="1214"/>
    </i>
    <i r="1">
      <x v="18"/>
    </i>
    <i r="2">
      <x v="619"/>
    </i>
    <i r="1">
      <x v="19"/>
    </i>
    <i r="2">
      <x v="76"/>
    </i>
    <i r="2">
      <x v="81"/>
    </i>
    <i r="2">
      <x v="83"/>
    </i>
    <i r="2">
      <x v="883"/>
    </i>
    <i r="1">
      <x v="20"/>
    </i>
    <i r="2">
      <x v="98"/>
    </i>
    <i r="1">
      <x v="21"/>
    </i>
    <i r="2">
      <x v="737"/>
    </i>
    <i r="1">
      <x v="22"/>
    </i>
    <i r="2">
      <x v="207"/>
    </i>
    <i r="2">
      <x v="441"/>
    </i>
    <i r="1">
      <x v="23"/>
    </i>
    <i r="2">
      <x v="85"/>
    </i>
    <i r="1">
      <x v="24"/>
    </i>
    <i r="2">
      <x v="890"/>
    </i>
    <i r="2">
      <x v="1078"/>
    </i>
    <i r="1">
      <x v="25"/>
    </i>
    <i r="2">
      <x v="1228"/>
    </i>
    <i r="1">
      <x v="26"/>
    </i>
    <i r="2">
      <x v="1123"/>
    </i>
    <i r="1">
      <x v="27"/>
    </i>
    <i r="2">
      <x v="588"/>
    </i>
    <i r="1">
      <x v="28"/>
    </i>
    <i r="2">
      <x v="1084"/>
    </i>
    <i r="1">
      <x v="29"/>
    </i>
    <i r="2">
      <x v="552"/>
    </i>
    <i r="2">
      <x v="610"/>
    </i>
    <i r="2">
      <x v="1223"/>
    </i>
    <i>
      <x v="91"/>
    </i>
    <i r="1">
      <x v="1"/>
    </i>
    <i r="2">
      <x v="299"/>
    </i>
    <i r="2">
      <x v="305"/>
    </i>
    <i r="2">
      <x v="349"/>
    </i>
    <i r="1">
      <x v="4"/>
    </i>
    <i r="2">
      <x v="597"/>
    </i>
    <i r="2">
      <x v="637"/>
    </i>
    <i r="1">
      <x v="6"/>
    </i>
    <i r="2">
      <x v="602"/>
    </i>
    <i r="1">
      <x v="7"/>
    </i>
    <i r="2">
      <x v="1075"/>
    </i>
    <i r="1">
      <x v="9"/>
    </i>
    <i r="2">
      <x v="1133"/>
    </i>
    <i r="2">
      <x v="1139"/>
    </i>
    <i r="1">
      <x v="10"/>
    </i>
    <i r="2">
      <x v="519"/>
    </i>
    <i r="1">
      <x v="12"/>
    </i>
    <i r="2">
      <x v="429"/>
    </i>
    <i r="1">
      <x v="15"/>
    </i>
    <i r="2">
      <x v="580"/>
    </i>
    <i r="1">
      <x v="18"/>
    </i>
    <i r="2">
      <x v="650"/>
    </i>
    <i r="1">
      <x v="19"/>
    </i>
    <i r="2">
      <x v="86"/>
    </i>
    <i r="2">
      <x v="549"/>
    </i>
    <i r="1">
      <x v="20"/>
    </i>
    <i r="2">
      <x v="377"/>
    </i>
    <i r="1">
      <x v="23"/>
    </i>
    <i r="2">
      <x v="71"/>
    </i>
    <i r="2">
      <x v="1073"/>
    </i>
    <i r="1">
      <x v="24"/>
    </i>
    <i r="2">
      <x v="936"/>
    </i>
    <i r="1">
      <x v="28"/>
    </i>
    <i r="2">
      <x v="1081"/>
    </i>
    <i>
      <x v="92"/>
    </i>
    <i r="1">
      <x/>
    </i>
    <i r="2">
      <x v="136"/>
    </i>
    <i r="2">
      <x v="140"/>
    </i>
    <i r="1">
      <x v="3"/>
    </i>
    <i r="2">
      <x v="570"/>
    </i>
    <i r="1">
      <x v="4"/>
    </i>
    <i r="2">
      <x v="540"/>
    </i>
    <i r="1">
      <x v="5"/>
    </i>
    <i r="2">
      <x v="547"/>
    </i>
    <i r="1">
      <x v="7"/>
    </i>
    <i r="2">
      <x v="1076"/>
    </i>
    <i r="1">
      <x v="9"/>
    </i>
    <i r="2">
      <x v="1135"/>
    </i>
    <i r="1">
      <x v="10"/>
    </i>
    <i r="2">
      <x v="406"/>
    </i>
    <i r="2">
      <x v="413"/>
    </i>
    <i r="1">
      <x v="11"/>
    </i>
    <i r="2">
      <x v="1172"/>
    </i>
    <i r="1">
      <x v="19"/>
    </i>
    <i r="2">
      <x v="69"/>
    </i>
    <i r="2">
      <x v="506"/>
    </i>
    <i r="1">
      <x v="21"/>
    </i>
    <i r="2">
      <x v="862"/>
    </i>
    <i r="1">
      <x v="22"/>
    </i>
    <i r="2">
      <x v="1290"/>
    </i>
    <i r="2">
      <x v="1303"/>
    </i>
    <i r="1">
      <x v="24"/>
    </i>
    <i r="2">
      <x v="697"/>
    </i>
    <i r="2">
      <x v="877"/>
    </i>
    <i r="1">
      <x v="27"/>
    </i>
    <i r="2">
      <x v="587"/>
    </i>
    <i>
      <x v="93"/>
    </i>
    <i r="1">
      <x/>
    </i>
    <i r="2">
      <x v="141"/>
    </i>
    <i r="1">
      <x v="3"/>
    </i>
    <i r="2">
      <x v="1030"/>
    </i>
    <i r="1">
      <x v="27"/>
    </i>
    <i r="2">
      <x v="608"/>
    </i>
    <i>
      <x v="94"/>
    </i>
    <i r="1">
      <x v="5"/>
    </i>
    <i r="2">
      <x v="192"/>
    </i>
    <i r="1">
      <x v="6"/>
    </i>
    <i r="2">
      <x v="423"/>
    </i>
    <i r="1">
      <x v="11"/>
    </i>
    <i r="2">
      <x v="1178"/>
    </i>
    <i r="1">
      <x v="15"/>
    </i>
    <i r="2">
      <x v="292"/>
    </i>
    <i r="1">
      <x v="17"/>
    </i>
    <i r="2">
      <x v="751"/>
    </i>
    <i r="1">
      <x v="18"/>
    </i>
    <i r="2">
      <x v="501"/>
    </i>
    <i r="1">
      <x v="22"/>
    </i>
    <i r="2">
      <x v="443"/>
    </i>
    <i r="2">
      <x v="456"/>
    </i>
    <i r="2">
      <x v="1066"/>
    </i>
    <i r="2">
      <x v="1296"/>
    </i>
    <i r="1">
      <x v="26"/>
    </i>
    <i r="2">
      <x v="1113"/>
    </i>
    <i>
      <x v="95"/>
    </i>
    <i r="1">
      <x v="3"/>
    </i>
    <i r="2">
      <x v="1031"/>
    </i>
    <i r="1">
      <x v="9"/>
    </i>
    <i r="2">
      <x v="1137"/>
    </i>
    <i r="1">
      <x v="26"/>
    </i>
    <i r="2">
      <x v="1112"/>
    </i>
    <i r="1">
      <x v="28"/>
    </i>
    <i r="2">
      <x v="1085"/>
    </i>
    <i>
      <x v="96"/>
    </i>
    <i r="1">
      <x/>
    </i>
    <i r="2">
      <x v="153"/>
    </i>
    <i r="1">
      <x v="1"/>
    </i>
    <i r="2">
      <x v="306"/>
    </i>
    <i r="1">
      <x v="2"/>
    </i>
    <i r="2">
      <x v="1079"/>
    </i>
    <i r="1">
      <x v="3"/>
    </i>
    <i r="2">
      <x v="571"/>
    </i>
    <i r="1">
      <x v="4"/>
    </i>
    <i r="2">
      <x v="612"/>
    </i>
    <i r="1">
      <x v="9"/>
    </i>
    <i r="2">
      <x v="1141"/>
    </i>
    <i r="2">
      <x v="1159"/>
    </i>
    <i r="1">
      <x v="16"/>
    </i>
    <i r="2">
      <x v="822"/>
    </i>
    <i r="1">
      <x v="25"/>
    </i>
    <i r="2">
      <x v="560"/>
    </i>
    <i r="1">
      <x v="26"/>
    </i>
    <i r="2">
      <x v="1115"/>
    </i>
    <i r="1">
      <x v="27"/>
    </i>
    <i r="2">
      <x v="477"/>
    </i>
    <i>
      <x v="97"/>
    </i>
    <i r="1">
      <x v="3"/>
    </i>
    <i r="2">
      <x v="559"/>
    </i>
    <i r="1">
      <x v="12"/>
    </i>
    <i r="2">
      <x v="1208"/>
    </i>
    <i r="1">
      <x v="15"/>
    </i>
    <i r="2">
      <x v="1047"/>
    </i>
    <i r="1">
      <x v="17"/>
    </i>
    <i r="2">
      <x v="544"/>
    </i>
    <i r="1">
      <x v="18"/>
    </i>
    <i r="2">
      <x v="475"/>
    </i>
    <i r="2">
      <x v="476"/>
    </i>
    <i r="1">
      <x v="26"/>
    </i>
    <i r="2">
      <x v="1116"/>
    </i>
    <i r="1">
      <x v="27"/>
    </i>
    <i r="2">
      <x v="507"/>
    </i>
    <i>
      <x v="98"/>
    </i>
    <i r="1">
      <x v="1"/>
    </i>
    <i r="2">
      <x v="1291"/>
    </i>
    <i r="1">
      <x v="7"/>
    </i>
    <i r="2">
      <x v="225"/>
    </i>
    <i r="2">
      <x v="1071"/>
    </i>
    <i r="2">
      <x v="1072"/>
    </i>
    <i r="2">
      <x v="1074"/>
    </i>
    <i r="1">
      <x v="12"/>
    </i>
    <i r="2">
      <x v="382"/>
    </i>
    <i r="1">
      <x v="14"/>
    </i>
    <i r="2">
      <x v="447"/>
    </i>
    <i r="1">
      <x v="21"/>
    </i>
    <i r="2">
      <x v="563"/>
    </i>
    <i>
      <x v="99"/>
    </i>
    <i r="1">
      <x v="6"/>
    </i>
    <i r="2">
      <x v="614"/>
    </i>
    <i r="1">
      <x v="20"/>
    </i>
    <i r="2">
      <x v="378"/>
    </i>
    <i>
      <x v="100"/>
    </i>
    <i r="1">
      <x/>
    </i>
    <i r="2">
      <x v="145"/>
    </i>
    <i r="1">
      <x v="22"/>
    </i>
    <i r="2">
      <x v="528"/>
    </i>
    <i>
      <x v="101"/>
    </i>
    <i r="1">
      <x v="5"/>
    </i>
    <i r="2">
      <x v="831"/>
    </i>
    <i r="1">
      <x v="6"/>
    </i>
    <i r="2">
      <x v="590"/>
    </i>
    <i r="1">
      <x v="11"/>
    </i>
    <i r="2">
      <x v="1180"/>
    </i>
    <i r="2">
      <x v="1192"/>
    </i>
    <i r="1">
      <x v="27"/>
    </i>
    <i r="2">
      <x v="430"/>
    </i>
    <i>
      <x v="102"/>
    </i>
    <i r="1">
      <x v="16"/>
    </i>
    <i r="2">
      <x v="1054"/>
    </i>
    <i r="1">
      <x v="17"/>
    </i>
    <i r="2">
      <x v="771"/>
    </i>
    <i>
      <x v="103"/>
    </i>
    <i r="1">
      <x v="2"/>
    </i>
    <i r="2">
      <x v="638"/>
    </i>
    <i r="1">
      <x v="4"/>
    </i>
    <i r="2">
      <x v="644"/>
    </i>
    <i r="1">
      <x v="23"/>
    </i>
    <i r="2">
      <x v="782"/>
    </i>
    <i>
      <x v="104"/>
    </i>
    <i r="1">
      <x v="3"/>
    </i>
    <i r="2">
      <x v="717"/>
    </i>
    <i r="1">
      <x v="28"/>
    </i>
    <i r="2">
      <x v="801"/>
    </i>
    <i>
      <x v="105"/>
    </i>
    <i r="1">
      <x v="5"/>
    </i>
    <i r="2">
      <x v="839"/>
    </i>
    <i r="1">
      <x v="6"/>
    </i>
    <i r="2">
      <x v="654"/>
    </i>
    <i r="1">
      <x v="9"/>
    </i>
    <i r="2">
      <x v="1136"/>
    </i>
    <i r="1">
      <x v="10"/>
    </i>
    <i r="2">
      <x v="393"/>
    </i>
    <i r="1">
      <x v="14"/>
    </i>
    <i r="2">
      <x v="117"/>
    </i>
    <i r="1">
      <x v="18"/>
    </i>
    <i r="2">
      <x v="903"/>
    </i>
    <i r="1">
      <x v="20"/>
    </i>
    <i r="2">
      <x v="1250"/>
    </i>
    <i r="1">
      <x v="22"/>
    </i>
    <i r="2">
      <x v="1061"/>
    </i>
    <i r="1">
      <x v="28"/>
    </i>
    <i r="2">
      <x v="803"/>
    </i>
    <i>
      <x v="106"/>
    </i>
    <i r="1">
      <x v="6"/>
    </i>
    <i r="2">
      <x v="1207"/>
    </i>
    <i r="1">
      <x v="12"/>
    </i>
    <i r="2">
      <x v="425"/>
    </i>
    <i>
      <x v="107"/>
    </i>
    <i r="1">
      <x v="6"/>
    </i>
    <i r="2">
      <x v="1126"/>
    </i>
    <i r="1">
      <x v="17"/>
    </i>
    <i r="2">
      <x v="865"/>
    </i>
    <i r="1">
      <x v="18"/>
    </i>
    <i r="2">
      <x v="756"/>
    </i>
    <i r="1">
      <x v="20"/>
    </i>
    <i r="2">
      <x v="515"/>
    </i>
    <i>
      <x v="108"/>
    </i>
    <i r="1">
      <x/>
    </i>
    <i r="2">
      <x v="151"/>
    </i>
    <i r="1">
      <x v="4"/>
    </i>
    <i r="2">
      <x v="615"/>
    </i>
    <i r="1">
      <x v="9"/>
    </i>
    <i r="2">
      <x v="1134"/>
    </i>
    <i r="1">
      <x v="17"/>
    </i>
    <i r="2">
      <x v="703"/>
    </i>
    <i r="1">
      <x v="18"/>
    </i>
    <i r="2">
      <x v="1008"/>
    </i>
    <i>
      <x v="109"/>
    </i>
    <i r="1">
      <x v="5"/>
    </i>
    <i r="2">
      <x v="849"/>
    </i>
    <i r="1">
      <x v="25"/>
    </i>
    <i r="2">
      <x v="908"/>
    </i>
    <i r="1">
      <x v="27"/>
    </i>
    <i r="2">
      <x v="640"/>
    </i>
    <i>
      <x v="110"/>
    </i>
    <i r="1">
      <x v="1"/>
    </i>
    <i r="2">
      <x v="361"/>
    </i>
    <i r="1">
      <x v="6"/>
    </i>
    <i r="2">
      <x v="980"/>
    </i>
    <i r="1">
      <x v="16"/>
    </i>
    <i r="2">
      <x v="1044"/>
    </i>
    <i r="1">
      <x v="22"/>
    </i>
    <i r="2">
      <x v="1289"/>
    </i>
    <i>
      <x v="111"/>
    </i>
    <i r="1">
      <x v="6"/>
    </i>
    <i r="2">
      <x v="259"/>
    </i>
    <i r="1">
      <x v="27"/>
    </i>
    <i r="2">
      <x v="61"/>
    </i>
    <i r="1">
      <x v="28"/>
    </i>
    <i r="2">
      <x v="799"/>
    </i>
    <i>
      <x v="112"/>
    </i>
    <i r="1">
      <x v="5"/>
    </i>
    <i r="2">
      <x v="872"/>
    </i>
    <i r="1">
      <x v="6"/>
    </i>
    <i r="2">
      <x v="283"/>
    </i>
    <i r="1">
      <x v="16"/>
    </i>
    <i r="2">
      <x v="17"/>
    </i>
    <i>
      <x v="113"/>
    </i>
    <i r="1">
      <x v="4"/>
    </i>
    <i r="2">
      <x v="746"/>
    </i>
    <i r="1">
      <x v="16"/>
    </i>
    <i r="2">
      <x v="46"/>
    </i>
    <i r="2">
      <x v="945"/>
    </i>
    <i>
      <x v="114"/>
    </i>
    <i r="1">
      <x v="3"/>
    </i>
    <i r="2">
      <x v="843"/>
    </i>
    <i>
      <x v="115"/>
    </i>
    <i r="1">
      <x/>
    </i>
    <i r="2">
      <x v="162"/>
    </i>
    <i r="1">
      <x v="3"/>
    </i>
    <i r="2">
      <x v="434"/>
    </i>
    <i r="1">
      <x v="4"/>
    </i>
    <i r="2">
      <x v="621"/>
    </i>
    <i r="1">
      <x v="14"/>
    </i>
    <i r="2">
      <x v="673"/>
    </i>
    <i r="1">
      <x v="20"/>
    </i>
    <i r="2">
      <x v="432"/>
    </i>
    <i>
      <x v="116"/>
    </i>
    <i r="1">
      <x v="9"/>
    </i>
    <i r="2">
      <x v="1148"/>
    </i>
    <i r="1">
      <x v="12"/>
    </i>
    <i r="2">
      <x v="524"/>
    </i>
    <i r="1">
      <x v="28"/>
    </i>
    <i r="2">
      <x v="379"/>
    </i>
    <i>
      <x v="117"/>
    </i>
    <i r="1">
      <x v="3"/>
    </i>
    <i r="2">
      <x v="775"/>
    </i>
    <i r="1">
      <x v="6"/>
    </i>
    <i r="2">
      <x v="882"/>
    </i>
    <i r="1">
      <x v="10"/>
    </i>
    <i r="2">
      <x v="1059"/>
    </i>
    <i r="1">
      <x v="14"/>
    </i>
    <i r="2">
      <x v="122"/>
    </i>
    <i r="1">
      <x v="21"/>
    </i>
    <i r="2">
      <x v="757"/>
    </i>
    <i r="1">
      <x v="22"/>
    </i>
    <i r="2">
      <x v="454"/>
    </i>
    <i>
      <x v="118"/>
    </i>
    <i r="1">
      <x v="23"/>
    </i>
    <i r="2">
      <x v="1038"/>
    </i>
    <i r="1">
      <x v="27"/>
    </i>
    <i r="2">
      <x v="927"/>
    </i>
    <i>
      <x v="119"/>
    </i>
    <i r="1">
      <x v="13"/>
    </i>
    <i r="2">
      <x v="285"/>
    </i>
    <i r="2">
      <x v="525"/>
    </i>
    <i r="1">
      <x v="15"/>
    </i>
    <i r="2">
      <x v="875"/>
    </i>
    <i r="1">
      <x v="26"/>
    </i>
    <i r="2">
      <x v="1120"/>
    </i>
    <i>
      <x v="120"/>
    </i>
    <i r="1">
      <x v="3"/>
    </i>
    <i r="2">
      <x v="433"/>
    </i>
    <i r="1">
      <x v="7"/>
    </i>
    <i r="2">
      <x v="884"/>
    </i>
    <i r="1">
      <x v="14"/>
    </i>
    <i r="2">
      <x v="226"/>
    </i>
    <i r="1">
      <x v="16"/>
    </i>
    <i r="2">
      <x v="721"/>
    </i>
    <i>
      <x v="121"/>
    </i>
    <i r="1">
      <x v="6"/>
    </i>
    <i r="2">
      <x v="257"/>
    </i>
    <i r="1">
      <x v="27"/>
    </i>
    <i r="2">
      <x v="886"/>
    </i>
    <i>
      <x v="122"/>
    </i>
    <i r="1">
      <x v="6"/>
    </i>
    <i r="2">
      <x v="282"/>
    </i>
    <i r="1">
      <x v="14"/>
    </i>
    <i r="2">
      <x v="368"/>
    </i>
    <i r="1">
      <x v="16"/>
    </i>
    <i r="2">
      <x v="1281"/>
    </i>
    <i r="1">
      <x v="26"/>
    </i>
    <i r="2">
      <x v="1095"/>
    </i>
    <i>
      <x v="123"/>
    </i>
    <i r="1">
      <x v="1"/>
    </i>
    <i r="2">
      <x v="311"/>
    </i>
    <i r="1">
      <x v="6"/>
    </i>
    <i r="2">
      <x v="660"/>
    </i>
    <i r="1">
      <x v="21"/>
    </i>
    <i r="2">
      <x v="858"/>
    </i>
    <i r="1">
      <x v="29"/>
    </i>
    <i r="2">
      <x v="828"/>
    </i>
    <i>
      <x v="124"/>
    </i>
    <i r="1">
      <x v="10"/>
    </i>
    <i r="2">
      <x v="229"/>
    </i>
    <i r="1">
      <x v="18"/>
    </i>
    <i r="2">
      <x v="1007"/>
    </i>
    <i r="1">
      <x v="22"/>
    </i>
    <i r="2">
      <x v="526"/>
    </i>
    <i r="1">
      <x v="24"/>
    </i>
    <i r="2">
      <x v="747"/>
    </i>
    <i>
      <x v="125"/>
    </i>
    <i r="1">
      <x v="10"/>
    </i>
    <i r="2">
      <x v="1302"/>
    </i>
    <i r="1">
      <x v="12"/>
    </i>
    <i r="2">
      <x v="439"/>
    </i>
    <i r="1">
      <x v="24"/>
    </i>
    <i r="2">
      <x v="880"/>
    </i>
    <i r="1">
      <x v="26"/>
    </i>
    <i r="2">
      <x v="1097"/>
    </i>
    <i>
      <x v="126"/>
    </i>
    <i r="1">
      <x/>
    </i>
    <i r="2">
      <x v="168"/>
    </i>
    <i r="1">
      <x v="3"/>
    </i>
    <i r="2">
      <x v="715"/>
    </i>
    <i r="1">
      <x v="6"/>
    </i>
    <i r="2">
      <x v="773"/>
    </i>
    <i r="1">
      <x v="10"/>
    </i>
    <i r="2">
      <x v="522"/>
    </i>
    <i r="1">
      <x v="14"/>
    </i>
    <i r="2">
      <x v="389"/>
    </i>
    <i r="1">
      <x v="16"/>
    </i>
    <i r="2">
      <x v="398"/>
    </i>
    <i r="1">
      <x v="18"/>
    </i>
    <i r="2">
      <x v="754"/>
    </i>
    <i r="1">
      <x v="20"/>
    </i>
    <i r="2">
      <x v="376"/>
    </i>
    <i r="1">
      <x v="21"/>
    </i>
    <i r="2">
      <x v="762"/>
    </i>
    <i r="1">
      <x v="26"/>
    </i>
    <i r="2">
      <x v="1124"/>
    </i>
    <i r="1">
      <x v="28"/>
    </i>
    <i r="2">
      <x v="734"/>
    </i>
    <i>
      <x v="127"/>
    </i>
    <i r="1">
      <x v="1"/>
    </i>
    <i r="2">
      <x v="344"/>
    </i>
    <i r="1">
      <x v="3"/>
    </i>
    <i r="2">
      <x v="985"/>
    </i>
    <i r="1">
      <x v="20"/>
    </i>
    <i r="2">
      <x v="1043"/>
    </i>
    <i r="1">
      <x v="24"/>
    </i>
    <i r="2">
      <x v="1012"/>
    </i>
    <i r="1">
      <x v="27"/>
    </i>
    <i r="2">
      <x v="1297"/>
    </i>
    <i r="1">
      <x v="28"/>
    </i>
    <i r="2">
      <x v="931"/>
    </i>
    <i>
      <x v="128"/>
    </i>
    <i r="1">
      <x v="16"/>
    </i>
    <i r="2">
      <x v="20"/>
    </i>
    <i r="2">
      <x v="1308"/>
    </i>
    <i r="1">
      <x v="27"/>
    </i>
    <i r="2">
      <x v="50"/>
    </i>
    <i>
      <x v="129"/>
    </i>
    <i r="1">
      <x v="2"/>
    </i>
    <i r="2">
      <x v="793"/>
    </i>
    <i r="1">
      <x v="6"/>
    </i>
    <i r="2">
      <x v="284"/>
    </i>
    <i r="1">
      <x v="10"/>
    </i>
    <i r="2">
      <x v="414"/>
    </i>
    <i r="2">
      <x v="415"/>
    </i>
    <i r="1">
      <x v="16"/>
    </i>
    <i r="2">
      <x v="224"/>
    </i>
    <i r="1">
      <x v="24"/>
    </i>
    <i r="2">
      <x v="920"/>
    </i>
    <i r="1">
      <x v="26"/>
    </i>
    <i r="2">
      <x v="1087"/>
    </i>
    <i r="1">
      <x v="28"/>
    </i>
    <i r="2">
      <x v="48"/>
    </i>
    <i>
      <x v="130"/>
    </i>
    <i r="1">
      <x v="1"/>
    </i>
    <i r="2">
      <x v="360"/>
    </i>
    <i r="1">
      <x v="6"/>
    </i>
    <i r="2">
      <x v="811"/>
    </i>
    <i r="1">
      <x v="10"/>
    </i>
    <i r="2">
      <x v="1300"/>
    </i>
    <i r="1">
      <x v="12"/>
    </i>
    <i r="2">
      <x v="387"/>
    </i>
    <i r="1">
      <x v="14"/>
    </i>
    <i r="2">
      <x v="386"/>
    </i>
    <i r="1">
      <x v="16"/>
    </i>
    <i r="2">
      <x v="223"/>
    </i>
    <i>
      <x v="131"/>
    </i>
    <i r="1">
      <x/>
    </i>
    <i r="2">
      <x v="159"/>
    </i>
    <i r="1">
      <x v="5"/>
    </i>
    <i r="2">
      <x v="732"/>
    </i>
    <i r="1">
      <x v="6"/>
    </i>
    <i r="2">
      <x v="786"/>
    </i>
    <i r="2">
      <x v="1249"/>
    </i>
    <i r="1">
      <x v="7"/>
    </i>
    <i r="2">
      <x v="916"/>
    </i>
    <i r="1">
      <x v="10"/>
    </i>
    <i r="2">
      <x v="231"/>
    </i>
    <i r="1">
      <x v="17"/>
    </i>
    <i r="2">
      <x v="1035"/>
    </i>
    <i r="1">
      <x v="18"/>
    </i>
    <i r="2">
      <x v="755"/>
    </i>
    <i r="1">
      <x v="24"/>
    </i>
    <i r="2">
      <x v="850"/>
    </i>
    <i r="1">
      <x v="25"/>
    </i>
    <i r="2">
      <x v="738"/>
    </i>
    <i r="1">
      <x v="27"/>
    </i>
    <i r="2">
      <x v="591"/>
    </i>
    <i r="1">
      <x v="28"/>
    </i>
    <i r="2">
      <x v="460"/>
    </i>
    <i r="1">
      <x v="29"/>
    </i>
    <i r="2">
      <x v="704"/>
    </i>
    <i>
      <x v="132"/>
    </i>
    <i r="1">
      <x/>
    </i>
    <i r="2">
      <x v="185"/>
    </i>
    <i r="1">
      <x v="2"/>
    </i>
    <i r="2">
      <x v="633"/>
    </i>
    <i r="1">
      <x v="9"/>
    </i>
    <i r="2">
      <x v="1156"/>
    </i>
    <i r="1">
      <x v="14"/>
    </i>
    <i r="2">
      <x v="390"/>
    </i>
    <i r="2">
      <x v="674"/>
    </i>
    <i r="1">
      <x v="15"/>
    </i>
    <i r="2">
      <x v="1036"/>
    </i>
    <i r="1">
      <x v="16"/>
    </i>
    <i r="2">
      <x v="67"/>
    </i>
    <i r="2">
      <x v="397"/>
    </i>
    <i r="1">
      <x v="17"/>
    </i>
    <i r="2">
      <x v="938"/>
    </i>
    <i r="1">
      <x v="20"/>
    </i>
    <i r="2">
      <x v="1032"/>
    </i>
    <i r="1">
      <x v="21"/>
    </i>
    <i r="2">
      <x v="854"/>
    </i>
    <i r="1">
      <x v="23"/>
    </i>
    <i r="2">
      <x v="982"/>
    </i>
    <i r="1">
      <x v="24"/>
    </i>
    <i r="2">
      <x v="741"/>
    </i>
    <i r="1">
      <x v="26"/>
    </i>
    <i r="2">
      <x v="1094"/>
    </i>
    <i r="1">
      <x v="27"/>
    </i>
    <i r="2">
      <x v="1040"/>
    </i>
    <i>
      <x v="133"/>
    </i>
    <i r="1">
      <x/>
    </i>
    <i r="2">
      <x v="133"/>
    </i>
    <i r="1">
      <x v="2"/>
    </i>
    <i r="2">
      <x v="595"/>
    </i>
    <i r="1">
      <x v="6"/>
    </i>
    <i r="2">
      <x v="470"/>
    </i>
    <i r="1">
      <x v="10"/>
    </i>
    <i r="2">
      <x v="372"/>
    </i>
    <i r="1">
      <x v="16"/>
    </i>
    <i r="2">
      <x v="16"/>
    </i>
    <i r="1">
      <x v="17"/>
    </i>
    <i r="2">
      <x v="371"/>
    </i>
    <i r="1">
      <x v="21"/>
    </i>
    <i r="2">
      <x v="1049"/>
    </i>
    <i r="1">
      <x v="27"/>
    </i>
    <i r="2">
      <x v="532"/>
    </i>
    <i r="1">
      <x v="28"/>
    </i>
    <i r="2">
      <x v="222"/>
    </i>
    <i>
      <x v="134"/>
    </i>
    <i r="1">
      <x/>
    </i>
    <i r="2">
      <x v="150"/>
    </i>
    <i r="1">
      <x v="14"/>
    </i>
    <i r="2">
      <x v="204"/>
    </i>
    <i r="1">
      <x v="16"/>
    </i>
    <i r="2">
      <x v="1307"/>
    </i>
    <i>
      <x v="135"/>
    </i>
    <i r="1">
      <x v="4"/>
    </i>
    <i r="2">
      <x v="907"/>
    </i>
    <i r="1">
      <x v="23"/>
    </i>
    <i r="2">
      <x v="472"/>
    </i>
    <i r="2">
      <x v="967"/>
    </i>
    <i r="1">
      <x v="24"/>
    </i>
    <i r="2">
      <x v="64"/>
    </i>
    <i r="1">
      <x v="26"/>
    </i>
    <i r="2">
      <x v="1090"/>
    </i>
    <i r="1">
      <x v="27"/>
    </i>
    <i r="2">
      <x v="49"/>
    </i>
    <i>
      <x v="136"/>
    </i>
    <i r="1">
      <x v="1"/>
    </i>
    <i r="2">
      <x v="350"/>
    </i>
    <i r="1">
      <x v="6"/>
    </i>
    <i r="2">
      <x v="272"/>
    </i>
    <i r="1">
      <x v="14"/>
    </i>
    <i r="2">
      <x v="203"/>
    </i>
    <i r="1">
      <x v="17"/>
    </i>
    <i r="2">
      <x v="30"/>
    </i>
    <i r="1">
      <x v="18"/>
    </i>
    <i r="2">
      <x v="925"/>
    </i>
    <i r="1">
      <x v="21"/>
    </i>
    <i r="2">
      <x v="265"/>
    </i>
    <i r="1">
      <x v="24"/>
    </i>
    <i r="2">
      <x v="820"/>
    </i>
    <i r="1">
      <x v="25"/>
    </i>
    <i r="2">
      <x v="9"/>
    </i>
    <i>
      <x v="137"/>
    </i>
    <i r="1">
      <x/>
    </i>
    <i r="2">
      <x v="156"/>
    </i>
    <i r="1">
      <x v="2"/>
    </i>
    <i r="2">
      <x v="623"/>
    </i>
    <i r="1">
      <x v="7"/>
    </i>
    <i r="2">
      <x v="706"/>
    </i>
    <i r="1">
      <x v="19"/>
    </i>
    <i r="2">
      <x v="809"/>
    </i>
    <i r="1">
      <x v="24"/>
    </i>
    <i r="2">
      <x v="63"/>
    </i>
    <i r="2">
      <x v="479"/>
    </i>
    <i r="1">
      <x v="27"/>
    </i>
    <i r="2">
      <x v="1037"/>
    </i>
    <i r="1">
      <x v="29"/>
    </i>
    <i r="2">
      <x v="34"/>
    </i>
    <i>
      <x v="138"/>
    </i>
    <i r="1">
      <x/>
    </i>
    <i r="2">
      <x v="152"/>
    </i>
    <i r="2">
      <x v="155"/>
    </i>
    <i r="1">
      <x v="1"/>
    </i>
    <i r="2">
      <x v="298"/>
    </i>
    <i r="2">
      <x v="340"/>
    </i>
    <i r="1">
      <x v="6"/>
    </i>
    <i r="2">
      <x v="823"/>
    </i>
    <i r="1">
      <x v="8"/>
    </i>
    <i r="2">
      <x v="749"/>
    </i>
    <i r="1">
      <x v="9"/>
    </i>
    <i r="2">
      <x v="1157"/>
    </i>
    <i r="1">
      <x v="10"/>
    </i>
    <i r="2">
      <x v="373"/>
    </i>
    <i r="1">
      <x v="12"/>
    </i>
    <i r="2">
      <x v="109"/>
    </i>
    <i r="1">
      <x v="16"/>
    </i>
    <i r="2">
      <x v="728"/>
    </i>
    <i r="1">
      <x v="20"/>
    </i>
    <i r="2">
      <x v="888"/>
    </i>
    <i r="1">
      <x v="21"/>
    </i>
    <i r="2">
      <x v="723"/>
    </i>
    <i r="1">
      <x v="25"/>
    </i>
    <i r="2">
      <x v="53"/>
    </i>
    <i r="1">
      <x v="26"/>
    </i>
    <i r="2">
      <x v="1099"/>
    </i>
    <i r="1">
      <x v="27"/>
    </i>
    <i r="2">
      <x v="529"/>
    </i>
    <i r="1">
      <x v="29"/>
    </i>
    <i r="2">
      <x v="29"/>
    </i>
    <i>
      <x v="139"/>
    </i>
    <i r="1">
      <x v="4"/>
    </i>
    <i r="2">
      <x v="739"/>
    </i>
    <i r="1">
      <x v="5"/>
    </i>
    <i r="2">
      <x v="760"/>
    </i>
    <i r="1">
      <x v="6"/>
    </i>
    <i r="2">
      <x v="114"/>
    </i>
    <i r="1">
      <x v="7"/>
    </i>
    <i r="2">
      <x v="818"/>
    </i>
    <i r="2">
      <x v="845"/>
    </i>
    <i r="2">
      <x v="951"/>
    </i>
    <i r="1">
      <x v="8"/>
    </i>
    <i r="2">
      <x v="750"/>
    </i>
    <i r="1">
      <x v="9"/>
    </i>
    <i r="2">
      <x v="1128"/>
    </i>
    <i r="2">
      <x v="1132"/>
    </i>
    <i r="1">
      <x v="10"/>
    </i>
    <i r="2">
      <x v="374"/>
    </i>
    <i r="1">
      <x v="11"/>
    </i>
    <i r="2">
      <x v="1176"/>
    </i>
    <i r="2">
      <x v="1193"/>
    </i>
    <i r="1">
      <x v="12"/>
    </i>
    <i r="2">
      <x v="110"/>
    </i>
    <i r="1">
      <x v="14"/>
    </i>
    <i r="2">
      <x v="446"/>
    </i>
    <i r="1">
      <x v="15"/>
    </i>
    <i r="2">
      <x v="1046"/>
    </i>
    <i r="1">
      <x v="16"/>
    </i>
    <i r="2">
      <x v="689"/>
    </i>
    <i r="1">
      <x v="17"/>
    </i>
    <i r="2">
      <x v="566"/>
    </i>
    <i r="1">
      <x v="18"/>
    </i>
    <i r="2">
      <x v="1006"/>
    </i>
    <i r="1">
      <x v="20"/>
    </i>
    <i r="2">
      <x v="1025"/>
    </i>
    <i r="1">
      <x v="22"/>
    </i>
    <i r="2">
      <x v="1285"/>
    </i>
    <i r="1">
      <x v="23"/>
    </i>
    <i r="2">
      <x v="517"/>
    </i>
    <i r="1">
      <x v="26"/>
    </i>
    <i r="2">
      <x v="1096"/>
    </i>
    <i r="1">
      <x v="27"/>
    </i>
    <i r="2">
      <x v="41"/>
    </i>
    <i r="1">
      <x v="28"/>
    </i>
    <i r="2">
      <x v="915"/>
    </i>
    <i r="1">
      <x v="29"/>
    </i>
    <i r="2">
      <x v="917"/>
    </i>
    <i>
      <x v="140"/>
    </i>
    <i r="1">
      <x/>
    </i>
    <i r="2">
      <x v="134"/>
    </i>
    <i r="1">
      <x v="1"/>
    </i>
    <i r="2">
      <x v="341"/>
    </i>
    <i r="1">
      <x v="2"/>
    </i>
    <i r="2">
      <x v="981"/>
    </i>
    <i r="1">
      <x v="4"/>
    </i>
    <i r="2">
      <x v="789"/>
    </i>
    <i r="2">
      <x v="899"/>
    </i>
    <i r="2">
      <x v="919"/>
    </i>
    <i r="1">
      <x v="6"/>
    </i>
    <i r="2">
      <x v="1167"/>
    </i>
    <i r="1">
      <x v="7"/>
    </i>
    <i r="2">
      <x v="714"/>
    </i>
    <i r="2">
      <x v="740"/>
    </i>
    <i r="2">
      <x v="791"/>
    </i>
    <i r="2">
      <x v="806"/>
    </i>
    <i r="2">
      <x v="808"/>
    </i>
    <i r="2">
      <x v="948"/>
    </i>
    <i r="2">
      <x v="962"/>
    </i>
    <i r="2">
      <x v="966"/>
    </i>
    <i r="1">
      <x v="8"/>
    </i>
    <i r="2">
      <x v="970"/>
    </i>
    <i r="1">
      <x v="9"/>
    </i>
    <i r="2">
      <x v="1146"/>
    </i>
    <i r="1">
      <x v="10"/>
    </i>
    <i r="2">
      <x v="1294"/>
    </i>
    <i r="1">
      <x v="12"/>
    </i>
    <i r="2">
      <x v="115"/>
    </i>
    <i r="1">
      <x v="17"/>
    </i>
    <i r="2">
      <x v="370"/>
    </i>
    <i r="1">
      <x v="18"/>
    </i>
    <i r="2">
      <x v="15"/>
    </i>
    <i r="1">
      <x v="19"/>
    </i>
    <i r="2">
      <x v="411"/>
    </i>
    <i r="1">
      <x v="21"/>
    </i>
    <i r="2">
      <x v="213"/>
    </i>
    <i r="2">
      <x v="727"/>
    </i>
    <i r="1">
      <x v="22"/>
    </i>
    <i r="2">
      <x v="404"/>
    </i>
    <i r="1">
      <x v="23"/>
    </i>
    <i r="2">
      <x v="32"/>
    </i>
    <i r="2">
      <x v="510"/>
    </i>
    <i r="2">
      <x v="557"/>
    </i>
    <i r="2">
      <x v="914"/>
    </i>
    <i r="1">
      <x v="24"/>
    </i>
    <i r="2">
      <x v="1051"/>
    </i>
    <i r="1">
      <x v="25"/>
    </i>
    <i r="2">
      <x v="781"/>
    </i>
    <i r="1">
      <x v="26"/>
    </i>
    <i r="2">
      <x v="1092"/>
    </i>
    <i r="1">
      <x v="27"/>
    </i>
    <i r="2">
      <x v="533"/>
    </i>
    <i r="1">
      <x v="29"/>
    </i>
    <i r="2">
      <x v="812"/>
    </i>
    <i>
      <x v="141"/>
    </i>
    <i r="1">
      <x v="19"/>
    </i>
    <i r="2">
      <x v="186"/>
    </i>
    <i r="1">
      <x v="27"/>
    </i>
    <i r="2">
      <x v="770"/>
    </i>
    <i>
      <x v="142"/>
    </i>
    <i r="1">
      <x/>
    </i>
    <i r="2">
      <x v="146"/>
    </i>
    <i r="1">
      <x v="2"/>
    </i>
    <i r="2">
      <x v="940"/>
    </i>
    <i r="1">
      <x v="4"/>
    </i>
    <i r="2">
      <x v="14"/>
    </i>
    <i r="2">
      <x v="52"/>
    </i>
    <i r="2">
      <x v="542"/>
    </i>
    <i r="2">
      <x v="819"/>
    </i>
    <i r="2">
      <x v="971"/>
    </i>
    <i r="1">
      <x v="5"/>
    </i>
    <i r="2">
      <x v="1020"/>
    </i>
    <i r="1">
      <x v="6"/>
    </i>
    <i r="2">
      <x v="276"/>
    </i>
    <i r="1">
      <x v="7"/>
    </i>
    <i r="2">
      <x v="47"/>
    </i>
    <i r="2">
      <x v="264"/>
    </i>
    <i r="2">
      <x v="266"/>
    </i>
    <i r="2">
      <x v="270"/>
    </i>
    <i r="2">
      <x v="274"/>
    </i>
    <i r="2">
      <x v="278"/>
    </i>
    <i r="2">
      <x v="459"/>
    </i>
    <i r="2">
      <x v="483"/>
    </i>
    <i r="2">
      <x v="1257"/>
    </i>
    <i r="1">
      <x v="9"/>
    </i>
    <i r="2">
      <x v="1144"/>
    </i>
    <i r="1">
      <x v="10"/>
    </i>
    <i r="2">
      <x v="128"/>
    </i>
    <i r="1">
      <x v="11"/>
    </i>
    <i r="2">
      <x v="1173"/>
    </i>
    <i r="1">
      <x v="12"/>
    </i>
    <i r="2">
      <x v="457"/>
    </i>
    <i r="1">
      <x v="15"/>
    </i>
    <i r="2">
      <x v="40"/>
    </i>
    <i r="1">
      <x v="16"/>
    </i>
    <i r="2">
      <x v="19"/>
    </i>
    <i r="1">
      <x v="17"/>
    </i>
    <i r="2">
      <x v="1052"/>
    </i>
    <i r="1">
      <x v="19"/>
    </i>
    <i r="2">
      <x v="973"/>
    </i>
    <i r="1">
      <x v="20"/>
    </i>
    <i r="2">
      <x v="486"/>
    </i>
    <i r="1">
      <x v="21"/>
    </i>
    <i r="2">
      <x v="267"/>
    </i>
    <i r="1">
      <x v="22"/>
    </i>
    <i r="2">
      <x v="520"/>
    </i>
    <i r="2">
      <x v="1287"/>
    </i>
    <i r="2">
      <x v="1295"/>
    </i>
    <i r="1">
      <x v="24"/>
    </i>
    <i r="2">
      <x v="13"/>
    </i>
    <i r="1">
      <x v="25"/>
    </i>
    <i r="2">
      <x v="280"/>
    </i>
    <i r="1">
      <x v="26"/>
    </i>
    <i r="2">
      <x v="178"/>
    </i>
    <i r="1">
      <x v="27"/>
    </i>
    <i r="2">
      <x v="1017"/>
    </i>
    <i r="1">
      <x v="29"/>
    </i>
    <i r="2">
      <x v="505"/>
    </i>
    <i>
      <x v="143"/>
    </i>
    <i r="1">
      <x/>
    </i>
    <i r="2">
      <x v="143"/>
    </i>
    <i r="1">
      <x v="1"/>
    </i>
    <i r="2">
      <x v="294"/>
    </i>
    <i r="2">
      <x v="314"/>
    </i>
    <i r="1">
      <x v="4"/>
    </i>
    <i r="2">
      <x v="183"/>
    </i>
    <i r="1">
      <x v="7"/>
    </i>
    <i r="2">
      <x v="466"/>
    </i>
    <i r="1">
      <x v="8"/>
    </i>
    <i r="2">
      <x v="952"/>
    </i>
    <i r="1">
      <x v="10"/>
    </i>
    <i r="2">
      <x v="179"/>
    </i>
    <i r="1">
      <x v="17"/>
    </i>
    <i r="2">
      <x v="844"/>
    </i>
    <i r="1">
      <x v="23"/>
    </i>
    <i r="2">
      <x v="8"/>
    </i>
    <i r="1">
      <x v="24"/>
    </i>
    <i r="2">
      <x v="810"/>
    </i>
    <i r="1">
      <x v="26"/>
    </i>
    <i r="2">
      <x v="1091"/>
    </i>
    <i r="1">
      <x v="27"/>
    </i>
    <i r="2">
      <x v="489"/>
    </i>
    <i>
      <x v="144"/>
    </i>
    <i r="1">
      <x v="1"/>
    </i>
    <i r="2">
      <x v="334"/>
    </i>
    <i r="1">
      <x v="2"/>
    </i>
    <i r="2">
      <x v="474"/>
    </i>
    <i r="1">
      <x v="4"/>
    </i>
    <i r="2">
      <x v="464"/>
    </i>
    <i r="1">
      <x v="5"/>
    </i>
    <i r="2">
      <x v="492"/>
    </i>
    <i r="2">
      <x v="511"/>
    </i>
    <i r="2">
      <x v="832"/>
    </i>
    <i r="1">
      <x v="6"/>
    </i>
    <i r="2">
      <x v="469"/>
    </i>
    <i r="1">
      <x v="7"/>
    </i>
    <i r="2">
      <x v="471"/>
    </i>
    <i r="2">
      <x v="478"/>
    </i>
    <i r="2">
      <x v="581"/>
    </i>
    <i r="2">
      <x v="906"/>
    </i>
    <i r="2">
      <x v="947"/>
    </i>
    <i r="1">
      <x v="9"/>
    </i>
    <i r="2">
      <x v="1160"/>
    </i>
    <i r="1">
      <x v="11"/>
    </i>
    <i r="2">
      <x v="1170"/>
    </i>
    <i r="1">
      <x v="12"/>
    </i>
    <i r="2">
      <x v="111"/>
    </i>
    <i r="1">
      <x v="17"/>
    </i>
    <i r="2">
      <x v="484"/>
    </i>
    <i r="1">
      <x v="19"/>
    </i>
    <i r="2">
      <x v="461"/>
    </i>
    <i r="1">
      <x v="20"/>
    </i>
    <i r="2">
      <x v="490"/>
    </i>
    <i r="1">
      <x v="21"/>
    </i>
    <i r="2">
      <x v="834"/>
    </i>
    <i r="1">
      <x v="22"/>
    </i>
    <i r="2">
      <x v="205"/>
    </i>
    <i r="2">
      <x v="1292"/>
    </i>
    <i r="1">
      <x v="24"/>
    </i>
    <i r="2">
      <x v="509"/>
    </i>
    <i r="1">
      <x v="25"/>
    </i>
    <i r="2">
      <x v="500"/>
    </i>
    <i r="1">
      <x v="27"/>
    </i>
    <i r="2">
      <x v="583"/>
    </i>
    <i r="1">
      <x v="28"/>
    </i>
    <i r="2">
      <x v="701"/>
    </i>
    <i>
      <x v="145"/>
    </i>
    <i r="1">
      <x/>
    </i>
    <i r="2">
      <x v="144"/>
    </i>
    <i r="2">
      <x v="148"/>
    </i>
    <i r="1">
      <x v="4"/>
    </i>
    <i r="2">
      <x v="39"/>
    </i>
    <i r="2">
      <x v="467"/>
    </i>
    <i r="2">
      <x v="502"/>
    </i>
    <i r="2">
      <x v="513"/>
    </i>
    <i r="2">
      <x v="708"/>
    </i>
    <i r="2">
      <x v="776"/>
    </i>
    <i r="1">
      <x v="5"/>
    </i>
    <i r="2">
      <x v="480"/>
    </i>
    <i r="2">
      <x v="503"/>
    </i>
    <i r="2">
      <x v="735"/>
    </i>
    <i r="1">
      <x v="6"/>
    </i>
    <i r="2">
      <x v="468"/>
    </i>
    <i r="1">
      <x v="7"/>
    </i>
    <i r="2">
      <x v="37"/>
    </i>
    <i r="2">
      <x v="485"/>
    </i>
    <i r="2">
      <x v="491"/>
    </i>
    <i r="2">
      <x v="495"/>
    </i>
    <i r="2">
      <x v="897"/>
    </i>
    <i r="2">
      <x v="905"/>
    </i>
    <i r="2">
      <x v="911"/>
    </i>
    <i r="1">
      <x v="8"/>
    </i>
    <i r="2">
      <x v="28"/>
    </i>
    <i r="1">
      <x v="9"/>
    </i>
    <i r="2">
      <x v="1140"/>
    </i>
    <i r="1">
      <x v="10"/>
    </i>
    <i r="2">
      <x v="396"/>
    </i>
    <i r="1">
      <x v="11"/>
    </i>
    <i r="2">
      <x v="1171"/>
    </i>
    <i r="1">
      <x v="12"/>
    </i>
    <i r="2">
      <x v="418"/>
    </i>
    <i r="1">
      <x v="15"/>
    </i>
    <i r="2">
      <x v="59"/>
    </i>
    <i r="1">
      <x v="16"/>
    </i>
    <i r="2">
      <x v="1013"/>
    </i>
    <i r="1">
      <x v="17"/>
    </i>
    <i r="2">
      <x v="567"/>
    </i>
    <i r="1">
      <x v="19"/>
    </i>
    <i r="2">
      <x v="44"/>
    </i>
    <i r="2">
      <x v="56"/>
    </i>
    <i r="1">
      <x v="20"/>
    </i>
    <i r="2">
      <x v="603"/>
    </i>
    <i r="1">
      <x v="22"/>
    </i>
    <i r="2">
      <x v="260"/>
    </i>
    <i r="2">
      <x v="401"/>
    </i>
    <i r="2">
      <x v="403"/>
    </i>
    <i r="2">
      <x v="451"/>
    </i>
    <i r="1">
      <x v="23"/>
    </i>
    <i r="2">
      <x v="65"/>
    </i>
    <i r="1">
      <x v="24"/>
    </i>
    <i r="2">
      <x v="462"/>
    </i>
    <i r="1">
      <x v="25"/>
    </i>
    <i r="2">
      <x v="473"/>
    </i>
    <i r="1">
      <x v="26"/>
    </i>
    <i r="2">
      <x v="1100"/>
    </i>
    <i r="1">
      <x v="27"/>
    </i>
    <i r="2">
      <x v="42"/>
    </i>
    <i r="1">
      <x v="28"/>
    </i>
    <i r="2">
      <x v="969"/>
    </i>
    <i r="1">
      <x v="29"/>
    </i>
    <i r="2">
      <x v="45"/>
    </i>
    <i>
      <x v="146"/>
    </i>
    <i r="1">
      <x/>
    </i>
    <i r="2">
      <x v="160"/>
    </i>
    <i r="1">
      <x v="1"/>
    </i>
    <i r="2">
      <x v="296"/>
    </i>
    <i r="2">
      <x v="297"/>
    </i>
    <i r="2">
      <x v="300"/>
    </i>
    <i r="2">
      <x v="336"/>
    </i>
    <i r="1">
      <x v="2"/>
    </i>
    <i r="2">
      <x v="913"/>
    </i>
    <i r="1">
      <x v="3"/>
    </i>
    <i r="2">
      <x v="904"/>
    </i>
    <i r="1">
      <x v="4"/>
    </i>
    <i r="2">
      <x v="556"/>
    </i>
    <i r="1">
      <x v="5"/>
    </i>
    <i r="2">
      <x v="1244"/>
    </i>
    <i r="1">
      <x v="6"/>
    </i>
    <i r="2">
      <x v="508"/>
    </i>
    <i r="1">
      <x v="7"/>
    </i>
    <i r="2">
      <x v="31"/>
    </i>
    <i r="2">
      <x v="494"/>
    </i>
    <i r="2">
      <x v="499"/>
    </i>
    <i r="2">
      <x v="656"/>
    </i>
    <i r="2">
      <x v="657"/>
    </i>
    <i r="2">
      <x v="965"/>
    </i>
    <i r="2">
      <x v="1265"/>
    </i>
    <i r="2">
      <x v="1271"/>
    </i>
    <i r="1">
      <x v="8"/>
    </i>
    <i r="2">
      <x v="572"/>
    </i>
    <i r="1">
      <x v="10"/>
    </i>
    <i r="2">
      <x v="232"/>
    </i>
    <i r="1">
      <x v="12"/>
    </i>
    <i r="2">
      <x v="422"/>
    </i>
    <i r="2">
      <x v="675"/>
    </i>
    <i r="1">
      <x v="16"/>
    </i>
    <i r="2">
      <x v="68"/>
    </i>
    <i r="1">
      <x v="19"/>
    </i>
    <i r="2">
      <x v="36"/>
    </i>
    <i r="1">
      <x v="20"/>
    </i>
    <i r="2">
      <x v="58"/>
    </i>
    <i r="1">
      <x v="21"/>
    </i>
    <i r="2">
      <x v="228"/>
    </i>
    <i r="1">
      <x v="22"/>
    </i>
    <i r="2">
      <x v="449"/>
    </i>
    <i r="2">
      <x v="1062"/>
    </i>
    <i r="1">
      <x v="23"/>
    </i>
    <i r="2">
      <x v="11"/>
    </i>
    <i r="2">
      <x v="60"/>
    </i>
    <i r="2">
      <x v="269"/>
    </i>
    <i r="2">
      <x v="518"/>
    </i>
    <i r="1">
      <x v="24"/>
    </i>
    <i r="2">
      <x v="658"/>
    </i>
    <i r="1">
      <x v="25"/>
    </i>
    <i r="2">
      <x v="465"/>
    </i>
    <i r="2">
      <x v="493"/>
    </i>
    <i r="1">
      <x v="26"/>
    </i>
    <i r="2">
      <x v="1102"/>
    </i>
    <i r="2">
      <x v="1108"/>
    </i>
    <i r="1">
      <x v="27"/>
    </i>
    <i r="2">
      <x v="62"/>
    </i>
    <i r="1">
      <x v="28"/>
    </i>
    <i r="2">
      <x v="33"/>
    </i>
    <i r="2">
      <x v="1239"/>
    </i>
    <i r="1">
      <x v="29"/>
    </i>
    <i r="2">
      <x v="43"/>
    </i>
    <i>
      <x v="147"/>
    </i>
    <i r="1">
      <x/>
    </i>
    <i r="2">
      <x v="215"/>
    </i>
    <i r="1">
      <x v="4"/>
    </i>
    <i r="2">
      <x v="10"/>
    </i>
    <i r="1">
      <x v="5"/>
    </i>
    <i r="2">
      <x v="585"/>
    </i>
    <i r="1">
      <x v="6"/>
    </i>
    <i r="2">
      <x v="659"/>
    </i>
    <i r="1">
      <x v="7"/>
    </i>
    <i r="2">
      <x v="273"/>
    </i>
    <i r="2">
      <x v="277"/>
    </i>
    <i r="2">
      <x v="504"/>
    </i>
    <i r="1">
      <x v="8"/>
    </i>
    <i r="2">
      <x v="748"/>
    </i>
    <i r="1">
      <x v="10"/>
    </i>
    <i r="2">
      <x v="399"/>
    </i>
    <i r="1">
      <x v="11"/>
    </i>
    <i r="2">
      <x v="1175"/>
    </i>
    <i r="1">
      <x v="12"/>
    </i>
    <i r="2">
      <x v="421"/>
    </i>
    <i r="1">
      <x v="15"/>
    </i>
    <i r="2">
      <x v="35"/>
    </i>
    <i r="1">
      <x v="16"/>
    </i>
    <i r="2">
      <x v="51"/>
    </i>
    <i r="1">
      <x v="17"/>
    </i>
    <i r="2">
      <x v="412"/>
    </i>
    <i r="1">
      <x v="18"/>
    </i>
    <i r="2">
      <x v="27"/>
    </i>
    <i r="1">
      <x v="19"/>
    </i>
    <i r="2">
      <x v="497"/>
    </i>
    <i r="1">
      <x v="23"/>
    </i>
    <i r="2">
      <x v="481"/>
    </i>
    <i r="2">
      <x v="558"/>
    </i>
    <i r="1">
      <x v="24"/>
    </i>
    <i r="2">
      <x v="275"/>
    </i>
    <i r="1">
      <x v="26"/>
    </i>
    <i r="2">
      <x v="1101"/>
    </i>
    <i r="1">
      <x v="27"/>
    </i>
    <i r="2">
      <x v="534"/>
    </i>
    <i r="1">
      <x v="29"/>
    </i>
    <i r="2">
      <x v="57"/>
    </i>
    <i>
      <x v="148"/>
    </i>
    <i r="1">
      <x v="10"/>
    </i>
    <i r="2">
      <x v="180"/>
    </i>
    <i r="1">
      <x v="25"/>
    </i>
    <i r="2">
      <x v="482"/>
    </i>
    <i>
      <x v="149"/>
    </i>
    <i r="1">
      <x/>
    </i>
    <i r="2">
      <x v="135"/>
    </i>
    <i r="1">
      <x v="1"/>
    </i>
    <i r="2">
      <x v="295"/>
    </i>
    <i r="1">
      <x v="2"/>
    </i>
    <i r="2">
      <x v="488"/>
    </i>
    <i r="1">
      <x v="4"/>
    </i>
    <i r="2">
      <x v="21"/>
    </i>
    <i r="2">
      <x v="279"/>
    </i>
    <i r="2">
      <x v="514"/>
    </i>
    <i r="1">
      <x v="6"/>
    </i>
    <i r="2">
      <x v="409"/>
    </i>
    <i r="1">
      <x v="8"/>
    </i>
    <i r="2">
      <x v="38"/>
    </i>
    <i r="1">
      <x v="10"/>
    </i>
    <i r="2">
      <x v="453"/>
    </i>
    <i r="1">
      <x v="11"/>
    </i>
    <i r="2">
      <x v="1174"/>
    </i>
    <i r="1">
      <x v="12"/>
    </i>
    <i r="2">
      <x v="1058"/>
    </i>
    <i r="1">
      <x v="15"/>
    </i>
    <i r="2">
      <x v="55"/>
    </i>
    <i r="1">
      <x v="16"/>
    </i>
    <i r="2">
      <x v="18"/>
    </i>
    <i r="1">
      <x v="17"/>
    </i>
    <i r="2">
      <x v="176"/>
    </i>
    <i r="1">
      <x v="18"/>
    </i>
    <i r="2">
      <x v="26"/>
    </i>
    <i r="1">
      <x v="19"/>
    </i>
    <i r="2">
      <x v="54"/>
    </i>
    <i r="1">
      <x v="20"/>
    </i>
    <i r="2">
      <x v="281"/>
    </i>
    <i r="1">
      <x v="21"/>
    </i>
    <i r="2">
      <x v="271"/>
    </i>
    <i r="1">
      <x v="22"/>
    </i>
    <i r="2">
      <x v="210"/>
    </i>
    <i r="2">
      <x v="1286"/>
    </i>
    <i r="2">
      <x v="1299"/>
    </i>
    <i r="1">
      <x v="23"/>
    </i>
    <i r="2">
      <x v="23"/>
    </i>
    <i r="2">
      <x v="268"/>
    </i>
    <i r="2">
      <x v="512"/>
    </i>
    <i r="1">
      <x v="24"/>
    </i>
    <i r="2">
      <x v="24"/>
    </i>
    <i r="1">
      <x v="26"/>
    </i>
    <i r="2">
      <x v="1093"/>
    </i>
    <i r="1">
      <x v="27"/>
    </i>
    <i r="2">
      <x v="12"/>
    </i>
    <i r="1">
      <x v="28"/>
    </i>
    <i r="2">
      <x v="22"/>
    </i>
    <i r="1">
      <x v="29"/>
    </i>
    <i r="2">
      <x v="25"/>
    </i>
    <i t="grand">
      <x/>
    </i>
  </rowItems>
  <colItems count="1">
    <i/>
  </colItems>
  <formats count="1468">
    <format dxfId="1534">
      <pivotArea type="all" dataOnly="0" outline="0" fieldPosition="0"/>
    </format>
    <format dxfId="1533">
      <pivotArea field="0" type="button" dataOnly="0" labelOnly="1" outline="0" axis="axisRow" fieldPosition="0"/>
    </format>
    <format dxfId="1532">
      <pivotArea dataOnly="0" labelOnly="1"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531">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530">
      <pivotArea dataOnly="0" labelOnly="1" fieldPosition="0">
        <references count="1">
          <reference field="0" count="47">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29">
      <pivotArea dataOnly="0" labelOnly="1" grandRow="1" outline="0" fieldPosition="0"/>
    </format>
    <format dxfId="1528">
      <pivotArea dataOnly="0" labelOnly="1" fieldPosition="0">
        <references count="2">
          <reference field="0" count="1" selected="0">
            <x v="149"/>
          </reference>
          <reference field="1" count="29">
            <x v="12"/>
            <x v="18"/>
            <x v="21"/>
            <x v="22"/>
            <x v="23"/>
            <x v="24"/>
            <x v="25"/>
            <x v="26"/>
            <x v="38"/>
            <x v="54"/>
            <x v="55"/>
            <x v="135"/>
            <x v="176"/>
            <x v="210"/>
            <x v="268"/>
            <x v="271"/>
            <x v="279"/>
            <x v="281"/>
            <x v="295"/>
            <x v="409"/>
            <x v="453"/>
            <x v="488"/>
            <x v="512"/>
            <x v="514"/>
            <x v="1058"/>
            <x v="1093"/>
            <x v="1174"/>
            <x v="1286"/>
            <x v="1299"/>
          </reference>
        </references>
      </pivotArea>
    </format>
    <format dxfId="1527">
      <pivotArea dataOnly="0" labelOnly="1" fieldPosition="0">
        <references count="2">
          <reference field="0" count="1" selected="0">
            <x v="148"/>
          </reference>
          <reference field="1" count="2">
            <x v="180"/>
            <x v="482"/>
          </reference>
        </references>
      </pivotArea>
    </format>
    <format dxfId="1526">
      <pivotArea dataOnly="0" labelOnly="1" fieldPosition="0">
        <references count="2">
          <reference field="0" count="1" selected="0">
            <x v="147"/>
          </reference>
          <reference field="1" count="22">
            <x v="10"/>
            <x v="27"/>
            <x v="35"/>
            <x v="51"/>
            <x v="57"/>
            <x v="215"/>
            <x v="273"/>
            <x v="275"/>
            <x v="277"/>
            <x v="399"/>
            <x v="412"/>
            <x v="421"/>
            <x v="481"/>
            <x v="497"/>
            <x v="504"/>
            <x v="534"/>
            <x v="558"/>
            <x v="585"/>
            <x v="659"/>
            <x v="748"/>
            <x v="1101"/>
            <x v="1175"/>
          </reference>
        </references>
      </pivotArea>
    </format>
    <format dxfId="1525">
      <pivotArea dataOnly="0" labelOnly="1" fieldPosition="0">
        <references count="2">
          <reference field="0" count="1" selected="0">
            <x v="146"/>
          </reference>
          <reference field="1" count="41">
            <x v="11"/>
            <x v="31"/>
            <x v="33"/>
            <x v="36"/>
            <x v="43"/>
            <x v="58"/>
            <x v="60"/>
            <x v="62"/>
            <x v="68"/>
            <x v="160"/>
            <x v="228"/>
            <x v="232"/>
            <x v="269"/>
            <x v="296"/>
            <x v="297"/>
            <x v="300"/>
            <x v="336"/>
            <x v="422"/>
            <x v="449"/>
            <x v="465"/>
            <x v="493"/>
            <x v="494"/>
            <x v="499"/>
            <x v="508"/>
            <x v="518"/>
            <x v="556"/>
            <x v="572"/>
            <x v="656"/>
            <x v="657"/>
            <x v="658"/>
            <x v="675"/>
            <x v="904"/>
            <x v="913"/>
            <x v="965"/>
            <x v="1062"/>
            <x v="1102"/>
            <x v="1108"/>
            <x v="1239"/>
            <x v="1244"/>
            <x v="1265"/>
            <x v="1271"/>
          </reference>
        </references>
      </pivotArea>
    </format>
    <format dxfId="1524">
      <pivotArea dataOnly="0" labelOnly="1" fieldPosition="0">
        <references count="2">
          <reference field="0" count="1" selected="0">
            <x v="145"/>
          </reference>
          <reference field="1" count="41">
            <x v="28"/>
            <x v="37"/>
            <x v="39"/>
            <x v="42"/>
            <x v="44"/>
            <x v="45"/>
            <x v="56"/>
            <x v="59"/>
            <x v="65"/>
            <x v="144"/>
            <x v="148"/>
            <x v="260"/>
            <x v="396"/>
            <x v="401"/>
            <x v="403"/>
            <x v="418"/>
            <x v="451"/>
            <x v="462"/>
            <x v="467"/>
            <x v="468"/>
            <x v="473"/>
            <x v="480"/>
            <x v="485"/>
            <x v="491"/>
            <x v="495"/>
            <x v="502"/>
            <x v="503"/>
            <x v="513"/>
            <x v="567"/>
            <x v="603"/>
            <x v="708"/>
            <x v="735"/>
            <x v="776"/>
            <x v="897"/>
            <x v="905"/>
            <x v="911"/>
            <x v="969"/>
            <x v="1013"/>
            <x v="1100"/>
            <x v="1140"/>
            <x v="1171"/>
          </reference>
        </references>
      </pivotArea>
    </format>
    <format dxfId="1523">
      <pivotArea dataOnly="0" labelOnly="1" fieldPosition="0">
        <references count="2">
          <reference field="0" count="1" selected="0">
            <x v="144"/>
          </reference>
          <reference field="1" count="25">
            <x v="111"/>
            <x v="205"/>
            <x v="334"/>
            <x v="461"/>
            <x v="464"/>
            <x v="469"/>
            <x v="471"/>
            <x v="474"/>
            <x v="478"/>
            <x v="484"/>
            <x v="490"/>
            <x v="492"/>
            <x v="500"/>
            <x v="509"/>
            <x v="511"/>
            <x v="581"/>
            <x v="583"/>
            <x v="701"/>
            <x v="832"/>
            <x v="834"/>
            <x v="906"/>
            <x v="947"/>
            <x v="1160"/>
            <x v="1170"/>
            <x v="1292"/>
          </reference>
        </references>
      </pivotArea>
    </format>
    <format dxfId="1522">
      <pivotArea dataOnly="0" labelOnly="1" fieldPosition="0">
        <references count="2">
          <reference field="0" count="1" selected="0">
            <x v="143"/>
          </reference>
          <reference field="1" count="12">
            <x v="8"/>
            <x v="143"/>
            <x v="179"/>
            <x v="183"/>
            <x v="294"/>
            <x v="314"/>
            <x v="466"/>
            <x v="489"/>
            <x v="810"/>
            <x v="844"/>
            <x v="952"/>
            <x v="1091"/>
          </reference>
        </references>
      </pivotArea>
    </format>
    <format dxfId="1521">
      <pivotArea dataOnly="0" labelOnly="1" fieldPosition="0">
        <references count="2">
          <reference field="0" count="1" selected="0">
            <x v="142"/>
          </reference>
          <reference field="1" count="36">
            <x v="13"/>
            <x v="14"/>
            <x v="19"/>
            <x v="40"/>
            <x v="47"/>
            <x v="52"/>
            <x v="128"/>
            <x v="146"/>
            <x v="178"/>
            <x v="264"/>
            <x v="266"/>
            <x v="267"/>
            <x v="270"/>
            <x v="274"/>
            <x v="276"/>
            <x v="278"/>
            <x v="280"/>
            <x v="457"/>
            <x v="459"/>
            <x v="483"/>
            <x v="486"/>
            <x v="505"/>
            <x v="520"/>
            <x v="542"/>
            <x v="819"/>
            <x v="940"/>
            <x v="971"/>
            <x v="973"/>
            <x v="1017"/>
            <x v="1020"/>
            <x v="1052"/>
            <x v="1144"/>
            <x v="1173"/>
            <x v="1257"/>
            <x v="1287"/>
            <x v="1295"/>
          </reference>
        </references>
      </pivotArea>
    </format>
    <format dxfId="1520">
      <pivotArea dataOnly="0" labelOnly="1" fieldPosition="0">
        <references count="2">
          <reference field="0" count="1" selected="0">
            <x v="141"/>
          </reference>
          <reference field="1" count="2">
            <x v="186"/>
            <x v="770"/>
          </reference>
        </references>
      </pivotArea>
    </format>
    <format dxfId="1519">
      <pivotArea dataOnly="0" labelOnly="1" fieldPosition="0">
        <references count="2">
          <reference field="0" count="1" selected="0">
            <x v="140"/>
          </reference>
          <reference field="1" count="34">
            <x v="15"/>
            <x v="32"/>
            <x v="115"/>
            <x v="134"/>
            <x v="213"/>
            <x v="341"/>
            <x v="370"/>
            <x v="404"/>
            <x v="411"/>
            <x v="510"/>
            <x v="533"/>
            <x v="557"/>
            <x v="714"/>
            <x v="727"/>
            <x v="740"/>
            <x v="781"/>
            <x v="789"/>
            <x v="791"/>
            <x v="806"/>
            <x v="808"/>
            <x v="812"/>
            <x v="899"/>
            <x v="914"/>
            <x v="919"/>
            <x v="948"/>
            <x v="962"/>
            <x v="966"/>
            <x v="970"/>
            <x v="981"/>
            <x v="1051"/>
            <x v="1092"/>
            <x v="1146"/>
            <x v="1167"/>
            <x v="1294"/>
          </reference>
        </references>
      </pivotArea>
    </format>
    <format dxfId="1518">
      <pivotArea dataOnly="0" labelOnly="1" fieldPosition="0">
        <references count="2">
          <reference field="0" count="1" selected="0">
            <x v="139"/>
          </reference>
          <reference field="1" count="25">
            <x v="41"/>
            <x v="110"/>
            <x v="114"/>
            <x v="374"/>
            <x v="446"/>
            <x v="517"/>
            <x v="566"/>
            <x v="689"/>
            <x v="739"/>
            <x v="750"/>
            <x v="760"/>
            <x v="818"/>
            <x v="845"/>
            <x v="915"/>
            <x v="917"/>
            <x v="951"/>
            <x v="1006"/>
            <x v="1025"/>
            <x v="1046"/>
            <x v="1096"/>
            <x v="1128"/>
            <x v="1132"/>
            <x v="1176"/>
            <x v="1193"/>
            <x v="1285"/>
          </reference>
        </references>
      </pivotArea>
    </format>
    <format dxfId="1517">
      <pivotArea dataOnly="0" labelOnly="1" fieldPosition="0">
        <references count="2">
          <reference field="0" count="1" selected="0">
            <x v="138"/>
          </reference>
          <reference field="1" count="16">
            <x v="29"/>
            <x v="53"/>
            <x v="109"/>
            <x v="152"/>
            <x v="155"/>
            <x v="298"/>
            <x v="340"/>
            <x v="373"/>
            <x v="529"/>
            <x v="723"/>
            <x v="728"/>
            <x v="749"/>
            <x v="823"/>
            <x v="888"/>
            <x v="1099"/>
            <x v="1157"/>
          </reference>
        </references>
      </pivotArea>
    </format>
    <format dxfId="1516">
      <pivotArea dataOnly="0" labelOnly="1" fieldPosition="0">
        <references count="2">
          <reference field="0" count="1" selected="0">
            <x v="137"/>
          </reference>
          <reference field="1" count="8">
            <x v="34"/>
            <x v="63"/>
            <x v="156"/>
            <x v="479"/>
            <x v="623"/>
            <x v="706"/>
            <x v="809"/>
            <x v="1037"/>
          </reference>
        </references>
      </pivotArea>
    </format>
    <format dxfId="1515">
      <pivotArea dataOnly="0" labelOnly="1" fieldPosition="0">
        <references count="2">
          <reference field="0" count="1" selected="0">
            <x v="136"/>
          </reference>
          <reference field="1" count="8">
            <x v="9"/>
            <x v="30"/>
            <x v="203"/>
            <x v="265"/>
            <x v="272"/>
            <x v="350"/>
            <x v="820"/>
            <x v="925"/>
          </reference>
        </references>
      </pivotArea>
    </format>
    <format dxfId="1514">
      <pivotArea dataOnly="0" labelOnly="1" fieldPosition="0">
        <references count="2">
          <reference field="0" count="1" selected="0">
            <x v="135"/>
          </reference>
          <reference field="1" count="6">
            <x v="49"/>
            <x v="64"/>
            <x v="472"/>
            <x v="907"/>
            <x v="967"/>
            <x v="1090"/>
          </reference>
        </references>
      </pivotArea>
    </format>
    <format dxfId="1513">
      <pivotArea dataOnly="0" labelOnly="1" fieldPosition="0">
        <references count="2">
          <reference field="0" count="1" selected="0">
            <x v="134"/>
          </reference>
          <reference field="1" count="3">
            <x v="150"/>
            <x v="204"/>
            <x v="1307"/>
          </reference>
        </references>
      </pivotArea>
    </format>
    <format dxfId="1512">
      <pivotArea dataOnly="0" labelOnly="1" fieldPosition="0">
        <references count="2">
          <reference field="0" count="1" selected="0">
            <x v="133"/>
          </reference>
          <reference field="1" count="9">
            <x v="16"/>
            <x v="133"/>
            <x v="222"/>
            <x v="371"/>
            <x v="372"/>
            <x v="470"/>
            <x v="532"/>
            <x v="595"/>
            <x v="1049"/>
          </reference>
        </references>
      </pivotArea>
    </format>
    <format dxfId="1511">
      <pivotArea dataOnly="0" labelOnly="1" fieldPosition="0">
        <references count="2">
          <reference field="0" count="1" selected="0">
            <x v="132"/>
          </reference>
          <reference field="1" count="15">
            <x v="67"/>
            <x v="185"/>
            <x v="390"/>
            <x v="397"/>
            <x v="633"/>
            <x v="674"/>
            <x v="741"/>
            <x v="854"/>
            <x v="938"/>
            <x v="982"/>
            <x v="1032"/>
            <x v="1036"/>
            <x v="1040"/>
            <x v="1094"/>
            <x v="1156"/>
          </reference>
        </references>
      </pivotArea>
    </format>
    <format dxfId="1510">
      <pivotArea dataOnly="0" labelOnly="1" fieldPosition="0">
        <references count="2">
          <reference field="0" count="1" selected="0">
            <x v="131"/>
          </reference>
          <reference field="1" count="13">
            <x v="159"/>
            <x v="231"/>
            <x v="460"/>
            <x v="591"/>
            <x v="704"/>
            <x v="732"/>
            <x v="738"/>
            <x v="755"/>
            <x v="786"/>
            <x v="850"/>
            <x v="916"/>
            <x v="1035"/>
            <x v="1249"/>
          </reference>
        </references>
      </pivotArea>
    </format>
    <format dxfId="1509">
      <pivotArea dataOnly="0" labelOnly="1" fieldPosition="0">
        <references count="2">
          <reference field="0" count="1" selected="0">
            <x v="130"/>
          </reference>
          <reference field="1" count="6">
            <x v="223"/>
            <x v="360"/>
            <x v="386"/>
            <x v="387"/>
            <x v="811"/>
            <x v="1300"/>
          </reference>
        </references>
      </pivotArea>
    </format>
    <format dxfId="1508">
      <pivotArea dataOnly="0" labelOnly="1" fieldPosition="0">
        <references count="2">
          <reference field="0" count="1" selected="0">
            <x v="129"/>
          </reference>
          <reference field="1" count="8">
            <x v="48"/>
            <x v="224"/>
            <x v="284"/>
            <x v="414"/>
            <x v="415"/>
            <x v="793"/>
            <x v="920"/>
            <x v="1087"/>
          </reference>
        </references>
      </pivotArea>
    </format>
    <format dxfId="1507">
      <pivotArea dataOnly="0" labelOnly="1" fieldPosition="0">
        <references count="2">
          <reference field="0" count="1" selected="0">
            <x v="128"/>
          </reference>
          <reference field="1" count="3">
            <x v="20"/>
            <x v="50"/>
            <x v="1308"/>
          </reference>
        </references>
      </pivotArea>
    </format>
    <format dxfId="1506">
      <pivotArea dataOnly="0" labelOnly="1" fieldPosition="0">
        <references count="2">
          <reference field="0" count="1" selected="0">
            <x v="127"/>
          </reference>
          <reference field="1" count="6">
            <x v="344"/>
            <x v="931"/>
            <x v="985"/>
            <x v="1012"/>
            <x v="1043"/>
            <x v="1297"/>
          </reference>
        </references>
      </pivotArea>
    </format>
    <format dxfId="1505">
      <pivotArea dataOnly="0" labelOnly="1" fieldPosition="0">
        <references count="2">
          <reference field="0" count="1" selected="0">
            <x v="126"/>
          </reference>
          <reference field="1" count="11">
            <x v="168"/>
            <x v="376"/>
            <x v="389"/>
            <x v="398"/>
            <x v="522"/>
            <x v="715"/>
            <x v="734"/>
            <x v="754"/>
            <x v="762"/>
            <x v="773"/>
            <x v="1124"/>
          </reference>
        </references>
      </pivotArea>
    </format>
    <format dxfId="1504">
      <pivotArea dataOnly="0" labelOnly="1" fieldPosition="0">
        <references count="2">
          <reference field="0" count="1" selected="0">
            <x v="125"/>
          </reference>
          <reference field="1" count="4">
            <x v="439"/>
            <x v="880"/>
            <x v="1097"/>
            <x v="1302"/>
          </reference>
        </references>
      </pivotArea>
    </format>
    <format dxfId="1503">
      <pivotArea dataOnly="0" labelOnly="1" fieldPosition="0">
        <references count="2">
          <reference field="0" count="1" selected="0">
            <x v="124"/>
          </reference>
          <reference field="1" count="4">
            <x v="229"/>
            <x v="526"/>
            <x v="747"/>
            <x v="1007"/>
          </reference>
        </references>
      </pivotArea>
    </format>
    <format dxfId="1502">
      <pivotArea dataOnly="0" labelOnly="1" fieldPosition="0">
        <references count="2">
          <reference field="0" count="1" selected="0">
            <x v="123"/>
          </reference>
          <reference field="1" count="4">
            <x v="311"/>
            <x v="660"/>
            <x v="828"/>
            <x v="858"/>
          </reference>
        </references>
      </pivotArea>
    </format>
    <format dxfId="1501">
      <pivotArea dataOnly="0" labelOnly="1" fieldPosition="0">
        <references count="2">
          <reference field="0" count="1" selected="0">
            <x v="122"/>
          </reference>
          <reference field="1" count="4">
            <x v="282"/>
            <x v="368"/>
            <x v="1095"/>
            <x v="1281"/>
          </reference>
        </references>
      </pivotArea>
    </format>
    <format dxfId="1500">
      <pivotArea dataOnly="0" labelOnly="1" fieldPosition="0">
        <references count="2">
          <reference field="0" count="1" selected="0">
            <x v="121"/>
          </reference>
          <reference field="1" count="2">
            <x v="257"/>
            <x v="886"/>
          </reference>
        </references>
      </pivotArea>
    </format>
    <format dxfId="1499">
      <pivotArea dataOnly="0" labelOnly="1" fieldPosition="0">
        <references count="2">
          <reference field="0" count="1" selected="0">
            <x v="120"/>
          </reference>
          <reference field="1" count="4">
            <x v="226"/>
            <x v="433"/>
            <x v="721"/>
            <x v="884"/>
          </reference>
        </references>
      </pivotArea>
    </format>
    <format dxfId="1498">
      <pivotArea dataOnly="0" labelOnly="1" fieldPosition="0">
        <references count="2">
          <reference field="0" count="1" selected="0">
            <x v="119"/>
          </reference>
          <reference field="1" count="4">
            <x v="285"/>
            <x v="525"/>
            <x v="875"/>
            <x v="1120"/>
          </reference>
        </references>
      </pivotArea>
    </format>
    <format dxfId="1497">
      <pivotArea dataOnly="0" labelOnly="1" fieldPosition="0">
        <references count="2">
          <reference field="0" count="1" selected="0">
            <x v="118"/>
          </reference>
          <reference field="1" count="2">
            <x v="927"/>
            <x v="1038"/>
          </reference>
        </references>
      </pivotArea>
    </format>
    <format dxfId="1496">
      <pivotArea dataOnly="0" labelOnly="1" fieldPosition="0">
        <references count="2">
          <reference field="0" count="1" selected="0">
            <x v="117"/>
          </reference>
          <reference field="1" count="6">
            <x v="122"/>
            <x v="454"/>
            <x v="757"/>
            <x v="775"/>
            <x v="882"/>
            <x v="1059"/>
          </reference>
        </references>
      </pivotArea>
    </format>
    <format dxfId="1495">
      <pivotArea dataOnly="0" labelOnly="1" fieldPosition="0">
        <references count="2">
          <reference field="0" count="1" selected="0">
            <x v="116"/>
          </reference>
          <reference field="1" count="3">
            <x v="379"/>
            <x v="524"/>
            <x v="1148"/>
          </reference>
        </references>
      </pivotArea>
    </format>
    <format dxfId="1494">
      <pivotArea dataOnly="0" labelOnly="1" fieldPosition="0">
        <references count="2">
          <reference field="0" count="1" selected="0">
            <x v="115"/>
          </reference>
          <reference field="1" count="5">
            <x v="162"/>
            <x v="432"/>
            <x v="434"/>
            <x v="621"/>
            <x v="673"/>
          </reference>
        </references>
      </pivotArea>
    </format>
    <format dxfId="1493">
      <pivotArea dataOnly="0" labelOnly="1" fieldPosition="0">
        <references count="2">
          <reference field="0" count="1" selected="0">
            <x v="114"/>
          </reference>
          <reference field="1" count="1">
            <x v="843"/>
          </reference>
        </references>
      </pivotArea>
    </format>
    <format dxfId="1492">
      <pivotArea dataOnly="0" labelOnly="1" fieldPosition="0">
        <references count="2">
          <reference field="0" count="1" selected="0">
            <x v="113"/>
          </reference>
          <reference field="1" count="3">
            <x v="46"/>
            <x v="746"/>
            <x v="945"/>
          </reference>
        </references>
      </pivotArea>
    </format>
    <format dxfId="1491">
      <pivotArea dataOnly="0" labelOnly="1" fieldPosition="0">
        <references count="2">
          <reference field="0" count="1" selected="0">
            <x v="112"/>
          </reference>
          <reference field="1" count="3">
            <x v="17"/>
            <x v="283"/>
            <x v="872"/>
          </reference>
        </references>
      </pivotArea>
    </format>
    <format dxfId="1490">
      <pivotArea dataOnly="0" labelOnly="1" fieldPosition="0">
        <references count="2">
          <reference field="0" count="1" selected="0">
            <x v="111"/>
          </reference>
          <reference field="1" count="3">
            <x v="61"/>
            <x v="259"/>
            <x v="799"/>
          </reference>
        </references>
      </pivotArea>
    </format>
    <format dxfId="1489">
      <pivotArea dataOnly="0" labelOnly="1" fieldPosition="0">
        <references count="2">
          <reference field="0" count="1" selected="0">
            <x v="110"/>
          </reference>
          <reference field="1" count="4">
            <x v="361"/>
            <x v="980"/>
            <x v="1044"/>
            <x v="1289"/>
          </reference>
        </references>
      </pivotArea>
    </format>
    <format dxfId="1488">
      <pivotArea dataOnly="0" labelOnly="1" fieldPosition="0">
        <references count="2">
          <reference field="0" count="1" selected="0">
            <x v="109"/>
          </reference>
          <reference field="1" count="3">
            <x v="640"/>
            <x v="849"/>
            <x v="908"/>
          </reference>
        </references>
      </pivotArea>
    </format>
    <format dxfId="1487">
      <pivotArea dataOnly="0" labelOnly="1" fieldPosition="0">
        <references count="2">
          <reference field="0" count="1" selected="0">
            <x v="108"/>
          </reference>
          <reference field="1" count="5">
            <x v="151"/>
            <x v="615"/>
            <x v="703"/>
            <x v="1008"/>
            <x v="1134"/>
          </reference>
        </references>
      </pivotArea>
    </format>
    <format dxfId="1486">
      <pivotArea dataOnly="0" labelOnly="1" fieldPosition="0">
        <references count="2">
          <reference field="0" count="1" selected="0">
            <x v="107"/>
          </reference>
          <reference field="1" count="4">
            <x v="515"/>
            <x v="756"/>
            <x v="865"/>
            <x v="1126"/>
          </reference>
        </references>
      </pivotArea>
    </format>
    <format dxfId="1485">
      <pivotArea dataOnly="0" labelOnly="1" fieldPosition="0">
        <references count="2">
          <reference field="0" count="1" selected="0">
            <x v="106"/>
          </reference>
          <reference field="1" count="2">
            <x v="425"/>
            <x v="1207"/>
          </reference>
        </references>
      </pivotArea>
    </format>
    <format dxfId="1484">
      <pivotArea dataOnly="0" labelOnly="1" fieldPosition="0">
        <references count="2">
          <reference field="0" count="1" selected="0">
            <x v="105"/>
          </reference>
          <reference field="1" count="9">
            <x v="117"/>
            <x v="393"/>
            <x v="654"/>
            <x v="803"/>
            <x v="839"/>
            <x v="903"/>
            <x v="1061"/>
            <x v="1136"/>
            <x v="1250"/>
          </reference>
        </references>
      </pivotArea>
    </format>
    <format dxfId="1483">
      <pivotArea dataOnly="0" labelOnly="1" fieldPosition="0">
        <references count="2">
          <reference field="0" count="1" selected="0">
            <x v="104"/>
          </reference>
          <reference field="1" count="2">
            <x v="717"/>
            <x v="801"/>
          </reference>
        </references>
      </pivotArea>
    </format>
    <format dxfId="1482">
      <pivotArea dataOnly="0" labelOnly="1" fieldPosition="0">
        <references count="2">
          <reference field="0" count="1" selected="0">
            <x v="103"/>
          </reference>
          <reference field="1" count="3">
            <x v="638"/>
            <x v="644"/>
            <x v="782"/>
          </reference>
        </references>
      </pivotArea>
    </format>
    <format dxfId="1481">
      <pivotArea dataOnly="0" labelOnly="1" fieldPosition="0">
        <references count="2">
          <reference field="0" count="1" selected="0">
            <x v="102"/>
          </reference>
          <reference field="1" count="2">
            <x v="771"/>
            <x v="1054"/>
          </reference>
        </references>
      </pivotArea>
    </format>
    <format dxfId="1480">
      <pivotArea dataOnly="0" labelOnly="1" fieldPosition="0">
        <references count="2">
          <reference field="0" count="1" selected="0">
            <x v="101"/>
          </reference>
          <reference field="1" count="5">
            <x v="430"/>
            <x v="590"/>
            <x v="831"/>
            <x v="1180"/>
            <x v="1192"/>
          </reference>
        </references>
      </pivotArea>
    </format>
    <format dxfId="1479">
      <pivotArea dataOnly="0" labelOnly="1" fieldPosition="0">
        <references count="2">
          <reference field="0" count="1" selected="0">
            <x v="100"/>
          </reference>
          <reference field="1" count="2">
            <x v="145"/>
            <x v="528"/>
          </reference>
        </references>
      </pivotArea>
    </format>
    <format dxfId="1478">
      <pivotArea dataOnly="0" labelOnly="1" fieldPosition="0">
        <references count="2">
          <reference field="0" count="1" selected="0">
            <x v="99"/>
          </reference>
          <reference field="1" count="2">
            <x v="378"/>
            <x v="614"/>
          </reference>
        </references>
      </pivotArea>
    </format>
    <format dxfId="1477">
      <pivotArea dataOnly="0" labelOnly="1" fieldPosition="0">
        <references count="2">
          <reference field="0" count="1" selected="0">
            <x v="98"/>
          </reference>
          <reference field="1" count="8">
            <x v="225"/>
            <x v="382"/>
            <x v="447"/>
            <x v="563"/>
            <x v="1071"/>
            <x v="1072"/>
            <x v="1074"/>
            <x v="1291"/>
          </reference>
        </references>
      </pivotArea>
    </format>
    <format dxfId="1476">
      <pivotArea dataOnly="0" labelOnly="1" fieldPosition="0">
        <references count="2">
          <reference field="0" count="1" selected="0">
            <x v="97"/>
          </reference>
          <reference field="1" count="8">
            <x v="475"/>
            <x v="476"/>
            <x v="507"/>
            <x v="544"/>
            <x v="559"/>
            <x v="1047"/>
            <x v="1116"/>
            <x v="1208"/>
          </reference>
        </references>
      </pivotArea>
    </format>
    <format dxfId="1475">
      <pivotArea dataOnly="0" labelOnly="1" fieldPosition="0">
        <references count="2">
          <reference field="0" count="1" selected="0">
            <x v="96"/>
          </reference>
          <reference field="1" count="11">
            <x v="153"/>
            <x v="306"/>
            <x v="477"/>
            <x v="560"/>
            <x v="571"/>
            <x v="612"/>
            <x v="822"/>
            <x v="1079"/>
            <x v="1115"/>
            <x v="1141"/>
            <x v="1159"/>
          </reference>
        </references>
      </pivotArea>
    </format>
    <format dxfId="1474">
      <pivotArea dataOnly="0" labelOnly="1" fieldPosition="0">
        <references count="2">
          <reference field="0" count="1" selected="0">
            <x v="95"/>
          </reference>
          <reference field="1" count="4">
            <x v="1031"/>
            <x v="1085"/>
            <x v="1112"/>
            <x v="1137"/>
          </reference>
        </references>
      </pivotArea>
    </format>
    <format dxfId="1473">
      <pivotArea dataOnly="0" labelOnly="1" fieldPosition="0">
        <references count="2">
          <reference field="0" count="1" selected="0">
            <x v="94"/>
          </reference>
          <reference field="1" count="11">
            <x v="192"/>
            <x v="292"/>
            <x v="423"/>
            <x v="443"/>
            <x v="456"/>
            <x v="501"/>
            <x v="751"/>
            <x v="1066"/>
            <x v="1113"/>
            <x v="1178"/>
            <x v="1296"/>
          </reference>
        </references>
      </pivotArea>
    </format>
    <format dxfId="1472">
      <pivotArea dataOnly="0" labelOnly="1" fieldPosition="0">
        <references count="2">
          <reference field="0" count="1" selected="0">
            <x v="93"/>
          </reference>
          <reference field="1" count="3">
            <x v="141"/>
            <x v="608"/>
            <x v="1030"/>
          </reference>
        </references>
      </pivotArea>
    </format>
    <format dxfId="1471">
      <pivotArea dataOnly="0" labelOnly="1" fieldPosition="0">
        <references count="2">
          <reference field="0" count="1" selected="0">
            <x v="92"/>
          </reference>
          <reference field="1" count="18">
            <x v="69"/>
            <x v="136"/>
            <x v="140"/>
            <x v="406"/>
            <x v="413"/>
            <x v="506"/>
            <x v="540"/>
            <x v="547"/>
            <x v="570"/>
            <x v="587"/>
            <x v="697"/>
            <x v="862"/>
            <x v="877"/>
            <x v="1076"/>
            <x v="1135"/>
            <x v="1172"/>
            <x v="1290"/>
            <x v="1303"/>
          </reference>
        </references>
      </pivotArea>
    </format>
    <format dxfId="1470">
      <pivotArea dataOnly="0" labelOnly="1" fieldPosition="0">
        <references count="2">
          <reference field="0" count="1" selected="0">
            <x v="91"/>
          </reference>
          <reference field="1" count="20">
            <x v="71"/>
            <x v="86"/>
            <x v="299"/>
            <x v="305"/>
            <x v="349"/>
            <x v="377"/>
            <x v="429"/>
            <x v="519"/>
            <x v="549"/>
            <x v="580"/>
            <x v="597"/>
            <x v="602"/>
            <x v="637"/>
            <x v="650"/>
            <x v="936"/>
            <x v="1073"/>
            <x v="1075"/>
            <x v="1081"/>
            <x v="1133"/>
            <x v="1139"/>
          </reference>
        </references>
      </pivotArea>
    </format>
    <format dxfId="1469">
      <pivotArea dataOnly="0" labelOnly="1" fieldPosition="0">
        <references count="2">
          <reference field="0" count="1" selected="0">
            <x v="90"/>
          </reference>
          <reference field="1" count="37">
            <x v="0"/>
            <x v="76"/>
            <x v="81"/>
            <x v="83"/>
            <x v="85"/>
            <x v="98"/>
            <x v="158"/>
            <x v="199"/>
            <x v="207"/>
            <x v="331"/>
            <x v="441"/>
            <x v="546"/>
            <x v="552"/>
            <x v="561"/>
            <x v="579"/>
            <x v="588"/>
            <x v="610"/>
            <x v="619"/>
            <x v="620"/>
            <x v="624"/>
            <x v="651"/>
            <x v="737"/>
            <x v="774"/>
            <x v="852"/>
            <x v="883"/>
            <x v="890"/>
            <x v="1078"/>
            <x v="1084"/>
            <x v="1123"/>
            <x v="1131"/>
            <x v="1213"/>
            <x v="1214"/>
            <x v="1223"/>
            <x v="1228"/>
            <x v="1312"/>
            <x v="1313"/>
            <x v="1314"/>
          </reference>
        </references>
      </pivotArea>
    </format>
    <format dxfId="1468">
      <pivotArea dataOnly="0" labelOnly="1" fieldPosition="0">
        <references count="2">
          <reference field="0" count="1" selected="0">
            <x v="89"/>
          </reference>
          <reference field="1" count="44">
            <x v="2"/>
            <x v="78"/>
            <x v="80"/>
            <x v="84"/>
            <x v="104"/>
            <x v="167"/>
            <x v="211"/>
            <x v="317"/>
            <x v="318"/>
            <x v="354"/>
            <x v="392"/>
            <x v="400"/>
            <x v="442"/>
            <x v="450"/>
            <x v="523"/>
            <x v="548"/>
            <x v="564"/>
            <x v="568"/>
            <x v="575"/>
            <x v="582"/>
            <x v="584"/>
            <x v="593"/>
            <x v="613"/>
            <x v="635"/>
            <x v="636"/>
            <x v="641"/>
            <x v="693"/>
            <x v="711"/>
            <x v="768"/>
            <x v="804"/>
            <x v="825"/>
            <x v="861"/>
            <x v="868"/>
            <x v="895"/>
            <x v="953"/>
            <x v="996"/>
            <x v="998"/>
            <x v="1001"/>
            <x v="1002"/>
            <x v="1077"/>
            <x v="1114"/>
            <x v="1158"/>
            <x v="1224"/>
            <x v="1225"/>
          </reference>
        </references>
      </pivotArea>
    </format>
    <format dxfId="1467">
      <pivotArea dataOnly="0" labelOnly="1" fieldPosition="0">
        <references count="2">
          <reference field="0" count="1" selected="0">
            <x v="88"/>
          </reference>
          <reference field="1" count="27">
            <x v="6"/>
            <x v="79"/>
            <x v="91"/>
            <x v="94"/>
            <x v="112"/>
            <x v="123"/>
            <x v="137"/>
            <x v="316"/>
            <x v="338"/>
            <x v="358"/>
            <x v="455"/>
            <x v="551"/>
            <x v="618"/>
            <x v="698"/>
            <x v="707"/>
            <x v="765"/>
            <x v="805"/>
            <x v="838"/>
            <x v="867"/>
            <x v="992"/>
            <x v="993"/>
            <x v="1003"/>
            <x v="1024"/>
            <x v="1026"/>
            <x v="1067"/>
            <x v="1142"/>
            <x v="1293"/>
          </reference>
        </references>
      </pivotArea>
    </format>
    <format dxfId="1466">
      <pivotArea dataOnly="0" labelOnly="1" fieldPosition="0">
        <references count="2">
          <reference field="0" count="1" selected="0">
            <x v="87"/>
          </reference>
          <reference field="1" count="6">
            <x v="70"/>
            <x v="589"/>
            <x v="928"/>
            <x v="991"/>
            <x v="1004"/>
            <x v="1005"/>
          </reference>
        </references>
      </pivotArea>
    </format>
    <format dxfId="1465">
      <pivotArea dataOnly="0" labelOnly="1" fieldPosition="0">
        <references count="2">
          <reference field="0" count="1" selected="0">
            <x v="86"/>
          </reference>
          <reference field="1" count="7">
            <x v="4"/>
            <x v="391"/>
            <x v="586"/>
            <x v="726"/>
            <x v="759"/>
            <x v="878"/>
            <x v="1014"/>
          </reference>
        </references>
      </pivotArea>
    </format>
    <format dxfId="1464">
      <pivotArea dataOnly="0" labelOnly="1" fieldPosition="0">
        <references count="2">
          <reference field="0" count="1" selected="0">
            <x v="85"/>
          </reference>
          <reference field="1" count="18">
            <x v="105"/>
            <x v="187"/>
            <x v="366"/>
            <x v="426"/>
            <x v="535"/>
            <x v="616"/>
            <x v="634"/>
            <x v="639"/>
            <x v="655"/>
            <x v="797"/>
            <x v="802"/>
            <x v="851"/>
            <x v="891"/>
            <x v="894"/>
            <x v="1028"/>
            <x v="1068"/>
            <x v="1109"/>
            <x v="1179"/>
          </reference>
        </references>
      </pivotArea>
    </format>
    <format dxfId="1463">
      <pivotArea dataOnly="0" labelOnly="1" fieldPosition="0">
        <references count="2">
          <reference field="0" count="1" selected="0">
            <x v="84"/>
          </reference>
          <reference field="1" count="19">
            <x v="90"/>
            <x v="93"/>
            <x v="166"/>
            <x v="319"/>
            <x v="356"/>
            <x v="428"/>
            <x v="627"/>
            <x v="649"/>
            <x v="780"/>
            <x v="792"/>
            <x v="901"/>
            <x v="955"/>
            <x v="990"/>
            <x v="995"/>
            <x v="1022"/>
            <x v="1033"/>
            <x v="1121"/>
            <x v="1138"/>
            <x v="1202"/>
          </reference>
        </references>
      </pivotArea>
    </format>
    <format dxfId="1462">
      <pivotArea dataOnly="0" labelOnly="1" fieldPosition="0">
        <references count="2">
          <reference field="0" count="1" selected="0">
            <x v="83"/>
          </reference>
          <reference field="1" count="15">
            <x v="75"/>
            <x v="230"/>
            <x v="258"/>
            <x v="625"/>
            <x v="632"/>
            <x v="784"/>
            <x v="800"/>
            <x v="856"/>
            <x v="1104"/>
            <x v="1143"/>
            <x v="1149"/>
            <x v="1166"/>
            <x v="1189"/>
            <x v="1220"/>
            <x v="1262"/>
          </reference>
        </references>
      </pivotArea>
    </format>
    <format dxfId="1461">
      <pivotArea dataOnly="0" labelOnly="1" fieldPosition="0">
        <references count="2">
          <reference field="0" count="1" selected="0">
            <x v="82"/>
          </reference>
          <reference field="1" count="12">
            <x v="420"/>
            <x v="424"/>
            <x v="554"/>
            <x v="607"/>
            <x v="709"/>
            <x v="712"/>
            <x v="743"/>
            <x v="930"/>
            <x v="935"/>
            <x v="1111"/>
            <x v="1197"/>
            <x v="1311"/>
          </reference>
        </references>
      </pivotArea>
    </format>
    <format dxfId="1460">
      <pivotArea dataOnly="0" labelOnly="1" fieldPosition="0">
        <references count="2">
          <reference field="0" count="1" selected="0">
            <x v="81"/>
          </reference>
          <reference field="1" count="16">
            <x v="95"/>
            <x v="97"/>
            <x v="315"/>
            <x v="333"/>
            <x v="337"/>
            <x v="385"/>
            <x v="555"/>
            <x v="696"/>
            <x v="700"/>
            <x v="864"/>
            <x v="892"/>
            <x v="999"/>
            <x v="1107"/>
            <x v="1150"/>
            <x v="1198"/>
            <x v="1301"/>
          </reference>
        </references>
      </pivotArea>
    </format>
    <format dxfId="1459">
      <pivotArea dataOnly="0" labelOnly="1" fieldPosition="0">
        <references count="2">
          <reference field="0" count="1" selected="0">
            <x v="80"/>
          </reference>
          <reference field="1" count="2">
            <x v="87"/>
            <x v="184"/>
          </reference>
        </references>
      </pivotArea>
    </format>
    <format dxfId="1458">
      <pivotArea dataOnly="0" labelOnly="1" fieldPosition="0">
        <references count="2">
          <reference field="0" count="1" selected="0">
            <x v="79"/>
          </reference>
          <reference field="1" count="14">
            <x v="126"/>
            <x v="164"/>
            <x v="221"/>
            <x v="320"/>
            <x v="363"/>
            <x v="444"/>
            <x v="536"/>
            <x v="622"/>
            <x v="653"/>
            <x v="718"/>
            <x v="860"/>
            <x v="1117"/>
            <x v="1155"/>
            <x v="1183"/>
          </reference>
        </references>
      </pivotArea>
    </format>
    <format dxfId="1457">
      <pivotArea dataOnly="0" labelOnly="1" fieldPosition="0">
        <references count="2">
          <reference field="0" count="1" selected="0">
            <x v="78"/>
          </reference>
          <reference field="1" count="4">
            <x v="92"/>
            <x v="902"/>
            <x v="1105"/>
            <x v="1196"/>
          </reference>
        </references>
      </pivotArea>
    </format>
    <format dxfId="1456">
      <pivotArea dataOnly="0" labelOnly="1" fieldPosition="0">
        <references count="2">
          <reference field="0" count="1" selected="0">
            <x v="77"/>
          </reference>
          <reference field="1" count="4">
            <x v="74"/>
            <x v="106"/>
            <x v="118"/>
            <x v="994"/>
          </reference>
        </references>
      </pivotArea>
    </format>
    <format dxfId="1455">
      <pivotArea dataOnly="0" labelOnly="1" fieldPosition="0">
        <references count="2">
          <reference field="0" count="1" selected="0">
            <x v="76"/>
          </reference>
          <reference field="1" count="6">
            <x v="261"/>
            <x v="342"/>
            <x v="431"/>
            <x v="629"/>
            <x v="724"/>
            <x v="829"/>
          </reference>
        </references>
      </pivotArea>
    </format>
    <format dxfId="1454">
      <pivotArea dataOnly="0" labelOnly="1" fieldPosition="0">
        <references count="2">
          <reference field="0" count="1" selected="0">
            <x v="75"/>
          </reference>
          <reference field="1" count="2">
            <x v="82"/>
            <x v="89"/>
          </reference>
        </references>
      </pivotArea>
    </format>
    <format dxfId="1453">
      <pivotArea dataOnly="0" labelOnly="1" fieldPosition="0">
        <references count="2">
          <reference field="0" count="1" selected="0">
            <x v="74"/>
          </reference>
          <reference field="1" count="13">
            <x v="77"/>
            <x v="107"/>
            <x v="171"/>
            <x v="201"/>
            <x v="353"/>
            <x v="729"/>
            <x v="824"/>
            <x v="859"/>
            <x v="869"/>
            <x v="881"/>
            <x v="898"/>
            <x v="960"/>
            <x v="997"/>
          </reference>
        </references>
      </pivotArea>
    </format>
    <format dxfId="1452">
      <pivotArea dataOnly="0" labelOnly="1" fieldPosition="0">
        <references count="2">
          <reference field="0" count="1" selected="0">
            <x v="73"/>
          </reference>
          <reference field="1" count="7">
            <x v="119"/>
            <x v="364"/>
            <x v="817"/>
            <x v="885"/>
            <x v="956"/>
            <x v="964"/>
            <x v="1231"/>
          </reference>
        </references>
      </pivotArea>
    </format>
    <format dxfId="1451">
      <pivotArea dataOnly="0" labelOnly="1" fieldPosition="0">
        <references count="2">
          <reference field="0" count="1" selected="0">
            <x v="72"/>
          </reference>
          <reference field="1" count="5">
            <x v="202"/>
            <x v="351"/>
            <x v="355"/>
            <x v="690"/>
            <x v="1000"/>
          </reference>
        </references>
      </pivotArea>
    </format>
    <format dxfId="1450">
      <pivotArea dataOnly="0" labelOnly="1" fieldPosition="0">
        <references count="2">
          <reference field="0" count="1" selected="0">
            <x v="71"/>
          </reference>
          <reference field="1" count="6">
            <x v="600"/>
            <x v="606"/>
            <x v="777"/>
            <x v="1048"/>
            <x v="1272"/>
            <x v="1288"/>
          </reference>
        </references>
      </pivotArea>
    </format>
    <format dxfId="1449">
      <pivotArea dataOnly="0" labelOnly="1" fieldPosition="0">
        <references count="2">
          <reference field="0" count="1" selected="0">
            <x v="70"/>
          </reference>
          <reference field="1" count="10">
            <x v="339"/>
            <x v="452"/>
            <x v="541"/>
            <x v="631"/>
            <x v="645"/>
            <x v="646"/>
            <x v="840"/>
            <x v="887"/>
            <x v="968"/>
            <x v="1023"/>
          </reference>
        </references>
      </pivotArea>
    </format>
    <format dxfId="1448">
      <pivotArea dataOnly="0" labelOnly="1" fieldPosition="0">
        <references count="2">
          <reference field="0" count="1" selected="0">
            <x v="69"/>
          </reference>
          <reference field="1" count="2">
            <x v="592"/>
            <x v="836"/>
          </reference>
        </references>
      </pivotArea>
    </format>
    <format dxfId="1447">
      <pivotArea dataOnly="0" labelOnly="1" fieldPosition="0">
        <references count="2">
          <reference field="0" count="1" selected="0">
            <x v="68"/>
          </reference>
          <reference field="1" count="9">
            <x v="262"/>
            <x v="531"/>
            <x v="611"/>
            <x v="736"/>
            <x v="753"/>
            <x v="855"/>
            <x v="1021"/>
            <x v="1122"/>
            <x v="1194"/>
          </reference>
        </references>
      </pivotArea>
    </format>
    <format dxfId="1446">
      <pivotArea dataOnly="0" labelOnly="1" fieldPosition="0">
        <references count="2">
          <reference field="0" count="1" selected="0">
            <x v="67"/>
          </reference>
          <reference field="1" count="4">
            <x v="359"/>
            <x v="440"/>
            <x v="601"/>
            <x v="841"/>
          </reference>
        </references>
      </pivotArea>
    </format>
    <format dxfId="1445">
      <pivotArea dataOnly="0" labelOnly="1" fieldPosition="0">
        <references count="2">
          <reference field="0" count="1" selected="0">
            <x v="66"/>
          </reference>
          <reference field="1" count="3">
            <x v="125"/>
            <x v="609"/>
            <x v="889"/>
          </reference>
        </references>
      </pivotArea>
    </format>
    <format dxfId="1444">
      <pivotArea dataOnly="0" labelOnly="1" fieldPosition="0">
        <references count="2">
          <reference field="0" count="1" selected="0">
            <x v="65"/>
          </reference>
          <reference field="1" count="8">
            <x v="113"/>
            <x v="138"/>
            <x v="604"/>
            <x v="661"/>
            <x v="922"/>
            <x v="1153"/>
            <x v="1190"/>
            <x v="1305"/>
          </reference>
        </references>
      </pivotArea>
    </format>
    <format dxfId="1443">
      <pivotArea dataOnly="0" labelOnly="1" fieldPosition="0">
        <references count="2">
          <reference field="0" count="1" selected="0">
            <x v="64"/>
          </reference>
          <reference field="1" count="1">
            <x v="124"/>
          </reference>
        </references>
      </pivotArea>
    </format>
    <format dxfId="1442">
      <pivotArea dataOnly="0" labelOnly="1" fieldPosition="0">
        <references count="2">
          <reference field="0" count="1" selected="0">
            <x v="63"/>
          </reference>
          <reference field="1" count="1">
            <x v="923"/>
          </reference>
        </references>
      </pivotArea>
    </format>
    <format dxfId="1441">
      <pivotArea dataOnly="0" labelOnly="1" fieldPosition="0">
        <references count="2">
          <reference field="0" count="1" selected="0">
            <x v="62"/>
          </reference>
          <reference field="1" count="9">
            <x v="516"/>
            <x v="605"/>
            <x v="630"/>
            <x v="642"/>
            <x v="648"/>
            <x v="752"/>
            <x v="957"/>
            <x v="1057"/>
            <x v="1110"/>
          </reference>
        </references>
      </pivotArea>
    </format>
    <format dxfId="1440">
      <pivotArea dataOnly="0" labelOnly="1" fieldPosition="0">
        <references count="2">
          <reference field="0" count="1" selected="0">
            <x v="61"/>
          </reference>
          <reference field="1" count="11">
            <x v="120"/>
            <x v="121"/>
            <x v="165"/>
            <x v="346"/>
            <x v="367"/>
            <x v="599"/>
            <x v="652"/>
            <x v="788"/>
            <x v="835"/>
            <x v="1089"/>
            <x v="1279"/>
          </reference>
        </references>
      </pivotArea>
    </format>
    <format dxfId="1439">
      <pivotArea dataOnly="0" labelOnly="1" fieldPosition="0">
        <references count="2">
          <reference field="0" count="1" selected="0">
            <x v="60"/>
          </reference>
          <reference field="1" count="2">
            <x v="857"/>
            <x v="1019"/>
          </reference>
        </references>
      </pivotArea>
    </format>
    <format dxfId="1438">
      <pivotArea dataOnly="0" labelOnly="1" fieldPosition="0">
        <references count="2">
          <reference field="0" count="1" selected="0">
            <x v="59"/>
          </reference>
          <reference field="1" count="3">
            <x v="291"/>
            <x v="763"/>
            <x v="1065"/>
          </reference>
        </references>
      </pivotArea>
    </format>
    <format dxfId="1437">
      <pivotArea dataOnly="0" labelOnly="1" fieldPosition="0">
        <references count="2">
          <reference field="0" count="1" selected="0">
            <x v="58"/>
          </reference>
          <reference field="1" count="4">
            <x v="129"/>
            <x v="866"/>
            <x v="939"/>
            <x v="1088"/>
          </reference>
        </references>
      </pivotArea>
    </format>
    <format dxfId="1436">
      <pivotArea dataOnly="0" labelOnly="1" fieldPosition="0">
        <references count="2">
          <reference field="0" count="1" selected="0">
            <x v="57"/>
          </reference>
          <reference field="1" count="3">
            <x v="154"/>
            <x v="694"/>
            <x v="1201"/>
          </reference>
        </references>
      </pivotArea>
    </format>
    <format dxfId="1435">
      <pivotArea dataOnly="0" labelOnly="1" fieldPosition="0">
        <references count="2">
          <reference field="0" count="1" selected="0">
            <x v="56"/>
          </reference>
          <reference field="1" count="4">
            <x v="116"/>
            <x v="289"/>
            <x v="290"/>
            <x v="1161"/>
          </reference>
        </references>
      </pivotArea>
    </format>
    <format dxfId="1434">
      <pivotArea dataOnly="0" labelOnly="1" fieldPosition="0">
        <references count="2">
          <reference field="0" count="1" selected="0">
            <x v="55"/>
          </reference>
          <reference field="1" count="9">
            <x v="147"/>
            <x v="251"/>
            <x v="328"/>
            <x v="598"/>
            <x v="663"/>
            <x v="668"/>
            <x v="1070"/>
            <x v="1210"/>
            <x v="1232"/>
          </reference>
        </references>
      </pivotArea>
    </format>
    <format dxfId="1433">
      <pivotArea dataOnly="0" labelOnly="1" fieldPosition="0">
        <references count="2">
          <reference field="0" count="1" selected="0">
            <x v="54"/>
          </reference>
          <reference field="1" count="23">
            <x v="132"/>
            <x v="237"/>
            <x v="238"/>
            <x v="239"/>
            <x v="243"/>
            <x v="247"/>
            <x v="253"/>
            <x v="254"/>
            <x v="288"/>
            <x v="321"/>
            <x v="322"/>
            <x v="323"/>
            <x v="325"/>
            <x v="662"/>
            <x v="664"/>
            <x v="669"/>
            <x v="1209"/>
            <x v="1211"/>
            <x v="1215"/>
            <x v="1217"/>
            <x v="1218"/>
            <x v="1233"/>
            <x v="1309"/>
          </reference>
        </references>
      </pivotArea>
    </format>
    <format dxfId="1432">
      <pivotArea dataOnly="0" labelOnly="1" fieldPosition="0">
        <references count="2">
          <reference field="0" count="1" selected="0">
            <x v="53"/>
          </reference>
          <reference field="1" count="38">
            <x v="1"/>
            <x v="102"/>
            <x v="108"/>
            <x v="233"/>
            <x v="234"/>
            <x v="235"/>
            <x v="236"/>
            <x v="240"/>
            <x v="241"/>
            <x v="242"/>
            <x v="244"/>
            <x v="245"/>
            <x v="246"/>
            <x v="248"/>
            <x v="249"/>
            <x v="250"/>
            <x v="252"/>
            <x v="255"/>
            <x v="286"/>
            <x v="324"/>
            <x v="326"/>
            <x v="327"/>
            <x v="537"/>
            <x v="538"/>
            <x v="539"/>
            <x v="665"/>
            <x v="666"/>
            <x v="667"/>
            <x v="670"/>
            <x v="672"/>
            <x v="1212"/>
            <x v="1216"/>
            <x v="1219"/>
            <x v="1221"/>
            <x v="1222"/>
            <x v="1226"/>
            <x v="1229"/>
            <x v="1230"/>
          </reference>
        </references>
      </pivotArea>
    </format>
    <format dxfId="1431">
      <pivotArea dataOnly="0" labelOnly="1" fieldPosition="0">
        <references count="2">
          <reference field="0" count="1" selected="0">
            <x v="52"/>
          </reference>
          <reference field="1" count="4">
            <x v="100"/>
            <x v="103"/>
            <x v="577"/>
            <x v="671"/>
          </reference>
        </references>
      </pivotArea>
    </format>
    <format dxfId="1430">
      <pivotArea dataOnly="0" labelOnly="1" fieldPosition="0">
        <references count="2">
          <reference field="0" count="1" selected="0">
            <x v="51"/>
          </reference>
          <reference field="1" count="20">
            <x v="131"/>
            <x v="139"/>
            <x v="157"/>
            <x v="301"/>
            <x v="302"/>
            <x v="307"/>
            <x v="308"/>
            <x v="309"/>
            <x v="329"/>
            <x v="416"/>
            <x v="436"/>
            <x v="527"/>
            <x v="628"/>
            <x v="720"/>
            <x v="790"/>
            <x v="988"/>
            <x v="1103"/>
            <x v="1195"/>
            <x v="1254"/>
            <x v="1273"/>
          </reference>
        </references>
      </pivotArea>
    </format>
    <format dxfId="1429">
      <pivotArea dataOnly="0" labelOnly="1" fieldPosition="0">
        <references count="2">
          <reference field="0" count="1" selected="0">
            <x v="50"/>
          </reference>
          <reference field="1" count="10">
            <x v="189"/>
            <x v="200"/>
            <x v="214"/>
            <x v="550"/>
            <x v="578"/>
            <x v="929"/>
            <x v="942"/>
            <x v="1010"/>
            <x v="1168"/>
            <x v="1203"/>
          </reference>
        </references>
      </pivotArea>
    </format>
    <format dxfId="1428">
      <pivotArea dataOnly="0" labelOnly="1" fieldPosition="0">
        <references count="2">
          <reference field="0" count="1" selected="0">
            <x v="49"/>
          </reference>
          <reference field="1" count="7">
            <x v="66"/>
            <x v="197"/>
            <x v="1055"/>
            <x v="1187"/>
            <x v="1238"/>
            <x v="1253"/>
            <x v="1280"/>
          </reference>
        </references>
      </pivotArea>
    </format>
    <format dxfId="1427">
      <pivotArea dataOnly="0" labelOnly="1" fieldPosition="0">
        <references count="2">
          <reference field="0" count="1" selected="0">
            <x v="48"/>
          </reference>
          <reference field="1" count="6">
            <x v="101"/>
            <x v="375"/>
            <x v="565"/>
            <x v="699"/>
            <x v="979"/>
            <x v="1268"/>
          </reference>
        </references>
      </pivotArea>
    </format>
    <format dxfId="1426">
      <pivotArea dataOnly="0" labelOnly="1" fieldPosition="0">
        <references count="2">
          <reference field="0" count="1" selected="0">
            <x v="47"/>
          </reference>
          <reference field="1" count="10">
            <x v="73"/>
            <x v="407"/>
            <x v="680"/>
            <x v="830"/>
            <x v="863"/>
            <x v="900"/>
            <x v="932"/>
            <x v="976"/>
            <x v="978"/>
            <x v="1261"/>
          </reference>
        </references>
      </pivotArea>
    </format>
    <format dxfId="1425">
      <pivotArea dataOnly="0" labelOnly="1" fieldPosition="0">
        <references count="2">
          <reference field="0" count="1" selected="0">
            <x v="46"/>
          </reference>
          <reference field="1" count="7">
            <x v="182"/>
            <x v="402"/>
            <x v="787"/>
            <x v="798"/>
            <x v="826"/>
            <x v="833"/>
            <x v="1255"/>
          </reference>
        </references>
      </pivotArea>
    </format>
    <format dxfId="1424">
      <pivotArea dataOnly="0" labelOnly="1" fieldPosition="0">
        <references count="2">
          <reference field="0" count="1" selected="0">
            <x v="45"/>
          </reference>
          <reference field="1" count="12">
            <x v="88"/>
            <x v="99"/>
            <x v="149"/>
            <x v="190"/>
            <x v="219"/>
            <x v="405"/>
            <x v="918"/>
            <x v="926"/>
            <x v="1162"/>
            <x v="1165"/>
            <x v="1188"/>
            <x v="1259"/>
          </reference>
        </references>
      </pivotArea>
    </format>
    <format dxfId="1423">
      <pivotArea dataOnly="0" labelOnly="1" fieldPosition="0">
        <references count="2">
          <reference field="0" count="1" selected="0">
            <x v="44"/>
          </reference>
          <reference field="1" count="12">
            <x v="195"/>
            <x v="196"/>
            <x v="263"/>
            <x v="383"/>
            <x v="427"/>
            <x v="896"/>
            <x v="1163"/>
            <x v="1186"/>
            <x v="1245"/>
            <x v="1247"/>
            <x v="1266"/>
            <x v="1274"/>
          </reference>
        </references>
      </pivotArea>
    </format>
    <format dxfId="1422">
      <pivotArea dataOnly="0" labelOnly="1" fieldPosition="0">
        <references count="2">
          <reference field="0" count="1" selected="0">
            <x v="43"/>
          </reference>
          <reference field="1" count="15">
            <x v="174"/>
            <x v="345"/>
            <x v="347"/>
            <x v="348"/>
            <x v="362"/>
            <x v="688"/>
            <x v="713"/>
            <x v="795"/>
            <x v="807"/>
            <x v="934"/>
            <x v="946"/>
            <x v="1018"/>
            <x v="1064"/>
            <x v="1164"/>
            <x v="1275"/>
          </reference>
        </references>
      </pivotArea>
    </format>
    <format dxfId="1421">
      <pivotArea dataOnly="0" labelOnly="1" fieldPosition="0">
        <references count="2">
          <reference field="0" count="1" selected="0">
            <x v="42"/>
          </reference>
          <reference field="1" count="29">
            <x v="5"/>
            <x v="163"/>
            <x v="220"/>
            <x v="287"/>
            <x v="381"/>
            <x v="384"/>
            <x v="437"/>
            <x v="530"/>
            <x v="543"/>
            <x v="733"/>
            <x v="871"/>
            <x v="879"/>
            <x v="977"/>
            <x v="983"/>
            <x v="986"/>
            <x v="989"/>
            <x v="1016"/>
            <x v="1027"/>
            <x v="1050"/>
            <x v="1060"/>
            <x v="1069"/>
            <x v="1106"/>
            <x v="1125"/>
            <x v="1145"/>
            <x v="1152"/>
            <x v="1205"/>
            <x v="1227"/>
            <x v="1235"/>
            <x v="1267"/>
          </reference>
        </references>
      </pivotArea>
    </format>
    <format dxfId="1420">
      <pivotArea dataOnly="0" labelOnly="1" fieldPosition="0">
        <references count="2">
          <reference field="0" count="1" selected="0">
            <x v="41"/>
          </reference>
          <reference field="1" count="7">
            <x v="217"/>
            <x v="293"/>
            <x v="303"/>
            <x v="445"/>
            <x v="975"/>
            <x v="1270"/>
            <x v="1278"/>
          </reference>
        </references>
      </pivotArea>
    </format>
    <format dxfId="1419">
      <pivotArea dataOnly="0" labelOnly="1" fieldPosition="0">
        <references count="2">
          <reference field="0" count="1" selected="0">
            <x v="40"/>
          </reference>
          <reference field="1" count="1">
            <x v="1034"/>
          </reference>
        </references>
      </pivotArea>
    </format>
    <format dxfId="1418">
      <pivotArea dataOnly="0" labelOnly="1" fieldPosition="0">
        <references count="2">
          <reference field="0" count="1" selected="0">
            <x v="39"/>
          </reference>
          <reference field="1" count="23">
            <x v="175"/>
            <x v="313"/>
            <x v="365"/>
            <x v="435"/>
            <x v="498"/>
            <x v="687"/>
            <x v="705"/>
            <x v="772"/>
            <x v="783"/>
            <x v="837"/>
            <x v="873"/>
            <x v="950"/>
            <x v="954"/>
            <x v="959"/>
            <x v="972"/>
            <x v="987"/>
            <x v="1042"/>
            <x v="1086"/>
            <x v="1151"/>
            <x v="1181"/>
            <x v="1237"/>
            <x v="1243"/>
            <x v="1256"/>
          </reference>
        </references>
      </pivotArea>
    </format>
    <format dxfId="1417">
      <pivotArea dataOnly="0" labelOnly="1" fieldPosition="0">
        <references count="2">
          <reference field="0" count="1" selected="0">
            <x v="38"/>
          </reference>
          <reference field="1" count="12">
            <x v="142"/>
            <x v="170"/>
            <x v="193"/>
            <x v="194"/>
            <x v="198"/>
            <x v="870"/>
            <x v="910"/>
            <x v="1053"/>
            <x v="1118"/>
            <x v="1169"/>
            <x v="1240"/>
            <x v="1284"/>
          </reference>
        </references>
      </pivotArea>
    </format>
    <format dxfId="1416">
      <pivotArea dataOnly="0" labelOnly="1" fieldPosition="0">
        <references count="2">
          <reference field="0" count="1" selected="0">
            <x v="37"/>
          </reference>
          <reference field="1" count="17">
            <x v="72"/>
            <x v="173"/>
            <x v="181"/>
            <x v="206"/>
            <x v="209"/>
            <x v="216"/>
            <x v="410"/>
            <x v="417"/>
            <x v="458"/>
            <x v="573"/>
            <x v="647"/>
            <x v="692"/>
            <x v="716"/>
            <x v="725"/>
            <x v="767"/>
            <x v="794"/>
            <x v="847"/>
          </reference>
        </references>
      </pivotArea>
    </format>
    <format dxfId="1415">
      <pivotArea dataOnly="0" labelOnly="1" fieldPosition="0">
        <references count="2">
          <reference field="0" count="1" selected="0">
            <x v="36"/>
          </reference>
          <reference field="1" count="4">
            <x v="177"/>
            <x v="212"/>
            <x v="256"/>
            <x v="941"/>
          </reference>
        </references>
      </pivotArea>
    </format>
    <format dxfId="1414">
      <pivotArea dataOnly="0" labelOnly="1" fieldPosition="0">
        <references count="2">
          <reference field="0" count="1" selected="0">
            <x v="35"/>
          </reference>
          <reference field="1" count="8">
            <x v="395"/>
            <x v="576"/>
            <x v="678"/>
            <x v="722"/>
            <x v="742"/>
            <x v="745"/>
            <x v="984"/>
            <x v="1039"/>
          </reference>
        </references>
      </pivotArea>
    </format>
    <format dxfId="1413">
      <pivotArea dataOnly="0" labelOnly="1" fieldPosition="0">
        <references count="2">
          <reference field="0" count="1" selected="0">
            <x v="34"/>
          </reference>
          <reference field="1" count="1">
            <x v="1200"/>
          </reference>
        </references>
      </pivotArea>
    </format>
    <format dxfId="1412">
      <pivotArea dataOnly="0" labelOnly="1" fieldPosition="0">
        <references count="2">
          <reference field="0" count="1" selected="0">
            <x v="33"/>
          </reference>
          <reference field="1" count="13">
            <x v="191"/>
            <x v="343"/>
            <x v="369"/>
            <x v="438"/>
            <x v="463"/>
            <x v="594"/>
            <x v="761"/>
            <x v="785"/>
            <x v="943"/>
            <x v="1045"/>
            <x v="1119"/>
            <x v="1184"/>
            <x v="1264"/>
          </reference>
        </references>
      </pivotArea>
    </format>
    <format dxfId="1411">
      <pivotArea dataOnly="0" labelOnly="1" fieldPosition="0">
        <references count="2">
          <reference field="0" count="1" selected="0">
            <x v="32"/>
          </reference>
          <reference field="1" count="8">
            <x v="352"/>
            <x v="496"/>
            <x v="796"/>
            <x v="963"/>
            <x v="974"/>
            <x v="1236"/>
            <x v="1246"/>
            <x v="1269"/>
          </reference>
        </references>
      </pivotArea>
    </format>
    <format dxfId="1410">
      <pivotArea dataOnly="0" labelOnly="1" fieldPosition="0">
        <references count="2">
          <reference field="0" count="1" selected="0">
            <x v="31"/>
          </reference>
          <reference field="1" count="8">
            <x v="172"/>
            <x v="188"/>
            <x v="227"/>
            <x v="596"/>
            <x v="769"/>
            <x v="846"/>
            <x v="944"/>
            <x v="1282"/>
          </reference>
        </references>
      </pivotArea>
    </format>
    <format dxfId="1409">
      <pivotArea dataOnly="0" labelOnly="1" fieldPosition="0">
        <references count="2">
          <reference field="0" count="1" selected="0">
            <x v="30"/>
          </reference>
          <reference field="1" count="4">
            <x v="208"/>
            <x v="304"/>
            <x v="335"/>
            <x v="1304"/>
          </reference>
        </references>
      </pivotArea>
    </format>
    <format dxfId="1408">
      <pivotArea dataOnly="0" labelOnly="1" fieldPosition="0">
        <references count="2">
          <reference field="0" count="1" selected="0">
            <x v="29"/>
          </reference>
          <reference field="1" count="9">
            <x v="169"/>
            <x v="710"/>
            <x v="813"/>
            <x v="1127"/>
            <x v="1130"/>
            <x v="1185"/>
            <x v="1241"/>
            <x v="1248"/>
            <x v="1277"/>
          </reference>
        </references>
      </pivotArea>
    </format>
    <format dxfId="1407">
      <pivotArea dataOnly="0" labelOnly="1" fieldPosition="0">
        <references count="2">
          <reference field="0" count="1" selected="0">
            <x v="28"/>
          </reference>
          <reference field="1" count="6">
            <x v="218"/>
            <x v="643"/>
            <x v="744"/>
            <x v="758"/>
            <x v="1011"/>
            <x v="1083"/>
          </reference>
        </references>
      </pivotArea>
    </format>
    <format dxfId="1406">
      <pivotArea dataOnly="0" labelOnly="1" fieldPosition="0">
        <references count="2">
          <reference field="0" count="1" selected="0">
            <x v="27"/>
          </reference>
          <reference field="1" count="6">
            <x v="676"/>
            <x v="764"/>
            <x v="815"/>
            <x v="842"/>
            <x v="949"/>
            <x v="1204"/>
          </reference>
        </references>
      </pivotArea>
    </format>
    <format dxfId="1405">
      <pivotArea dataOnly="0" labelOnly="1" fieldPosition="0">
        <references count="2">
          <reference field="0" count="1" selected="0">
            <x v="26"/>
          </reference>
          <reference field="1" count="2">
            <x v="1098"/>
            <x v="1206"/>
          </reference>
        </references>
      </pivotArea>
    </format>
    <format dxfId="1404">
      <pivotArea dataOnly="0" labelOnly="1" fieldPosition="0">
        <references count="2">
          <reference field="0" count="1" selected="0">
            <x v="25"/>
          </reference>
          <reference field="1" count="8">
            <x v="448"/>
            <x v="683"/>
            <x v="686"/>
            <x v="909"/>
            <x v="1015"/>
            <x v="1041"/>
            <x v="1191"/>
            <x v="1276"/>
          </reference>
        </references>
      </pivotArea>
    </format>
    <format dxfId="1403">
      <pivotArea dataOnly="0" labelOnly="1" fieldPosition="0">
        <references count="2">
          <reference field="0" count="1" selected="0">
            <x v="24"/>
          </reference>
          <reference field="1" count="3">
            <x v="681"/>
            <x v="961"/>
            <x v="1260"/>
          </reference>
        </references>
      </pivotArea>
    </format>
    <format dxfId="1402">
      <pivotArea dataOnly="0" labelOnly="1" fieldPosition="0">
        <references count="2">
          <reference field="0" count="1" selected="0">
            <x v="23"/>
          </reference>
          <reference field="1" count="6">
            <x v="848"/>
            <x v="921"/>
            <x v="1009"/>
            <x v="1129"/>
            <x v="1182"/>
            <x v="1283"/>
          </reference>
        </references>
      </pivotArea>
    </format>
    <format dxfId="1401">
      <pivotArea dataOnly="0" labelOnly="1" fieldPosition="0">
        <references count="2">
          <reference field="0" count="1" selected="0">
            <x v="22"/>
          </reference>
          <reference field="1" count="4">
            <x v="130"/>
            <x v="682"/>
            <x v="684"/>
            <x v="685"/>
          </reference>
        </references>
      </pivotArea>
    </format>
    <format dxfId="1400">
      <pivotArea dataOnly="0" labelOnly="1" fieldPosition="0">
        <references count="2">
          <reference field="0" count="1" selected="0">
            <x v="21"/>
          </reference>
          <reference field="1" count="8">
            <x v="127"/>
            <x v="408"/>
            <x v="821"/>
            <x v="912"/>
            <x v="1029"/>
            <x v="1177"/>
            <x v="1252"/>
            <x v="1298"/>
          </reference>
        </references>
      </pivotArea>
    </format>
    <format dxfId="1399">
      <pivotArea dataOnly="0" labelOnly="1" fieldPosition="0">
        <references count="2">
          <reference field="0" count="1" selected="0">
            <x v="20"/>
          </reference>
          <reference field="1" count="8">
            <x v="562"/>
            <x v="679"/>
            <x v="702"/>
            <x v="766"/>
            <x v="874"/>
            <x v="933"/>
            <x v="1082"/>
            <x v="1251"/>
          </reference>
        </references>
      </pivotArea>
    </format>
    <format dxfId="1398">
      <pivotArea dataOnly="0" labelOnly="1" fieldPosition="0">
        <references count="2">
          <reference field="0" count="1" selected="0">
            <x v="19"/>
          </reference>
          <reference field="1" count="9">
            <x v="388"/>
            <x v="394"/>
            <x v="617"/>
            <x v="778"/>
            <x v="814"/>
            <x v="1056"/>
            <x v="1080"/>
            <x v="1154"/>
            <x v="1310"/>
          </reference>
        </references>
      </pivotArea>
    </format>
    <format dxfId="1397">
      <pivotArea dataOnly="0" labelOnly="1" fieldPosition="0">
        <references count="2">
          <reference field="0" count="1" selected="0">
            <x v="18"/>
          </reference>
          <reference field="1" count="4">
            <x v="380"/>
            <x v="545"/>
            <x v="937"/>
            <x v="958"/>
          </reference>
        </references>
      </pivotArea>
    </format>
    <format dxfId="1396">
      <pivotArea dataOnly="0" labelOnly="1" fieldPosition="0">
        <references count="2">
          <reference field="0" count="1" selected="0">
            <x v="17"/>
          </reference>
          <reference field="1" count="6">
            <x v="161"/>
            <x v="312"/>
            <x v="357"/>
            <x v="816"/>
            <x v="924"/>
            <x v="1199"/>
          </reference>
        </references>
      </pivotArea>
    </format>
    <format dxfId="1395">
      <pivotArea dataOnly="0" labelOnly="1" fieldPosition="0">
        <references count="2">
          <reference field="0" count="1" selected="0">
            <x v="16"/>
          </reference>
          <reference field="1" count="5">
            <x v="96"/>
            <x v="419"/>
            <x v="521"/>
            <x v="876"/>
            <x v="1147"/>
          </reference>
        </references>
      </pivotArea>
    </format>
    <format dxfId="1394">
      <pivotArea dataOnly="0" labelOnly="1" fieldPosition="0">
        <references count="2">
          <reference field="0" count="1" selected="0">
            <x v="15"/>
          </reference>
          <reference field="1" count="5">
            <x v="487"/>
            <x v="730"/>
            <x v="779"/>
            <x v="827"/>
            <x v="853"/>
          </reference>
        </references>
      </pivotArea>
    </format>
    <format dxfId="1393">
      <pivotArea dataOnly="0" labelOnly="1" fieldPosition="0">
        <references count="2">
          <reference field="0" count="1" selected="0">
            <x v="14"/>
          </reference>
          <reference field="1" count="3">
            <x v="553"/>
            <x v="574"/>
            <x v="695"/>
          </reference>
        </references>
      </pivotArea>
    </format>
    <format dxfId="1392">
      <pivotArea dataOnly="0" labelOnly="1" fieldPosition="0">
        <references count="2">
          <reference field="0" count="1" selected="0">
            <x v="13"/>
          </reference>
          <reference field="1" count="1">
            <x v="893"/>
          </reference>
        </references>
      </pivotArea>
    </format>
    <format dxfId="1391">
      <pivotArea dataOnly="0" labelOnly="1" fieldPosition="0">
        <references count="2">
          <reference field="0" count="1" selected="0">
            <x v="12"/>
          </reference>
          <reference field="1" count="1">
            <x v="731"/>
          </reference>
        </references>
      </pivotArea>
    </format>
    <format dxfId="1390">
      <pivotArea dataOnly="0" labelOnly="1" fieldPosition="0">
        <references count="2">
          <reference field="0" count="1" selected="0">
            <x v="11"/>
          </reference>
          <reference field="1" count="2">
            <x v="332"/>
            <x v="691"/>
          </reference>
        </references>
      </pivotArea>
    </format>
    <format dxfId="1389">
      <pivotArea dataOnly="0" labelOnly="1" fieldPosition="0">
        <references count="2">
          <reference field="0" count="1" selected="0">
            <x v="10"/>
          </reference>
          <reference field="1" count="2">
            <x v="310"/>
            <x v="330"/>
          </reference>
        </references>
      </pivotArea>
    </format>
    <format dxfId="1388">
      <pivotArea dataOnly="0" labelOnly="1" fieldPosition="0">
        <references count="2">
          <reference field="0" count="1" selected="0">
            <x v="9"/>
          </reference>
          <reference field="1" count="1">
            <x v="1242"/>
          </reference>
        </references>
      </pivotArea>
    </format>
    <format dxfId="1387">
      <pivotArea dataOnly="0" labelOnly="1" fieldPosition="0">
        <references count="2">
          <reference field="0" count="1" selected="0">
            <x v="8"/>
          </reference>
          <reference field="1" count="1">
            <x v="1063"/>
          </reference>
        </references>
      </pivotArea>
    </format>
    <format dxfId="1386">
      <pivotArea dataOnly="0" labelOnly="1" fieldPosition="0">
        <references count="2">
          <reference field="0" count="1" selected="0">
            <x v="7"/>
          </reference>
          <reference field="1" count="3">
            <x v="3"/>
            <x v="626"/>
            <x v="1263"/>
          </reference>
        </references>
      </pivotArea>
    </format>
    <format dxfId="1385">
      <pivotArea dataOnly="0" labelOnly="1" fieldPosition="0">
        <references count="2">
          <reference field="0" count="1" selected="0">
            <x v="6"/>
          </reference>
          <reference field="1" count="3">
            <x v="7"/>
            <x v="1234"/>
            <x v="1258"/>
          </reference>
        </references>
      </pivotArea>
    </format>
    <format dxfId="1384">
      <pivotArea dataOnly="0" labelOnly="1" fieldPosition="0">
        <references count="2">
          <reference field="0" count="1" selected="0">
            <x v="5"/>
          </reference>
          <reference field="1" count="1">
            <x v="719"/>
          </reference>
        </references>
      </pivotArea>
    </format>
    <format dxfId="1383">
      <pivotArea dataOnly="0" labelOnly="1" fieldPosition="0">
        <references count="2">
          <reference field="0" count="1" selected="0">
            <x v="4"/>
          </reference>
          <reference field="1" count="1">
            <x v="677"/>
          </reference>
        </references>
      </pivotArea>
    </format>
    <format dxfId="1382">
      <pivotArea dataOnly="0" labelOnly="1" fieldPosition="0">
        <references count="2">
          <reference field="0" count="1" selected="0">
            <x v="3"/>
          </reference>
          <reference field="1" count="2">
            <x v="569"/>
            <x v="1306"/>
          </reference>
        </references>
      </pivotArea>
    </format>
    <format dxfId="1381">
      <pivotArea dataOnly="0" labelOnly="1" fieldPosition="0">
        <references count="3">
          <reference field="0" count="1" selected="0">
            <x v="149"/>
          </reference>
          <reference field="1" count="1" selected="0">
            <x v="12"/>
          </reference>
          <reference field="2" count="1">
            <x v="27"/>
          </reference>
        </references>
      </pivotArea>
    </format>
    <format dxfId="1380">
      <pivotArea dataOnly="0" labelOnly="1" fieldPosition="0">
        <references count="3">
          <reference field="0" count="1" selected="0">
            <x v="149"/>
          </reference>
          <reference field="1" count="1" selected="0">
            <x v="18"/>
          </reference>
          <reference field="2" count="1">
            <x v="16"/>
          </reference>
        </references>
      </pivotArea>
    </format>
    <format dxfId="1379">
      <pivotArea dataOnly="0" labelOnly="1" fieldPosition="0">
        <references count="3">
          <reference field="0" count="1" selected="0">
            <x v="149"/>
          </reference>
          <reference field="1" count="1" selected="0">
            <x v="21"/>
          </reference>
          <reference field="2" count="1">
            <x v="4"/>
          </reference>
        </references>
      </pivotArea>
    </format>
    <format dxfId="1378">
      <pivotArea dataOnly="0" labelOnly="1" fieldPosition="0">
        <references count="3">
          <reference field="0" count="1" selected="0">
            <x v="149"/>
          </reference>
          <reference field="1" count="1" selected="0">
            <x v="22"/>
          </reference>
          <reference field="2" count="1">
            <x v="28"/>
          </reference>
        </references>
      </pivotArea>
    </format>
    <format dxfId="1377">
      <pivotArea dataOnly="0" labelOnly="1" fieldPosition="0">
        <references count="3">
          <reference field="0" count="1" selected="0">
            <x v="149"/>
          </reference>
          <reference field="1" count="1" selected="0">
            <x v="23"/>
          </reference>
          <reference field="2" count="1">
            <x v="23"/>
          </reference>
        </references>
      </pivotArea>
    </format>
    <format dxfId="1376">
      <pivotArea dataOnly="0" labelOnly="1" fieldPosition="0">
        <references count="3">
          <reference field="0" count="1" selected="0">
            <x v="149"/>
          </reference>
          <reference field="1" count="1" selected="0">
            <x v="24"/>
          </reference>
          <reference field="2" count="1">
            <x v="24"/>
          </reference>
        </references>
      </pivotArea>
    </format>
    <format dxfId="1375">
      <pivotArea dataOnly="0" labelOnly="1" fieldPosition="0">
        <references count="3">
          <reference field="0" count="1" selected="0">
            <x v="149"/>
          </reference>
          <reference field="1" count="1" selected="0">
            <x v="25"/>
          </reference>
          <reference field="2" count="1">
            <x v="29"/>
          </reference>
        </references>
      </pivotArea>
    </format>
    <format dxfId="1374">
      <pivotArea dataOnly="0" labelOnly="1" fieldPosition="0">
        <references count="3">
          <reference field="0" count="1" selected="0">
            <x v="149"/>
          </reference>
          <reference field="1" count="1" selected="0">
            <x v="26"/>
          </reference>
          <reference field="2" count="1">
            <x v="18"/>
          </reference>
        </references>
      </pivotArea>
    </format>
    <format dxfId="1373">
      <pivotArea dataOnly="0" labelOnly="1" fieldPosition="0">
        <references count="3">
          <reference field="0" count="1" selected="0">
            <x v="149"/>
          </reference>
          <reference field="1" count="1" selected="0">
            <x v="38"/>
          </reference>
          <reference field="2" count="1">
            <x v="8"/>
          </reference>
        </references>
      </pivotArea>
    </format>
    <format dxfId="1372">
      <pivotArea dataOnly="0" labelOnly="1" fieldPosition="0">
        <references count="3">
          <reference field="0" count="1" selected="0">
            <x v="149"/>
          </reference>
          <reference field="1" count="1" selected="0">
            <x v="54"/>
          </reference>
          <reference field="2" count="1">
            <x v="19"/>
          </reference>
        </references>
      </pivotArea>
    </format>
    <format dxfId="1371">
      <pivotArea dataOnly="0" labelOnly="1" fieldPosition="0">
        <references count="3">
          <reference field="0" count="1" selected="0">
            <x v="149"/>
          </reference>
          <reference field="1" count="1" selected="0">
            <x v="55"/>
          </reference>
          <reference field="2" count="1">
            <x v="15"/>
          </reference>
        </references>
      </pivotArea>
    </format>
    <format dxfId="1370">
      <pivotArea dataOnly="0" labelOnly="1" fieldPosition="0">
        <references count="3">
          <reference field="0" count="1" selected="0">
            <x v="149"/>
          </reference>
          <reference field="1" count="1" selected="0">
            <x v="135"/>
          </reference>
          <reference field="2" count="1">
            <x v="0"/>
          </reference>
        </references>
      </pivotArea>
    </format>
    <format dxfId="1369">
      <pivotArea dataOnly="0" labelOnly="1" fieldPosition="0">
        <references count="3">
          <reference field="0" count="1" selected="0">
            <x v="149"/>
          </reference>
          <reference field="1" count="1" selected="0">
            <x v="176"/>
          </reference>
          <reference field="2" count="1">
            <x v="17"/>
          </reference>
        </references>
      </pivotArea>
    </format>
    <format dxfId="1368">
      <pivotArea dataOnly="0" labelOnly="1" fieldPosition="0">
        <references count="3">
          <reference field="0" count="1" selected="0">
            <x v="149"/>
          </reference>
          <reference field="1" count="1" selected="0">
            <x v="210"/>
          </reference>
          <reference field="2" count="1">
            <x v="22"/>
          </reference>
        </references>
      </pivotArea>
    </format>
    <format dxfId="1367">
      <pivotArea dataOnly="0" labelOnly="1" fieldPosition="0">
        <references count="3">
          <reference field="0" count="1" selected="0">
            <x v="149"/>
          </reference>
          <reference field="1" count="1" selected="0">
            <x v="268"/>
          </reference>
          <reference field="2" count="1">
            <x v="23"/>
          </reference>
        </references>
      </pivotArea>
    </format>
    <format dxfId="1366">
      <pivotArea dataOnly="0" labelOnly="1" fieldPosition="0">
        <references count="3">
          <reference field="0" count="1" selected="0">
            <x v="149"/>
          </reference>
          <reference field="1" count="1" selected="0">
            <x v="271"/>
          </reference>
          <reference field="2" count="1">
            <x v="21"/>
          </reference>
        </references>
      </pivotArea>
    </format>
    <format dxfId="1365">
      <pivotArea dataOnly="0" labelOnly="1" fieldPosition="0">
        <references count="3">
          <reference field="0" count="1" selected="0">
            <x v="149"/>
          </reference>
          <reference field="1" count="1" selected="0">
            <x v="279"/>
          </reference>
          <reference field="2" count="1">
            <x v="4"/>
          </reference>
        </references>
      </pivotArea>
    </format>
    <format dxfId="1364">
      <pivotArea dataOnly="0" labelOnly="1" fieldPosition="0">
        <references count="3">
          <reference field="0" count="1" selected="0">
            <x v="149"/>
          </reference>
          <reference field="1" count="1" selected="0">
            <x v="281"/>
          </reference>
          <reference field="2" count="1">
            <x v="20"/>
          </reference>
        </references>
      </pivotArea>
    </format>
    <format dxfId="1363">
      <pivotArea dataOnly="0" labelOnly="1" fieldPosition="0">
        <references count="3">
          <reference field="0" count="1" selected="0">
            <x v="149"/>
          </reference>
          <reference field="1" count="1" selected="0">
            <x v="295"/>
          </reference>
          <reference field="2" count="1">
            <x v="1"/>
          </reference>
        </references>
      </pivotArea>
    </format>
    <format dxfId="1362">
      <pivotArea dataOnly="0" labelOnly="1" fieldPosition="0">
        <references count="3">
          <reference field="0" count="1" selected="0">
            <x v="149"/>
          </reference>
          <reference field="1" count="1" selected="0">
            <x v="409"/>
          </reference>
          <reference field="2" count="1">
            <x v="6"/>
          </reference>
        </references>
      </pivotArea>
    </format>
    <format dxfId="1361">
      <pivotArea dataOnly="0" labelOnly="1" fieldPosition="0">
        <references count="3">
          <reference field="0" count="1" selected="0">
            <x v="149"/>
          </reference>
          <reference field="1" count="1" selected="0">
            <x v="453"/>
          </reference>
          <reference field="2" count="1">
            <x v="10"/>
          </reference>
        </references>
      </pivotArea>
    </format>
    <format dxfId="1360">
      <pivotArea dataOnly="0" labelOnly="1" fieldPosition="0">
        <references count="3">
          <reference field="0" count="1" selected="0">
            <x v="149"/>
          </reference>
          <reference field="1" count="1" selected="0">
            <x v="488"/>
          </reference>
          <reference field="2" count="1">
            <x v="2"/>
          </reference>
        </references>
      </pivotArea>
    </format>
    <format dxfId="1359">
      <pivotArea dataOnly="0" labelOnly="1" fieldPosition="0">
        <references count="3">
          <reference field="0" count="1" selected="0">
            <x v="149"/>
          </reference>
          <reference field="1" count="1" selected="0">
            <x v="512"/>
          </reference>
          <reference field="2" count="1">
            <x v="23"/>
          </reference>
        </references>
      </pivotArea>
    </format>
    <format dxfId="1358">
      <pivotArea dataOnly="0" labelOnly="1" fieldPosition="0">
        <references count="3">
          <reference field="0" count="1" selected="0">
            <x v="149"/>
          </reference>
          <reference field="1" count="1" selected="0">
            <x v="514"/>
          </reference>
          <reference field="2" count="1">
            <x v="4"/>
          </reference>
        </references>
      </pivotArea>
    </format>
    <format dxfId="1357">
      <pivotArea dataOnly="0" labelOnly="1" fieldPosition="0">
        <references count="3">
          <reference field="0" count="1" selected="0">
            <x v="149"/>
          </reference>
          <reference field="1" count="1" selected="0">
            <x v="1058"/>
          </reference>
          <reference field="2" count="1">
            <x v="12"/>
          </reference>
        </references>
      </pivotArea>
    </format>
    <format dxfId="1356">
      <pivotArea dataOnly="0" labelOnly="1" fieldPosition="0">
        <references count="3">
          <reference field="0" count="1" selected="0">
            <x v="149"/>
          </reference>
          <reference field="1" count="1" selected="0">
            <x v="1093"/>
          </reference>
          <reference field="2" count="1">
            <x v="26"/>
          </reference>
        </references>
      </pivotArea>
    </format>
    <format dxfId="1355">
      <pivotArea dataOnly="0" labelOnly="1" fieldPosition="0">
        <references count="3">
          <reference field="0" count="1" selected="0">
            <x v="149"/>
          </reference>
          <reference field="1" count="1" selected="0">
            <x v="1174"/>
          </reference>
          <reference field="2" count="1">
            <x v="11"/>
          </reference>
        </references>
      </pivotArea>
    </format>
    <format dxfId="1354">
      <pivotArea dataOnly="0" labelOnly="1" fieldPosition="0">
        <references count="3">
          <reference field="0" count="1" selected="0">
            <x v="149"/>
          </reference>
          <reference field="1" count="1" selected="0">
            <x v="1286"/>
          </reference>
          <reference field="2" count="1">
            <x v="22"/>
          </reference>
        </references>
      </pivotArea>
    </format>
    <format dxfId="1353">
      <pivotArea dataOnly="0" labelOnly="1" fieldPosition="0">
        <references count="3">
          <reference field="0" count="1" selected="0">
            <x v="149"/>
          </reference>
          <reference field="1" count="1" selected="0">
            <x v="1299"/>
          </reference>
          <reference field="2" count="1">
            <x v="22"/>
          </reference>
        </references>
      </pivotArea>
    </format>
    <format dxfId="1352">
      <pivotArea dataOnly="0" labelOnly="1" fieldPosition="0">
        <references count="3">
          <reference field="0" count="1" selected="0">
            <x v="148"/>
          </reference>
          <reference field="1" count="1" selected="0">
            <x v="180"/>
          </reference>
          <reference field="2" count="1">
            <x v="10"/>
          </reference>
        </references>
      </pivotArea>
    </format>
    <format dxfId="1351">
      <pivotArea dataOnly="0" labelOnly="1" fieldPosition="0">
        <references count="3">
          <reference field="0" count="1" selected="0">
            <x v="148"/>
          </reference>
          <reference field="1" count="1" selected="0">
            <x v="482"/>
          </reference>
          <reference field="2" count="1">
            <x v="25"/>
          </reference>
        </references>
      </pivotArea>
    </format>
    <format dxfId="1350">
      <pivotArea dataOnly="0" labelOnly="1" fieldPosition="0">
        <references count="3">
          <reference field="0" count="1" selected="0">
            <x v="147"/>
          </reference>
          <reference field="1" count="1" selected="0">
            <x v="10"/>
          </reference>
          <reference field="2" count="1">
            <x v="4"/>
          </reference>
        </references>
      </pivotArea>
    </format>
    <format dxfId="1349">
      <pivotArea dataOnly="0" labelOnly="1" fieldPosition="0">
        <references count="3">
          <reference field="0" count="1" selected="0">
            <x v="147"/>
          </reference>
          <reference field="1" count="1" selected="0">
            <x v="27"/>
          </reference>
          <reference field="2" count="1">
            <x v="18"/>
          </reference>
        </references>
      </pivotArea>
    </format>
    <format dxfId="1348">
      <pivotArea dataOnly="0" labelOnly="1" fieldPosition="0">
        <references count="3">
          <reference field="0" count="1" selected="0">
            <x v="147"/>
          </reference>
          <reference field="1" count="1" selected="0">
            <x v="35"/>
          </reference>
          <reference field="2" count="1">
            <x v="15"/>
          </reference>
        </references>
      </pivotArea>
    </format>
    <format dxfId="1347">
      <pivotArea dataOnly="0" labelOnly="1" fieldPosition="0">
        <references count="3">
          <reference field="0" count="1" selected="0">
            <x v="147"/>
          </reference>
          <reference field="1" count="1" selected="0">
            <x v="51"/>
          </reference>
          <reference field="2" count="1">
            <x v="16"/>
          </reference>
        </references>
      </pivotArea>
    </format>
    <format dxfId="1346">
      <pivotArea dataOnly="0" labelOnly="1" fieldPosition="0">
        <references count="3">
          <reference field="0" count="1" selected="0">
            <x v="147"/>
          </reference>
          <reference field="1" count="1" selected="0">
            <x v="57"/>
          </reference>
          <reference field="2" count="1">
            <x v="29"/>
          </reference>
        </references>
      </pivotArea>
    </format>
    <format dxfId="1345">
      <pivotArea dataOnly="0" labelOnly="1" fieldPosition="0">
        <references count="3">
          <reference field="0" count="1" selected="0">
            <x v="147"/>
          </reference>
          <reference field="1" count="1" selected="0">
            <x v="215"/>
          </reference>
          <reference field="2" count="1">
            <x v="0"/>
          </reference>
        </references>
      </pivotArea>
    </format>
    <format dxfId="1344">
      <pivotArea dataOnly="0" labelOnly="1" fieldPosition="0">
        <references count="3">
          <reference field="0" count="1" selected="0">
            <x v="147"/>
          </reference>
          <reference field="1" count="1" selected="0">
            <x v="273"/>
          </reference>
          <reference field="2" count="1">
            <x v="7"/>
          </reference>
        </references>
      </pivotArea>
    </format>
    <format dxfId="1343">
      <pivotArea dataOnly="0" labelOnly="1" fieldPosition="0">
        <references count="3">
          <reference field="0" count="1" selected="0">
            <x v="147"/>
          </reference>
          <reference field="1" count="1" selected="0">
            <x v="275"/>
          </reference>
          <reference field="2" count="1">
            <x v="24"/>
          </reference>
        </references>
      </pivotArea>
    </format>
    <format dxfId="1342">
      <pivotArea dataOnly="0" labelOnly="1" fieldPosition="0">
        <references count="3">
          <reference field="0" count="1" selected="0">
            <x v="147"/>
          </reference>
          <reference field="1" count="1" selected="0">
            <x v="277"/>
          </reference>
          <reference field="2" count="1">
            <x v="7"/>
          </reference>
        </references>
      </pivotArea>
    </format>
    <format dxfId="1341">
      <pivotArea dataOnly="0" labelOnly="1" fieldPosition="0">
        <references count="3">
          <reference field="0" count="1" selected="0">
            <x v="147"/>
          </reference>
          <reference field="1" count="1" selected="0">
            <x v="399"/>
          </reference>
          <reference field="2" count="1">
            <x v="10"/>
          </reference>
        </references>
      </pivotArea>
    </format>
    <format dxfId="1340">
      <pivotArea dataOnly="0" labelOnly="1" fieldPosition="0">
        <references count="3">
          <reference field="0" count="1" selected="0">
            <x v="147"/>
          </reference>
          <reference field="1" count="1" selected="0">
            <x v="412"/>
          </reference>
          <reference field="2" count="1">
            <x v="17"/>
          </reference>
        </references>
      </pivotArea>
    </format>
    <format dxfId="1339">
      <pivotArea dataOnly="0" labelOnly="1" fieldPosition="0">
        <references count="3">
          <reference field="0" count="1" selected="0">
            <x v="147"/>
          </reference>
          <reference field="1" count="1" selected="0">
            <x v="421"/>
          </reference>
          <reference field="2" count="1">
            <x v="12"/>
          </reference>
        </references>
      </pivotArea>
    </format>
    <format dxfId="1338">
      <pivotArea dataOnly="0" labelOnly="1" fieldPosition="0">
        <references count="3">
          <reference field="0" count="1" selected="0">
            <x v="147"/>
          </reference>
          <reference field="1" count="1" selected="0">
            <x v="481"/>
          </reference>
          <reference field="2" count="1">
            <x v="23"/>
          </reference>
        </references>
      </pivotArea>
    </format>
    <format dxfId="1337">
      <pivotArea dataOnly="0" labelOnly="1" fieldPosition="0">
        <references count="3">
          <reference field="0" count="1" selected="0">
            <x v="147"/>
          </reference>
          <reference field="1" count="1" selected="0">
            <x v="497"/>
          </reference>
          <reference field="2" count="1">
            <x v="19"/>
          </reference>
        </references>
      </pivotArea>
    </format>
    <format dxfId="1336">
      <pivotArea dataOnly="0" labelOnly="1" fieldPosition="0">
        <references count="3">
          <reference field="0" count="1" selected="0">
            <x v="147"/>
          </reference>
          <reference field="1" count="1" selected="0">
            <x v="504"/>
          </reference>
          <reference field="2" count="1">
            <x v="7"/>
          </reference>
        </references>
      </pivotArea>
    </format>
    <format dxfId="1335">
      <pivotArea dataOnly="0" labelOnly="1" fieldPosition="0">
        <references count="3">
          <reference field="0" count="1" selected="0">
            <x v="147"/>
          </reference>
          <reference field="1" count="1" selected="0">
            <x v="534"/>
          </reference>
          <reference field="2" count="1">
            <x v="27"/>
          </reference>
        </references>
      </pivotArea>
    </format>
    <format dxfId="1334">
      <pivotArea dataOnly="0" labelOnly="1" fieldPosition="0">
        <references count="3">
          <reference field="0" count="1" selected="0">
            <x v="147"/>
          </reference>
          <reference field="1" count="1" selected="0">
            <x v="558"/>
          </reference>
          <reference field="2" count="1">
            <x v="23"/>
          </reference>
        </references>
      </pivotArea>
    </format>
    <format dxfId="1333">
      <pivotArea dataOnly="0" labelOnly="1" fieldPosition="0">
        <references count="3">
          <reference field="0" count="1" selected="0">
            <x v="147"/>
          </reference>
          <reference field="1" count="1" selected="0">
            <x v="585"/>
          </reference>
          <reference field="2" count="1">
            <x v="5"/>
          </reference>
        </references>
      </pivotArea>
    </format>
    <format dxfId="1332">
      <pivotArea dataOnly="0" labelOnly="1" fieldPosition="0">
        <references count="3">
          <reference field="0" count="1" selected="0">
            <x v="147"/>
          </reference>
          <reference field="1" count="1" selected="0">
            <x v="659"/>
          </reference>
          <reference field="2" count="1">
            <x v="6"/>
          </reference>
        </references>
      </pivotArea>
    </format>
    <format dxfId="1331">
      <pivotArea dataOnly="0" labelOnly="1" fieldPosition="0">
        <references count="3">
          <reference field="0" count="1" selected="0">
            <x v="147"/>
          </reference>
          <reference field="1" count="1" selected="0">
            <x v="748"/>
          </reference>
          <reference field="2" count="1">
            <x v="8"/>
          </reference>
        </references>
      </pivotArea>
    </format>
    <format dxfId="1330">
      <pivotArea dataOnly="0" labelOnly="1" fieldPosition="0">
        <references count="3">
          <reference field="0" count="1" selected="0">
            <x v="147"/>
          </reference>
          <reference field="1" count="1" selected="0">
            <x v="1101"/>
          </reference>
          <reference field="2" count="1">
            <x v="26"/>
          </reference>
        </references>
      </pivotArea>
    </format>
    <format dxfId="1329">
      <pivotArea dataOnly="0" labelOnly="1" fieldPosition="0">
        <references count="3">
          <reference field="0" count="1" selected="0">
            <x v="147"/>
          </reference>
          <reference field="1" count="1" selected="0">
            <x v="1175"/>
          </reference>
          <reference field="2" count="1">
            <x v="11"/>
          </reference>
        </references>
      </pivotArea>
    </format>
    <format dxfId="1328">
      <pivotArea dataOnly="0" labelOnly="1" fieldPosition="0">
        <references count="3">
          <reference field="0" count="1" selected="0">
            <x v="146"/>
          </reference>
          <reference field="1" count="1" selected="0">
            <x v="11"/>
          </reference>
          <reference field="2" count="1">
            <x v="23"/>
          </reference>
        </references>
      </pivotArea>
    </format>
    <format dxfId="1327">
      <pivotArea dataOnly="0" labelOnly="1" fieldPosition="0">
        <references count="3">
          <reference field="0" count="1" selected="0">
            <x v="146"/>
          </reference>
          <reference field="1" count="1" selected="0">
            <x v="31"/>
          </reference>
          <reference field="2" count="1">
            <x v="7"/>
          </reference>
        </references>
      </pivotArea>
    </format>
    <format dxfId="1326">
      <pivotArea dataOnly="0" labelOnly="1" fieldPosition="0">
        <references count="3">
          <reference field="0" count="1" selected="0">
            <x v="146"/>
          </reference>
          <reference field="1" count="1" selected="0">
            <x v="33"/>
          </reference>
          <reference field="2" count="1">
            <x v="28"/>
          </reference>
        </references>
      </pivotArea>
    </format>
    <format dxfId="1325">
      <pivotArea dataOnly="0" labelOnly="1" fieldPosition="0">
        <references count="3">
          <reference field="0" count="1" selected="0">
            <x v="146"/>
          </reference>
          <reference field="1" count="1" selected="0">
            <x v="36"/>
          </reference>
          <reference field="2" count="1">
            <x v="19"/>
          </reference>
        </references>
      </pivotArea>
    </format>
    <format dxfId="1324">
      <pivotArea dataOnly="0" labelOnly="1" fieldPosition="0">
        <references count="3">
          <reference field="0" count="1" selected="0">
            <x v="146"/>
          </reference>
          <reference field="1" count="1" selected="0">
            <x v="43"/>
          </reference>
          <reference field="2" count="1">
            <x v="29"/>
          </reference>
        </references>
      </pivotArea>
    </format>
    <format dxfId="1323">
      <pivotArea dataOnly="0" labelOnly="1" fieldPosition="0">
        <references count="3">
          <reference field="0" count="1" selected="0">
            <x v="146"/>
          </reference>
          <reference field="1" count="1" selected="0">
            <x v="58"/>
          </reference>
          <reference field="2" count="1">
            <x v="20"/>
          </reference>
        </references>
      </pivotArea>
    </format>
    <format dxfId="1322">
      <pivotArea dataOnly="0" labelOnly="1" fieldPosition="0">
        <references count="3">
          <reference field="0" count="1" selected="0">
            <x v="146"/>
          </reference>
          <reference field="1" count="1" selected="0">
            <x v="60"/>
          </reference>
          <reference field="2" count="1">
            <x v="23"/>
          </reference>
        </references>
      </pivotArea>
    </format>
    <format dxfId="1321">
      <pivotArea dataOnly="0" labelOnly="1" fieldPosition="0">
        <references count="3">
          <reference field="0" count="1" selected="0">
            <x v="146"/>
          </reference>
          <reference field="1" count="1" selected="0">
            <x v="62"/>
          </reference>
          <reference field="2" count="1">
            <x v="27"/>
          </reference>
        </references>
      </pivotArea>
    </format>
    <format dxfId="1320">
      <pivotArea dataOnly="0" labelOnly="1" fieldPosition="0">
        <references count="3">
          <reference field="0" count="1" selected="0">
            <x v="146"/>
          </reference>
          <reference field="1" count="1" selected="0">
            <x v="68"/>
          </reference>
          <reference field="2" count="1">
            <x v="16"/>
          </reference>
        </references>
      </pivotArea>
    </format>
    <format dxfId="1319">
      <pivotArea dataOnly="0" labelOnly="1" fieldPosition="0">
        <references count="3">
          <reference field="0" count="1" selected="0">
            <x v="146"/>
          </reference>
          <reference field="1" count="1" selected="0">
            <x v="160"/>
          </reference>
          <reference field="2" count="1">
            <x v="0"/>
          </reference>
        </references>
      </pivotArea>
    </format>
    <format dxfId="1318">
      <pivotArea dataOnly="0" labelOnly="1" fieldPosition="0">
        <references count="3">
          <reference field="0" count="1" selected="0">
            <x v="146"/>
          </reference>
          <reference field="1" count="1" selected="0">
            <x v="228"/>
          </reference>
          <reference field="2" count="1">
            <x v="21"/>
          </reference>
        </references>
      </pivotArea>
    </format>
    <format dxfId="1317">
      <pivotArea dataOnly="0" labelOnly="1" fieldPosition="0">
        <references count="3">
          <reference field="0" count="1" selected="0">
            <x v="146"/>
          </reference>
          <reference field="1" count="1" selected="0">
            <x v="232"/>
          </reference>
          <reference field="2" count="1">
            <x v="10"/>
          </reference>
        </references>
      </pivotArea>
    </format>
    <format dxfId="1316">
      <pivotArea dataOnly="0" labelOnly="1" fieldPosition="0">
        <references count="3">
          <reference field="0" count="1" selected="0">
            <x v="146"/>
          </reference>
          <reference field="1" count="1" selected="0">
            <x v="269"/>
          </reference>
          <reference field="2" count="1">
            <x v="23"/>
          </reference>
        </references>
      </pivotArea>
    </format>
    <format dxfId="1315">
      <pivotArea dataOnly="0" labelOnly="1" fieldPosition="0">
        <references count="3">
          <reference field="0" count="1" selected="0">
            <x v="146"/>
          </reference>
          <reference field="1" count="1" selected="0">
            <x v="296"/>
          </reference>
          <reference field="2" count="1">
            <x v="1"/>
          </reference>
        </references>
      </pivotArea>
    </format>
    <format dxfId="1314">
      <pivotArea dataOnly="0" labelOnly="1" fieldPosition="0">
        <references count="3">
          <reference field="0" count="1" selected="0">
            <x v="146"/>
          </reference>
          <reference field="1" count="1" selected="0">
            <x v="297"/>
          </reference>
          <reference field="2" count="1">
            <x v="1"/>
          </reference>
        </references>
      </pivotArea>
    </format>
    <format dxfId="1313">
      <pivotArea dataOnly="0" labelOnly="1" fieldPosition="0">
        <references count="3">
          <reference field="0" count="1" selected="0">
            <x v="146"/>
          </reference>
          <reference field="1" count="1" selected="0">
            <x v="300"/>
          </reference>
          <reference field="2" count="1">
            <x v="1"/>
          </reference>
        </references>
      </pivotArea>
    </format>
    <format dxfId="1312">
      <pivotArea dataOnly="0" labelOnly="1" fieldPosition="0">
        <references count="3">
          <reference field="0" count="1" selected="0">
            <x v="146"/>
          </reference>
          <reference field="1" count="1" selected="0">
            <x v="336"/>
          </reference>
          <reference field="2" count="1">
            <x v="1"/>
          </reference>
        </references>
      </pivotArea>
    </format>
    <format dxfId="1311">
      <pivotArea dataOnly="0" labelOnly="1" fieldPosition="0">
        <references count="3">
          <reference field="0" count="1" selected="0">
            <x v="146"/>
          </reference>
          <reference field="1" count="1" selected="0">
            <x v="422"/>
          </reference>
          <reference field="2" count="1">
            <x v="12"/>
          </reference>
        </references>
      </pivotArea>
    </format>
    <format dxfId="1310">
      <pivotArea dataOnly="0" labelOnly="1" fieldPosition="0">
        <references count="3">
          <reference field="0" count="1" selected="0">
            <x v="146"/>
          </reference>
          <reference field="1" count="1" selected="0">
            <x v="449"/>
          </reference>
          <reference field="2" count="1">
            <x v="22"/>
          </reference>
        </references>
      </pivotArea>
    </format>
    <format dxfId="1309">
      <pivotArea dataOnly="0" labelOnly="1" fieldPosition="0">
        <references count="3">
          <reference field="0" count="1" selected="0">
            <x v="146"/>
          </reference>
          <reference field="1" count="1" selected="0">
            <x v="465"/>
          </reference>
          <reference field="2" count="1">
            <x v="25"/>
          </reference>
        </references>
      </pivotArea>
    </format>
    <format dxfId="1308">
      <pivotArea dataOnly="0" labelOnly="1" fieldPosition="0">
        <references count="3">
          <reference field="0" count="1" selected="0">
            <x v="146"/>
          </reference>
          <reference field="1" count="1" selected="0">
            <x v="493"/>
          </reference>
          <reference field="2" count="1">
            <x v="25"/>
          </reference>
        </references>
      </pivotArea>
    </format>
    <format dxfId="1307">
      <pivotArea dataOnly="0" labelOnly="1" fieldPosition="0">
        <references count="3">
          <reference field="0" count="1" selected="0">
            <x v="146"/>
          </reference>
          <reference field="1" count="1" selected="0">
            <x v="494"/>
          </reference>
          <reference field="2" count="1">
            <x v="7"/>
          </reference>
        </references>
      </pivotArea>
    </format>
    <format dxfId="1306">
      <pivotArea dataOnly="0" labelOnly="1" fieldPosition="0">
        <references count="3">
          <reference field="0" count="1" selected="0">
            <x v="146"/>
          </reference>
          <reference field="1" count="1" selected="0">
            <x v="499"/>
          </reference>
          <reference field="2" count="1">
            <x v="7"/>
          </reference>
        </references>
      </pivotArea>
    </format>
    <format dxfId="1305">
      <pivotArea dataOnly="0" labelOnly="1" fieldPosition="0">
        <references count="3">
          <reference field="0" count="1" selected="0">
            <x v="146"/>
          </reference>
          <reference field="1" count="1" selected="0">
            <x v="508"/>
          </reference>
          <reference field="2" count="1">
            <x v="6"/>
          </reference>
        </references>
      </pivotArea>
    </format>
    <format dxfId="1304">
      <pivotArea dataOnly="0" labelOnly="1" fieldPosition="0">
        <references count="3">
          <reference field="0" count="1" selected="0">
            <x v="146"/>
          </reference>
          <reference field="1" count="1" selected="0">
            <x v="518"/>
          </reference>
          <reference field="2" count="1">
            <x v="23"/>
          </reference>
        </references>
      </pivotArea>
    </format>
    <format dxfId="1303">
      <pivotArea dataOnly="0" labelOnly="1" fieldPosition="0">
        <references count="3">
          <reference field="0" count="1" selected="0">
            <x v="146"/>
          </reference>
          <reference field="1" count="1" selected="0">
            <x v="556"/>
          </reference>
          <reference field="2" count="1">
            <x v="4"/>
          </reference>
        </references>
      </pivotArea>
    </format>
    <format dxfId="1302">
      <pivotArea dataOnly="0" labelOnly="1" fieldPosition="0">
        <references count="3">
          <reference field="0" count="1" selected="0">
            <x v="146"/>
          </reference>
          <reference field="1" count="1" selected="0">
            <x v="572"/>
          </reference>
          <reference field="2" count="1">
            <x v="8"/>
          </reference>
        </references>
      </pivotArea>
    </format>
    <format dxfId="1301">
      <pivotArea dataOnly="0" labelOnly="1" fieldPosition="0">
        <references count="3">
          <reference field="0" count="1" selected="0">
            <x v="146"/>
          </reference>
          <reference field="1" count="1" selected="0">
            <x v="656"/>
          </reference>
          <reference field="2" count="1">
            <x v="7"/>
          </reference>
        </references>
      </pivotArea>
    </format>
    <format dxfId="1300">
      <pivotArea dataOnly="0" labelOnly="1" fieldPosition="0">
        <references count="3">
          <reference field="0" count="1" selected="0">
            <x v="146"/>
          </reference>
          <reference field="1" count="1" selected="0">
            <x v="657"/>
          </reference>
          <reference field="2" count="1">
            <x v="7"/>
          </reference>
        </references>
      </pivotArea>
    </format>
    <format dxfId="1299">
      <pivotArea dataOnly="0" labelOnly="1" fieldPosition="0">
        <references count="3">
          <reference field="0" count="1" selected="0">
            <x v="146"/>
          </reference>
          <reference field="1" count="1" selected="0">
            <x v="658"/>
          </reference>
          <reference field="2" count="1">
            <x v="24"/>
          </reference>
        </references>
      </pivotArea>
    </format>
    <format dxfId="1298">
      <pivotArea dataOnly="0" labelOnly="1" fieldPosition="0">
        <references count="3">
          <reference field="0" count="1" selected="0">
            <x v="146"/>
          </reference>
          <reference field="1" count="1" selected="0">
            <x v="675"/>
          </reference>
          <reference field="2" count="1">
            <x v="12"/>
          </reference>
        </references>
      </pivotArea>
    </format>
    <format dxfId="1297">
      <pivotArea dataOnly="0" labelOnly="1" fieldPosition="0">
        <references count="3">
          <reference field="0" count="1" selected="0">
            <x v="146"/>
          </reference>
          <reference field="1" count="1" selected="0">
            <x v="904"/>
          </reference>
          <reference field="2" count="1">
            <x v="3"/>
          </reference>
        </references>
      </pivotArea>
    </format>
    <format dxfId="1296">
      <pivotArea dataOnly="0" labelOnly="1" fieldPosition="0">
        <references count="3">
          <reference field="0" count="1" selected="0">
            <x v="146"/>
          </reference>
          <reference field="1" count="1" selected="0">
            <x v="913"/>
          </reference>
          <reference field="2" count="1">
            <x v="2"/>
          </reference>
        </references>
      </pivotArea>
    </format>
    <format dxfId="1295">
      <pivotArea dataOnly="0" labelOnly="1" fieldPosition="0">
        <references count="3">
          <reference field="0" count="1" selected="0">
            <x v="146"/>
          </reference>
          <reference field="1" count="1" selected="0">
            <x v="965"/>
          </reference>
          <reference field="2" count="1">
            <x v="7"/>
          </reference>
        </references>
      </pivotArea>
    </format>
    <format dxfId="1294">
      <pivotArea dataOnly="0" labelOnly="1" fieldPosition="0">
        <references count="3">
          <reference field="0" count="1" selected="0">
            <x v="146"/>
          </reference>
          <reference field="1" count="1" selected="0">
            <x v="1062"/>
          </reference>
          <reference field="2" count="1">
            <x v="22"/>
          </reference>
        </references>
      </pivotArea>
    </format>
    <format dxfId="1293">
      <pivotArea dataOnly="0" labelOnly="1" fieldPosition="0">
        <references count="3">
          <reference field="0" count="1" selected="0">
            <x v="146"/>
          </reference>
          <reference field="1" count="1" selected="0">
            <x v="1102"/>
          </reference>
          <reference field="2" count="1">
            <x v="26"/>
          </reference>
        </references>
      </pivotArea>
    </format>
    <format dxfId="1292">
      <pivotArea dataOnly="0" labelOnly="1" fieldPosition="0">
        <references count="3">
          <reference field="0" count="1" selected="0">
            <x v="146"/>
          </reference>
          <reference field="1" count="1" selected="0">
            <x v="1108"/>
          </reference>
          <reference field="2" count="1">
            <x v="26"/>
          </reference>
        </references>
      </pivotArea>
    </format>
    <format dxfId="1291">
      <pivotArea dataOnly="0" labelOnly="1" fieldPosition="0">
        <references count="3">
          <reference field="0" count="1" selected="0">
            <x v="146"/>
          </reference>
          <reference field="1" count="1" selected="0">
            <x v="1239"/>
          </reference>
          <reference field="2" count="1">
            <x v="28"/>
          </reference>
        </references>
      </pivotArea>
    </format>
    <format dxfId="1290">
      <pivotArea dataOnly="0" labelOnly="1" fieldPosition="0">
        <references count="3">
          <reference field="0" count="1" selected="0">
            <x v="146"/>
          </reference>
          <reference field="1" count="1" selected="0">
            <x v="1244"/>
          </reference>
          <reference field="2" count="1">
            <x v="5"/>
          </reference>
        </references>
      </pivotArea>
    </format>
    <format dxfId="1289">
      <pivotArea dataOnly="0" labelOnly="1" fieldPosition="0">
        <references count="3">
          <reference field="0" count="1" selected="0">
            <x v="146"/>
          </reference>
          <reference field="1" count="1" selected="0">
            <x v="1265"/>
          </reference>
          <reference field="2" count="1">
            <x v="7"/>
          </reference>
        </references>
      </pivotArea>
    </format>
    <format dxfId="1288">
      <pivotArea dataOnly="0" labelOnly="1" fieldPosition="0">
        <references count="3">
          <reference field="0" count="1" selected="0">
            <x v="146"/>
          </reference>
          <reference field="1" count="1" selected="0">
            <x v="1271"/>
          </reference>
          <reference field="2" count="1">
            <x v="7"/>
          </reference>
        </references>
      </pivotArea>
    </format>
    <format dxfId="1287">
      <pivotArea dataOnly="0" labelOnly="1" fieldPosition="0">
        <references count="3">
          <reference field="0" count="1" selected="0">
            <x v="145"/>
          </reference>
          <reference field="1" count="1" selected="0">
            <x v="28"/>
          </reference>
          <reference field="2" count="1">
            <x v="8"/>
          </reference>
        </references>
      </pivotArea>
    </format>
    <format dxfId="1286">
      <pivotArea dataOnly="0" labelOnly="1" fieldPosition="0">
        <references count="3">
          <reference field="0" count="1" selected="0">
            <x v="145"/>
          </reference>
          <reference field="1" count="1" selected="0">
            <x v="37"/>
          </reference>
          <reference field="2" count="1">
            <x v="7"/>
          </reference>
        </references>
      </pivotArea>
    </format>
    <format dxfId="1285">
      <pivotArea dataOnly="0" labelOnly="1" fieldPosition="0">
        <references count="3">
          <reference field="0" count="1" selected="0">
            <x v="145"/>
          </reference>
          <reference field="1" count="1" selected="0">
            <x v="39"/>
          </reference>
          <reference field="2" count="1">
            <x v="4"/>
          </reference>
        </references>
      </pivotArea>
    </format>
    <format dxfId="1284">
      <pivotArea dataOnly="0" labelOnly="1" fieldPosition="0">
        <references count="3">
          <reference field="0" count="1" selected="0">
            <x v="145"/>
          </reference>
          <reference field="1" count="1" selected="0">
            <x v="42"/>
          </reference>
          <reference field="2" count="1">
            <x v="27"/>
          </reference>
        </references>
      </pivotArea>
    </format>
    <format dxfId="1283">
      <pivotArea dataOnly="0" labelOnly="1" fieldPosition="0">
        <references count="3">
          <reference field="0" count="1" selected="0">
            <x v="145"/>
          </reference>
          <reference field="1" count="1" selected="0">
            <x v="44"/>
          </reference>
          <reference field="2" count="1">
            <x v="19"/>
          </reference>
        </references>
      </pivotArea>
    </format>
    <format dxfId="1282">
      <pivotArea dataOnly="0" labelOnly="1" fieldPosition="0">
        <references count="3">
          <reference field="0" count="1" selected="0">
            <x v="145"/>
          </reference>
          <reference field="1" count="1" selected="0">
            <x v="45"/>
          </reference>
          <reference field="2" count="1">
            <x v="29"/>
          </reference>
        </references>
      </pivotArea>
    </format>
    <format dxfId="1281">
      <pivotArea dataOnly="0" labelOnly="1" fieldPosition="0">
        <references count="3">
          <reference field="0" count="1" selected="0">
            <x v="145"/>
          </reference>
          <reference field="1" count="1" selected="0">
            <x v="56"/>
          </reference>
          <reference field="2" count="1">
            <x v="19"/>
          </reference>
        </references>
      </pivotArea>
    </format>
    <format dxfId="1280">
      <pivotArea dataOnly="0" labelOnly="1" fieldPosition="0">
        <references count="3">
          <reference field="0" count="1" selected="0">
            <x v="145"/>
          </reference>
          <reference field="1" count="1" selected="0">
            <x v="59"/>
          </reference>
          <reference field="2" count="1">
            <x v="15"/>
          </reference>
        </references>
      </pivotArea>
    </format>
    <format dxfId="1279">
      <pivotArea dataOnly="0" labelOnly="1" fieldPosition="0">
        <references count="3">
          <reference field="0" count="1" selected="0">
            <x v="145"/>
          </reference>
          <reference field="1" count="1" selected="0">
            <x v="65"/>
          </reference>
          <reference field="2" count="1">
            <x v="23"/>
          </reference>
        </references>
      </pivotArea>
    </format>
    <format dxfId="1278">
      <pivotArea dataOnly="0" labelOnly="1" fieldPosition="0">
        <references count="3">
          <reference field="0" count="1" selected="0">
            <x v="145"/>
          </reference>
          <reference field="1" count="1" selected="0">
            <x v="144"/>
          </reference>
          <reference field="2" count="1">
            <x v="0"/>
          </reference>
        </references>
      </pivotArea>
    </format>
    <format dxfId="1277">
      <pivotArea dataOnly="0" labelOnly="1" fieldPosition="0">
        <references count="3">
          <reference field="0" count="1" selected="0">
            <x v="145"/>
          </reference>
          <reference field="1" count="1" selected="0">
            <x v="148"/>
          </reference>
          <reference field="2" count="1">
            <x v="0"/>
          </reference>
        </references>
      </pivotArea>
    </format>
    <format dxfId="1276">
      <pivotArea dataOnly="0" labelOnly="1" fieldPosition="0">
        <references count="3">
          <reference field="0" count="1" selected="0">
            <x v="145"/>
          </reference>
          <reference field="1" count="1" selected="0">
            <x v="260"/>
          </reference>
          <reference field="2" count="1">
            <x v="22"/>
          </reference>
        </references>
      </pivotArea>
    </format>
    <format dxfId="1275">
      <pivotArea dataOnly="0" labelOnly="1" fieldPosition="0">
        <references count="3">
          <reference field="0" count="1" selected="0">
            <x v="145"/>
          </reference>
          <reference field="1" count="1" selected="0">
            <x v="396"/>
          </reference>
          <reference field="2" count="1">
            <x v="10"/>
          </reference>
        </references>
      </pivotArea>
    </format>
    <format dxfId="1274">
      <pivotArea dataOnly="0" labelOnly="1" fieldPosition="0">
        <references count="3">
          <reference field="0" count="1" selected="0">
            <x v="145"/>
          </reference>
          <reference field="1" count="1" selected="0">
            <x v="401"/>
          </reference>
          <reference field="2" count="1">
            <x v="22"/>
          </reference>
        </references>
      </pivotArea>
    </format>
    <format dxfId="1273">
      <pivotArea dataOnly="0" labelOnly="1" fieldPosition="0">
        <references count="3">
          <reference field="0" count="1" selected="0">
            <x v="145"/>
          </reference>
          <reference field="1" count="1" selected="0">
            <x v="403"/>
          </reference>
          <reference field="2" count="1">
            <x v="22"/>
          </reference>
        </references>
      </pivotArea>
    </format>
    <format dxfId="1272">
      <pivotArea dataOnly="0" labelOnly="1" fieldPosition="0">
        <references count="3">
          <reference field="0" count="1" selected="0">
            <x v="145"/>
          </reference>
          <reference field="1" count="1" selected="0">
            <x v="418"/>
          </reference>
          <reference field="2" count="1">
            <x v="12"/>
          </reference>
        </references>
      </pivotArea>
    </format>
    <format dxfId="1271">
      <pivotArea dataOnly="0" labelOnly="1" fieldPosition="0">
        <references count="3">
          <reference field="0" count="1" selected="0">
            <x v="145"/>
          </reference>
          <reference field="1" count="1" selected="0">
            <x v="451"/>
          </reference>
          <reference field="2" count="1">
            <x v="22"/>
          </reference>
        </references>
      </pivotArea>
    </format>
    <format dxfId="1270">
      <pivotArea dataOnly="0" labelOnly="1" fieldPosition="0">
        <references count="3">
          <reference field="0" count="1" selected="0">
            <x v="145"/>
          </reference>
          <reference field="1" count="1" selected="0">
            <x v="462"/>
          </reference>
          <reference field="2" count="1">
            <x v="24"/>
          </reference>
        </references>
      </pivotArea>
    </format>
    <format dxfId="1269">
      <pivotArea dataOnly="0" labelOnly="1" fieldPosition="0">
        <references count="3">
          <reference field="0" count="1" selected="0">
            <x v="145"/>
          </reference>
          <reference field="1" count="1" selected="0">
            <x v="467"/>
          </reference>
          <reference field="2" count="1">
            <x v="4"/>
          </reference>
        </references>
      </pivotArea>
    </format>
    <format dxfId="1268">
      <pivotArea dataOnly="0" labelOnly="1" fieldPosition="0">
        <references count="3">
          <reference field="0" count="1" selected="0">
            <x v="145"/>
          </reference>
          <reference field="1" count="1" selected="0">
            <x v="468"/>
          </reference>
          <reference field="2" count="1">
            <x v="6"/>
          </reference>
        </references>
      </pivotArea>
    </format>
    <format dxfId="1267">
      <pivotArea dataOnly="0" labelOnly="1" fieldPosition="0">
        <references count="3">
          <reference field="0" count="1" selected="0">
            <x v="145"/>
          </reference>
          <reference field="1" count="1" selected="0">
            <x v="473"/>
          </reference>
          <reference field="2" count="1">
            <x v="25"/>
          </reference>
        </references>
      </pivotArea>
    </format>
    <format dxfId="1266">
      <pivotArea dataOnly="0" labelOnly="1" fieldPosition="0">
        <references count="3">
          <reference field="0" count="1" selected="0">
            <x v="145"/>
          </reference>
          <reference field="1" count="1" selected="0">
            <x v="480"/>
          </reference>
          <reference field="2" count="1">
            <x v="5"/>
          </reference>
        </references>
      </pivotArea>
    </format>
    <format dxfId="1265">
      <pivotArea dataOnly="0" labelOnly="1" fieldPosition="0">
        <references count="3">
          <reference field="0" count="1" selected="0">
            <x v="145"/>
          </reference>
          <reference field="1" count="1" selected="0">
            <x v="485"/>
          </reference>
          <reference field="2" count="1">
            <x v="7"/>
          </reference>
        </references>
      </pivotArea>
    </format>
    <format dxfId="1264">
      <pivotArea dataOnly="0" labelOnly="1" fieldPosition="0">
        <references count="3">
          <reference field="0" count="1" selected="0">
            <x v="145"/>
          </reference>
          <reference field="1" count="1" selected="0">
            <x v="491"/>
          </reference>
          <reference field="2" count="1">
            <x v="7"/>
          </reference>
        </references>
      </pivotArea>
    </format>
    <format dxfId="1263">
      <pivotArea dataOnly="0" labelOnly="1" fieldPosition="0">
        <references count="3">
          <reference field="0" count="1" selected="0">
            <x v="145"/>
          </reference>
          <reference field="1" count="1" selected="0">
            <x v="495"/>
          </reference>
          <reference field="2" count="1">
            <x v="7"/>
          </reference>
        </references>
      </pivotArea>
    </format>
    <format dxfId="1262">
      <pivotArea dataOnly="0" labelOnly="1" fieldPosition="0">
        <references count="3">
          <reference field="0" count="1" selected="0">
            <x v="145"/>
          </reference>
          <reference field="1" count="1" selected="0">
            <x v="502"/>
          </reference>
          <reference field="2" count="1">
            <x v="4"/>
          </reference>
        </references>
      </pivotArea>
    </format>
    <format dxfId="1261">
      <pivotArea dataOnly="0" labelOnly="1" fieldPosition="0">
        <references count="3">
          <reference field="0" count="1" selected="0">
            <x v="145"/>
          </reference>
          <reference field="1" count="1" selected="0">
            <x v="503"/>
          </reference>
          <reference field="2" count="1">
            <x v="5"/>
          </reference>
        </references>
      </pivotArea>
    </format>
    <format dxfId="1260">
      <pivotArea dataOnly="0" labelOnly="1" fieldPosition="0">
        <references count="3">
          <reference field="0" count="1" selected="0">
            <x v="145"/>
          </reference>
          <reference field="1" count="1" selected="0">
            <x v="513"/>
          </reference>
          <reference field="2" count="1">
            <x v="4"/>
          </reference>
        </references>
      </pivotArea>
    </format>
    <format dxfId="1259">
      <pivotArea dataOnly="0" labelOnly="1" fieldPosition="0">
        <references count="3">
          <reference field="0" count="1" selected="0">
            <x v="145"/>
          </reference>
          <reference field="1" count="1" selected="0">
            <x v="567"/>
          </reference>
          <reference field="2" count="1">
            <x v="17"/>
          </reference>
        </references>
      </pivotArea>
    </format>
    <format dxfId="1258">
      <pivotArea dataOnly="0" labelOnly="1" fieldPosition="0">
        <references count="3">
          <reference field="0" count="1" selected="0">
            <x v="145"/>
          </reference>
          <reference field="1" count="1" selected="0">
            <x v="603"/>
          </reference>
          <reference field="2" count="1">
            <x v="20"/>
          </reference>
        </references>
      </pivotArea>
    </format>
    <format dxfId="1257">
      <pivotArea dataOnly="0" labelOnly="1" fieldPosition="0">
        <references count="3">
          <reference field="0" count="1" selected="0">
            <x v="145"/>
          </reference>
          <reference field="1" count="1" selected="0">
            <x v="708"/>
          </reference>
          <reference field="2" count="1">
            <x v="4"/>
          </reference>
        </references>
      </pivotArea>
    </format>
    <format dxfId="1256">
      <pivotArea dataOnly="0" labelOnly="1" fieldPosition="0">
        <references count="3">
          <reference field="0" count="1" selected="0">
            <x v="145"/>
          </reference>
          <reference field="1" count="1" selected="0">
            <x v="735"/>
          </reference>
          <reference field="2" count="1">
            <x v="5"/>
          </reference>
        </references>
      </pivotArea>
    </format>
    <format dxfId="1255">
      <pivotArea dataOnly="0" labelOnly="1" fieldPosition="0">
        <references count="3">
          <reference field="0" count="1" selected="0">
            <x v="145"/>
          </reference>
          <reference field="1" count="1" selected="0">
            <x v="776"/>
          </reference>
          <reference field="2" count="1">
            <x v="4"/>
          </reference>
        </references>
      </pivotArea>
    </format>
    <format dxfId="1254">
      <pivotArea dataOnly="0" labelOnly="1" fieldPosition="0">
        <references count="3">
          <reference field="0" count="1" selected="0">
            <x v="145"/>
          </reference>
          <reference field="1" count="1" selected="0">
            <x v="897"/>
          </reference>
          <reference field="2" count="1">
            <x v="7"/>
          </reference>
        </references>
      </pivotArea>
    </format>
    <format dxfId="1253">
      <pivotArea dataOnly="0" labelOnly="1" fieldPosition="0">
        <references count="3">
          <reference field="0" count="1" selected="0">
            <x v="145"/>
          </reference>
          <reference field="1" count="1" selected="0">
            <x v="905"/>
          </reference>
          <reference field="2" count="1">
            <x v="7"/>
          </reference>
        </references>
      </pivotArea>
    </format>
    <format dxfId="1252">
      <pivotArea dataOnly="0" labelOnly="1" fieldPosition="0">
        <references count="3">
          <reference field="0" count="1" selected="0">
            <x v="145"/>
          </reference>
          <reference field="1" count="1" selected="0">
            <x v="911"/>
          </reference>
          <reference field="2" count="1">
            <x v="7"/>
          </reference>
        </references>
      </pivotArea>
    </format>
    <format dxfId="1251">
      <pivotArea dataOnly="0" labelOnly="1" fieldPosition="0">
        <references count="3">
          <reference field="0" count="1" selected="0">
            <x v="145"/>
          </reference>
          <reference field="1" count="1" selected="0">
            <x v="969"/>
          </reference>
          <reference field="2" count="1">
            <x v="28"/>
          </reference>
        </references>
      </pivotArea>
    </format>
    <format dxfId="1250">
      <pivotArea dataOnly="0" labelOnly="1" fieldPosition="0">
        <references count="3">
          <reference field="0" count="1" selected="0">
            <x v="145"/>
          </reference>
          <reference field="1" count="1" selected="0">
            <x v="1013"/>
          </reference>
          <reference field="2" count="1">
            <x v="16"/>
          </reference>
        </references>
      </pivotArea>
    </format>
    <format dxfId="1249">
      <pivotArea dataOnly="0" labelOnly="1" fieldPosition="0">
        <references count="3">
          <reference field="0" count="1" selected="0">
            <x v="145"/>
          </reference>
          <reference field="1" count="1" selected="0">
            <x v="1100"/>
          </reference>
          <reference field="2" count="1">
            <x v="26"/>
          </reference>
        </references>
      </pivotArea>
    </format>
    <format dxfId="1248">
      <pivotArea dataOnly="0" labelOnly="1" fieldPosition="0">
        <references count="3">
          <reference field="0" count="1" selected="0">
            <x v="145"/>
          </reference>
          <reference field="1" count="1" selected="0">
            <x v="1140"/>
          </reference>
          <reference field="2" count="1">
            <x v="9"/>
          </reference>
        </references>
      </pivotArea>
    </format>
    <format dxfId="1247">
      <pivotArea dataOnly="0" labelOnly="1" fieldPosition="0">
        <references count="3">
          <reference field="0" count="1" selected="0">
            <x v="145"/>
          </reference>
          <reference field="1" count="1" selected="0">
            <x v="1171"/>
          </reference>
          <reference field="2" count="1">
            <x v="11"/>
          </reference>
        </references>
      </pivotArea>
    </format>
    <format dxfId="1246">
      <pivotArea dataOnly="0" labelOnly="1" fieldPosition="0">
        <references count="3">
          <reference field="0" count="1" selected="0">
            <x v="144"/>
          </reference>
          <reference field="1" count="1" selected="0">
            <x v="111"/>
          </reference>
          <reference field="2" count="1">
            <x v="12"/>
          </reference>
        </references>
      </pivotArea>
    </format>
    <format dxfId="1245">
      <pivotArea dataOnly="0" labelOnly="1" fieldPosition="0">
        <references count="3">
          <reference field="0" count="1" selected="0">
            <x v="144"/>
          </reference>
          <reference field="1" count="1" selected="0">
            <x v="205"/>
          </reference>
          <reference field="2" count="1">
            <x v="22"/>
          </reference>
        </references>
      </pivotArea>
    </format>
    <format dxfId="1244">
      <pivotArea dataOnly="0" labelOnly="1" fieldPosition="0">
        <references count="3">
          <reference field="0" count="1" selected="0">
            <x v="144"/>
          </reference>
          <reference field="1" count="1" selected="0">
            <x v="334"/>
          </reference>
          <reference field="2" count="1">
            <x v="1"/>
          </reference>
        </references>
      </pivotArea>
    </format>
    <format dxfId="1243">
      <pivotArea dataOnly="0" labelOnly="1" fieldPosition="0">
        <references count="3">
          <reference field="0" count="1" selected="0">
            <x v="144"/>
          </reference>
          <reference field="1" count="1" selected="0">
            <x v="461"/>
          </reference>
          <reference field="2" count="1">
            <x v="19"/>
          </reference>
        </references>
      </pivotArea>
    </format>
    <format dxfId="1242">
      <pivotArea dataOnly="0" labelOnly="1" fieldPosition="0">
        <references count="3">
          <reference field="0" count="1" selected="0">
            <x v="144"/>
          </reference>
          <reference field="1" count="1" selected="0">
            <x v="464"/>
          </reference>
          <reference field="2" count="1">
            <x v="4"/>
          </reference>
        </references>
      </pivotArea>
    </format>
    <format dxfId="1241">
      <pivotArea dataOnly="0" labelOnly="1" fieldPosition="0">
        <references count="3">
          <reference field="0" count="1" selected="0">
            <x v="144"/>
          </reference>
          <reference field="1" count="1" selected="0">
            <x v="469"/>
          </reference>
          <reference field="2" count="1">
            <x v="6"/>
          </reference>
        </references>
      </pivotArea>
    </format>
    <format dxfId="1240">
      <pivotArea dataOnly="0" labelOnly="1" fieldPosition="0">
        <references count="3">
          <reference field="0" count="1" selected="0">
            <x v="144"/>
          </reference>
          <reference field="1" count="1" selected="0">
            <x v="471"/>
          </reference>
          <reference field="2" count="1">
            <x v="7"/>
          </reference>
        </references>
      </pivotArea>
    </format>
    <format dxfId="1239">
      <pivotArea dataOnly="0" labelOnly="1" fieldPosition="0">
        <references count="3">
          <reference field="0" count="1" selected="0">
            <x v="144"/>
          </reference>
          <reference field="1" count="1" selected="0">
            <x v="474"/>
          </reference>
          <reference field="2" count="1">
            <x v="2"/>
          </reference>
        </references>
      </pivotArea>
    </format>
    <format dxfId="1238">
      <pivotArea dataOnly="0" labelOnly="1" fieldPosition="0">
        <references count="3">
          <reference field="0" count="1" selected="0">
            <x v="144"/>
          </reference>
          <reference field="1" count="1" selected="0">
            <x v="478"/>
          </reference>
          <reference field="2" count="1">
            <x v="7"/>
          </reference>
        </references>
      </pivotArea>
    </format>
    <format dxfId="1237">
      <pivotArea dataOnly="0" labelOnly="1" fieldPosition="0">
        <references count="3">
          <reference field="0" count="1" selected="0">
            <x v="144"/>
          </reference>
          <reference field="1" count="1" selected="0">
            <x v="484"/>
          </reference>
          <reference field="2" count="1">
            <x v="17"/>
          </reference>
        </references>
      </pivotArea>
    </format>
    <format dxfId="1236">
      <pivotArea dataOnly="0" labelOnly="1" fieldPosition="0">
        <references count="3">
          <reference field="0" count="1" selected="0">
            <x v="144"/>
          </reference>
          <reference field="1" count="1" selected="0">
            <x v="490"/>
          </reference>
          <reference field="2" count="1">
            <x v="20"/>
          </reference>
        </references>
      </pivotArea>
    </format>
    <format dxfId="1235">
      <pivotArea dataOnly="0" labelOnly="1" fieldPosition="0">
        <references count="3">
          <reference field="0" count="1" selected="0">
            <x v="144"/>
          </reference>
          <reference field="1" count="1" selected="0">
            <x v="492"/>
          </reference>
          <reference field="2" count="1">
            <x v="5"/>
          </reference>
        </references>
      </pivotArea>
    </format>
    <format dxfId="1234">
      <pivotArea dataOnly="0" labelOnly="1" fieldPosition="0">
        <references count="3">
          <reference field="0" count="1" selected="0">
            <x v="144"/>
          </reference>
          <reference field="1" count="1" selected="0">
            <x v="500"/>
          </reference>
          <reference field="2" count="1">
            <x v="25"/>
          </reference>
        </references>
      </pivotArea>
    </format>
    <format dxfId="1233">
      <pivotArea dataOnly="0" labelOnly="1" fieldPosition="0">
        <references count="3">
          <reference field="0" count="1" selected="0">
            <x v="144"/>
          </reference>
          <reference field="1" count="1" selected="0">
            <x v="509"/>
          </reference>
          <reference field="2" count="1">
            <x v="24"/>
          </reference>
        </references>
      </pivotArea>
    </format>
    <format dxfId="1232">
      <pivotArea dataOnly="0" labelOnly="1" fieldPosition="0">
        <references count="3">
          <reference field="0" count="1" selected="0">
            <x v="144"/>
          </reference>
          <reference field="1" count="1" selected="0">
            <x v="511"/>
          </reference>
          <reference field="2" count="1">
            <x v="5"/>
          </reference>
        </references>
      </pivotArea>
    </format>
    <format dxfId="1231">
      <pivotArea dataOnly="0" labelOnly="1" fieldPosition="0">
        <references count="3">
          <reference field="0" count="1" selected="0">
            <x v="144"/>
          </reference>
          <reference field="1" count="1" selected="0">
            <x v="581"/>
          </reference>
          <reference field="2" count="1">
            <x v="7"/>
          </reference>
        </references>
      </pivotArea>
    </format>
    <format dxfId="1230">
      <pivotArea dataOnly="0" labelOnly="1" fieldPosition="0">
        <references count="3">
          <reference field="0" count="1" selected="0">
            <x v="144"/>
          </reference>
          <reference field="1" count="1" selected="0">
            <x v="583"/>
          </reference>
          <reference field="2" count="1">
            <x v="27"/>
          </reference>
        </references>
      </pivotArea>
    </format>
    <format dxfId="1229">
      <pivotArea dataOnly="0" labelOnly="1" fieldPosition="0">
        <references count="3">
          <reference field="0" count="1" selected="0">
            <x v="144"/>
          </reference>
          <reference field="1" count="1" selected="0">
            <x v="701"/>
          </reference>
          <reference field="2" count="1">
            <x v="28"/>
          </reference>
        </references>
      </pivotArea>
    </format>
    <format dxfId="1228">
      <pivotArea dataOnly="0" labelOnly="1" fieldPosition="0">
        <references count="3">
          <reference field="0" count="1" selected="0">
            <x v="144"/>
          </reference>
          <reference field="1" count="1" selected="0">
            <x v="832"/>
          </reference>
          <reference field="2" count="1">
            <x v="5"/>
          </reference>
        </references>
      </pivotArea>
    </format>
    <format dxfId="1227">
      <pivotArea dataOnly="0" labelOnly="1" fieldPosition="0">
        <references count="3">
          <reference field="0" count="1" selected="0">
            <x v="144"/>
          </reference>
          <reference field="1" count="1" selected="0">
            <x v="834"/>
          </reference>
          <reference field="2" count="1">
            <x v="21"/>
          </reference>
        </references>
      </pivotArea>
    </format>
    <format dxfId="1226">
      <pivotArea dataOnly="0" labelOnly="1" fieldPosition="0">
        <references count="3">
          <reference field="0" count="1" selected="0">
            <x v="144"/>
          </reference>
          <reference field="1" count="1" selected="0">
            <x v="906"/>
          </reference>
          <reference field="2" count="1">
            <x v="7"/>
          </reference>
        </references>
      </pivotArea>
    </format>
    <format dxfId="1225">
      <pivotArea dataOnly="0" labelOnly="1" fieldPosition="0">
        <references count="3">
          <reference field="0" count="1" selected="0">
            <x v="144"/>
          </reference>
          <reference field="1" count="1" selected="0">
            <x v="947"/>
          </reference>
          <reference field="2" count="1">
            <x v="7"/>
          </reference>
        </references>
      </pivotArea>
    </format>
    <format dxfId="1224">
      <pivotArea dataOnly="0" labelOnly="1" fieldPosition="0">
        <references count="3">
          <reference field="0" count="1" selected="0">
            <x v="144"/>
          </reference>
          <reference field="1" count="1" selected="0">
            <x v="1160"/>
          </reference>
          <reference field="2" count="1">
            <x v="9"/>
          </reference>
        </references>
      </pivotArea>
    </format>
    <format dxfId="1223">
      <pivotArea dataOnly="0" labelOnly="1" fieldPosition="0">
        <references count="3">
          <reference field="0" count="1" selected="0">
            <x v="144"/>
          </reference>
          <reference field="1" count="1" selected="0">
            <x v="1170"/>
          </reference>
          <reference field="2" count="1">
            <x v="11"/>
          </reference>
        </references>
      </pivotArea>
    </format>
    <format dxfId="1222">
      <pivotArea dataOnly="0" labelOnly="1" fieldPosition="0">
        <references count="3">
          <reference field="0" count="1" selected="0">
            <x v="144"/>
          </reference>
          <reference field="1" count="1" selected="0">
            <x v="1292"/>
          </reference>
          <reference field="2" count="1">
            <x v="22"/>
          </reference>
        </references>
      </pivotArea>
    </format>
    <format dxfId="1221">
      <pivotArea dataOnly="0" labelOnly="1" fieldPosition="0">
        <references count="3">
          <reference field="0" count="1" selected="0">
            <x v="143"/>
          </reference>
          <reference field="1" count="1" selected="0">
            <x v="8"/>
          </reference>
          <reference field="2" count="1">
            <x v="23"/>
          </reference>
        </references>
      </pivotArea>
    </format>
    <format dxfId="1220">
      <pivotArea dataOnly="0" labelOnly="1" fieldPosition="0">
        <references count="3">
          <reference field="0" count="1" selected="0">
            <x v="143"/>
          </reference>
          <reference field="1" count="1" selected="0">
            <x v="143"/>
          </reference>
          <reference field="2" count="1">
            <x v="0"/>
          </reference>
        </references>
      </pivotArea>
    </format>
    <format dxfId="1219">
      <pivotArea dataOnly="0" labelOnly="1" fieldPosition="0">
        <references count="3">
          <reference field="0" count="1" selected="0">
            <x v="143"/>
          </reference>
          <reference field="1" count="1" selected="0">
            <x v="179"/>
          </reference>
          <reference field="2" count="1">
            <x v="10"/>
          </reference>
        </references>
      </pivotArea>
    </format>
    <format dxfId="1218">
      <pivotArea dataOnly="0" labelOnly="1" fieldPosition="0">
        <references count="3">
          <reference field="0" count="1" selected="0">
            <x v="143"/>
          </reference>
          <reference field="1" count="1" selected="0">
            <x v="183"/>
          </reference>
          <reference field="2" count="1">
            <x v="4"/>
          </reference>
        </references>
      </pivotArea>
    </format>
    <format dxfId="1217">
      <pivotArea dataOnly="0" labelOnly="1" fieldPosition="0">
        <references count="3">
          <reference field="0" count="1" selected="0">
            <x v="143"/>
          </reference>
          <reference field="1" count="1" selected="0">
            <x v="294"/>
          </reference>
          <reference field="2" count="1">
            <x v="1"/>
          </reference>
        </references>
      </pivotArea>
    </format>
    <format dxfId="1216">
      <pivotArea dataOnly="0" labelOnly="1" fieldPosition="0">
        <references count="3">
          <reference field="0" count="1" selected="0">
            <x v="143"/>
          </reference>
          <reference field="1" count="1" selected="0">
            <x v="314"/>
          </reference>
          <reference field="2" count="1">
            <x v="1"/>
          </reference>
        </references>
      </pivotArea>
    </format>
    <format dxfId="1215">
      <pivotArea dataOnly="0" labelOnly="1" fieldPosition="0">
        <references count="3">
          <reference field="0" count="1" selected="0">
            <x v="143"/>
          </reference>
          <reference field="1" count="1" selected="0">
            <x v="466"/>
          </reference>
          <reference field="2" count="1">
            <x v="7"/>
          </reference>
        </references>
      </pivotArea>
    </format>
    <format dxfId="1214">
      <pivotArea dataOnly="0" labelOnly="1" fieldPosition="0">
        <references count="3">
          <reference field="0" count="1" selected="0">
            <x v="143"/>
          </reference>
          <reference field="1" count="1" selected="0">
            <x v="489"/>
          </reference>
          <reference field="2" count="1">
            <x v="27"/>
          </reference>
        </references>
      </pivotArea>
    </format>
    <format dxfId="1213">
      <pivotArea dataOnly="0" labelOnly="1" fieldPosition="0">
        <references count="3">
          <reference field="0" count="1" selected="0">
            <x v="143"/>
          </reference>
          <reference field="1" count="1" selected="0">
            <x v="810"/>
          </reference>
          <reference field="2" count="1">
            <x v="24"/>
          </reference>
        </references>
      </pivotArea>
    </format>
    <format dxfId="1212">
      <pivotArea dataOnly="0" labelOnly="1" fieldPosition="0">
        <references count="3">
          <reference field="0" count="1" selected="0">
            <x v="143"/>
          </reference>
          <reference field="1" count="1" selected="0">
            <x v="844"/>
          </reference>
          <reference field="2" count="1">
            <x v="17"/>
          </reference>
        </references>
      </pivotArea>
    </format>
    <format dxfId="1211">
      <pivotArea dataOnly="0" labelOnly="1" fieldPosition="0">
        <references count="3">
          <reference field="0" count="1" selected="0">
            <x v="143"/>
          </reference>
          <reference field="1" count="1" selected="0">
            <x v="952"/>
          </reference>
          <reference field="2" count="1">
            <x v="8"/>
          </reference>
        </references>
      </pivotArea>
    </format>
    <format dxfId="1210">
      <pivotArea dataOnly="0" labelOnly="1" fieldPosition="0">
        <references count="3">
          <reference field="0" count="1" selected="0">
            <x v="143"/>
          </reference>
          <reference field="1" count="1" selected="0">
            <x v="1091"/>
          </reference>
          <reference field="2" count="1">
            <x v="26"/>
          </reference>
        </references>
      </pivotArea>
    </format>
    <format dxfId="1209">
      <pivotArea dataOnly="0" labelOnly="1" fieldPosition="0">
        <references count="3">
          <reference field="0" count="1" selected="0">
            <x v="142"/>
          </reference>
          <reference field="1" count="1" selected="0">
            <x v="13"/>
          </reference>
          <reference field="2" count="1">
            <x v="24"/>
          </reference>
        </references>
      </pivotArea>
    </format>
    <format dxfId="1208">
      <pivotArea dataOnly="0" labelOnly="1" fieldPosition="0">
        <references count="3">
          <reference field="0" count="1" selected="0">
            <x v="142"/>
          </reference>
          <reference field="1" count="1" selected="0">
            <x v="14"/>
          </reference>
          <reference field="2" count="1">
            <x v="4"/>
          </reference>
        </references>
      </pivotArea>
    </format>
    <format dxfId="1207">
      <pivotArea dataOnly="0" labelOnly="1" fieldPosition="0">
        <references count="3">
          <reference field="0" count="1" selected="0">
            <x v="142"/>
          </reference>
          <reference field="1" count="1" selected="0">
            <x v="19"/>
          </reference>
          <reference field="2" count="1">
            <x v="16"/>
          </reference>
        </references>
      </pivotArea>
    </format>
    <format dxfId="1206">
      <pivotArea dataOnly="0" labelOnly="1" fieldPosition="0">
        <references count="3">
          <reference field="0" count="1" selected="0">
            <x v="142"/>
          </reference>
          <reference field="1" count="1" selected="0">
            <x v="40"/>
          </reference>
          <reference field="2" count="1">
            <x v="15"/>
          </reference>
        </references>
      </pivotArea>
    </format>
    <format dxfId="1205">
      <pivotArea dataOnly="0" labelOnly="1" fieldPosition="0">
        <references count="3">
          <reference field="0" count="1" selected="0">
            <x v="142"/>
          </reference>
          <reference field="1" count="1" selected="0">
            <x v="47"/>
          </reference>
          <reference field="2" count="1">
            <x v="7"/>
          </reference>
        </references>
      </pivotArea>
    </format>
    <format dxfId="1204">
      <pivotArea dataOnly="0" labelOnly="1" fieldPosition="0">
        <references count="3">
          <reference field="0" count="1" selected="0">
            <x v="142"/>
          </reference>
          <reference field="1" count="1" selected="0">
            <x v="52"/>
          </reference>
          <reference field="2" count="1">
            <x v="4"/>
          </reference>
        </references>
      </pivotArea>
    </format>
    <format dxfId="1203">
      <pivotArea dataOnly="0" labelOnly="1" fieldPosition="0">
        <references count="3">
          <reference field="0" count="1" selected="0">
            <x v="142"/>
          </reference>
          <reference field="1" count="1" selected="0">
            <x v="128"/>
          </reference>
          <reference field="2" count="1">
            <x v="10"/>
          </reference>
        </references>
      </pivotArea>
    </format>
    <format dxfId="1202">
      <pivotArea dataOnly="0" labelOnly="1" fieldPosition="0">
        <references count="3">
          <reference field="0" count="1" selected="0">
            <x v="142"/>
          </reference>
          <reference field="1" count="1" selected="0">
            <x v="146"/>
          </reference>
          <reference field="2" count="1">
            <x v="0"/>
          </reference>
        </references>
      </pivotArea>
    </format>
    <format dxfId="1201">
      <pivotArea dataOnly="0" labelOnly="1" fieldPosition="0">
        <references count="3">
          <reference field="0" count="1" selected="0">
            <x v="142"/>
          </reference>
          <reference field="1" count="1" selected="0">
            <x v="178"/>
          </reference>
          <reference field="2" count="1">
            <x v="26"/>
          </reference>
        </references>
      </pivotArea>
    </format>
    <format dxfId="1200">
      <pivotArea dataOnly="0" labelOnly="1" fieldPosition="0">
        <references count="3">
          <reference field="0" count="1" selected="0">
            <x v="142"/>
          </reference>
          <reference field="1" count="1" selected="0">
            <x v="264"/>
          </reference>
          <reference field="2" count="1">
            <x v="7"/>
          </reference>
        </references>
      </pivotArea>
    </format>
    <format dxfId="1199">
      <pivotArea dataOnly="0" labelOnly="1" fieldPosition="0">
        <references count="3">
          <reference field="0" count="1" selected="0">
            <x v="142"/>
          </reference>
          <reference field="1" count="1" selected="0">
            <x v="266"/>
          </reference>
          <reference field="2" count="1">
            <x v="7"/>
          </reference>
        </references>
      </pivotArea>
    </format>
    <format dxfId="1198">
      <pivotArea dataOnly="0" labelOnly="1" fieldPosition="0">
        <references count="3">
          <reference field="0" count="1" selected="0">
            <x v="142"/>
          </reference>
          <reference field="1" count="1" selected="0">
            <x v="267"/>
          </reference>
          <reference field="2" count="1">
            <x v="21"/>
          </reference>
        </references>
      </pivotArea>
    </format>
    <format dxfId="1197">
      <pivotArea dataOnly="0" labelOnly="1" fieldPosition="0">
        <references count="3">
          <reference field="0" count="1" selected="0">
            <x v="142"/>
          </reference>
          <reference field="1" count="1" selected="0">
            <x v="270"/>
          </reference>
          <reference field="2" count="1">
            <x v="7"/>
          </reference>
        </references>
      </pivotArea>
    </format>
    <format dxfId="1196">
      <pivotArea dataOnly="0" labelOnly="1" fieldPosition="0">
        <references count="3">
          <reference field="0" count="1" selected="0">
            <x v="142"/>
          </reference>
          <reference field="1" count="1" selected="0">
            <x v="274"/>
          </reference>
          <reference field="2" count="1">
            <x v="7"/>
          </reference>
        </references>
      </pivotArea>
    </format>
    <format dxfId="1195">
      <pivotArea dataOnly="0" labelOnly="1" fieldPosition="0">
        <references count="3">
          <reference field="0" count="1" selected="0">
            <x v="142"/>
          </reference>
          <reference field="1" count="1" selected="0">
            <x v="276"/>
          </reference>
          <reference field="2" count="1">
            <x v="6"/>
          </reference>
        </references>
      </pivotArea>
    </format>
    <format dxfId="1194">
      <pivotArea dataOnly="0" labelOnly="1" fieldPosition="0">
        <references count="3">
          <reference field="0" count="1" selected="0">
            <x v="142"/>
          </reference>
          <reference field="1" count="1" selected="0">
            <x v="278"/>
          </reference>
          <reference field="2" count="1">
            <x v="7"/>
          </reference>
        </references>
      </pivotArea>
    </format>
    <format dxfId="1193">
      <pivotArea dataOnly="0" labelOnly="1" fieldPosition="0">
        <references count="3">
          <reference field="0" count="1" selected="0">
            <x v="142"/>
          </reference>
          <reference field="1" count="1" selected="0">
            <x v="280"/>
          </reference>
          <reference field="2" count="1">
            <x v="25"/>
          </reference>
        </references>
      </pivotArea>
    </format>
    <format dxfId="1192">
      <pivotArea dataOnly="0" labelOnly="1" fieldPosition="0">
        <references count="3">
          <reference field="0" count="1" selected="0">
            <x v="142"/>
          </reference>
          <reference field="1" count="1" selected="0">
            <x v="457"/>
          </reference>
          <reference field="2" count="1">
            <x v="12"/>
          </reference>
        </references>
      </pivotArea>
    </format>
    <format dxfId="1191">
      <pivotArea dataOnly="0" labelOnly="1" fieldPosition="0">
        <references count="3">
          <reference field="0" count="1" selected="0">
            <x v="142"/>
          </reference>
          <reference field="1" count="1" selected="0">
            <x v="459"/>
          </reference>
          <reference field="2" count="1">
            <x v="7"/>
          </reference>
        </references>
      </pivotArea>
    </format>
    <format dxfId="1190">
      <pivotArea dataOnly="0" labelOnly="1" fieldPosition="0">
        <references count="3">
          <reference field="0" count="1" selected="0">
            <x v="142"/>
          </reference>
          <reference field="1" count="1" selected="0">
            <x v="483"/>
          </reference>
          <reference field="2" count="1">
            <x v="7"/>
          </reference>
        </references>
      </pivotArea>
    </format>
    <format dxfId="1189">
      <pivotArea dataOnly="0" labelOnly="1" fieldPosition="0">
        <references count="3">
          <reference field="0" count="1" selected="0">
            <x v="142"/>
          </reference>
          <reference field="1" count="1" selected="0">
            <x v="486"/>
          </reference>
          <reference field="2" count="1">
            <x v="20"/>
          </reference>
        </references>
      </pivotArea>
    </format>
    <format dxfId="1188">
      <pivotArea dataOnly="0" labelOnly="1" fieldPosition="0">
        <references count="3">
          <reference field="0" count="1" selected="0">
            <x v="142"/>
          </reference>
          <reference field="1" count="1" selected="0">
            <x v="505"/>
          </reference>
          <reference field="2" count="1">
            <x v="29"/>
          </reference>
        </references>
      </pivotArea>
    </format>
    <format dxfId="1187">
      <pivotArea dataOnly="0" labelOnly="1" fieldPosition="0">
        <references count="3">
          <reference field="0" count="1" selected="0">
            <x v="142"/>
          </reference>
          <reference field="1" count="1" selected="0">
            <x v="520"/>
          </reference>
          <reference field="2" count="1">
            <x v="22"/>
          </reference>
        </references>
      </pivotArea>
    </format>
    <format dxfId="1186">
      <pivotArea dataOnly="0" labelOnly="1" fieldPosition="0">
        <references count="3">
          <reference field="0" count="1" selected="0">
            <x v="142"/>
          </reference>
          <reference field="1" count="1" selected="0">
            <x v="542"/>
          </reference>
          <reference field="2" count="1">
            <x v="4"/>
          </reference>
        </references>
      </pivotArea>
    </format>
    <format dxfId="1185">
      <pivotArea dataOnly="0" labelOnly="1" fieldPosition="0">
        <references count="3">
          <reference field="0" count="1" selected="0">
            <x v="142"/>
          </reference>
          <reference field="1" count="1" selected="0">
            <x v="819"/>
          </reference>
          <reference field="2" count="1">
            <x v="4"/>
          </reference>
        </references>
      </pivotArea>
    </format>
    <format dxfId="1184">
      <pivotArea dataOnly="0" labelOnly="1" fieldPosition="0">
        <references count="3">
          <reference field="0" count="1" selected="0">
            <x v="142"/>
          </reference>
          <reference field="1" count="1" selected="0">
            <x v="940"/>
          </reference>
          <reference field="2" count="1">
            <x v="2"/>
          </reference>
        </references>
      </pivotArea>
    </format>
    <format dxfId="1183">
      <pivotArea dataOnly="0" labelOnly="1" fieldPosition="0">
        <references count="3">
          <reference field="0" count="1" selected="0">
            <x v="142"/>
          </reference>
          <reference field="1" count="1" selected="0">
            <x v="971"/>
          </reference>
          <reference field="2" count="1">
            <x v="4"/>
          </reference>
        </references>
      </pivotArea>
    </format>
    <format dxfId="1182">
      <pivotArea dataOnly="0" labelOnly="1" fieldPosition="0">
        <references count="3">
          <reference field="0" count="1" selected="0">
            <x v="142"/>
          </reference>
          <reference field="1" count="1" selected="0">
            <x v="973"/>
          </reference>
          <reference field="2" count="1">
            <x v="19"/>
          </reference>
        </references>
      </pivotArea>
    </format>
    <format dxfId="1181">
      <pivotArea dataOnly="0" labelOnly="1" fieldPosition="0">
        <references count="3">
          <reference field="0" count="1" selected="0">
            <x v="142"/>
          </reference>
          <reference field="1" count="1" selected="0">
            <x v="1017"/>
          </reference>
          <reference field="2" count="1">
            <x v="27"/>
          </reference>
        </references>
      </pivotArea>
    </format>
    <format dxfId="1180">
      <pivotArea dataOnly="0" labelOnly="1" fieldPosition="0">
        <references count="3">
          <reference field="0" count="1" selected="0">
            <x v="142"/>
          </reference>
          <reference field="1" count="1" selected="0">
            <x v="1020"/>
          </reference>
          <reference field="2" count="1">
            <x v="5"/>
          </reference>
        </references>
      </pivotArea>
    </format>
    <format dxfId="1179">
      <pivotArea dataOnly="0" labelOnly="1" fieldPosition="0">
        <references count="3">
          <reference field="0" count="1" selected="0">
            <x v="142"/>
          </reference>
          <reference field="1" count="1" selected="0">
            <x v="1052"/>
          </reference>
          <reference field="2" count="1">
            <x v="17"/>
          </reference>
        </references>
      </pivotArea>
    </format>
    <format dxfId="1178">
      <pivotArea dataOnly="0" labelOnly="1" fieldPosition="0">
        <references count="3">
          <reference field="0" count="1" selected="0">
            <x v="142"/>
          </reference>
          <reference field="1" count="1" selected="0">
            <x v="1144"/>
          </reference>
          <reference field="2" count="1">
            <x v="9"/>
          </reference>
        </references>
      </pivotArea>
    </format>
    <format dxfId="1177">
      <pivotArea dataOnly="0" labelOnly="1" fieldPosition="0">
        <references count="3">
          <reference field="0" count="1" selected="0">
            <x v="142"/>
          </reference>
          <reference field="1" count="1" selected="0">
            <x v="1173"/>
          </reference>
          <reference field="2" count="1">
            <x v="11"/>
          </reference>
        </references>
      </pivotArea>
    </format>
    <format dxfId="1176">
      <pivotArea dataOnly="0" labelOnly="1" fieldPosition="0">
        <references count="3">
          <reference field="0" count="1" selected="0">
            <x v="142"/>
          </reference>
          <reference field="1" count="1" selected="0">
            <x v="1257"/>
          </reference>
          <reference field="2" count="1">
            <x v="7"/>
          </reference>
        </references>
      </pivotArea>
    </format>
    <format dxfId="1175">
      <pivotArea dataOnly="0" labelOnly="1" fieldPosition="0">
        <references count="3">
          <reference field="0" count="1" selected="0">
            <x v="142"/>
          </reference>
          <reference field="1" count="1" selected="0">
            <x v="1287"/>
          </reference>
          <reference field="2" count="1">
            <x v="22"/>
          </reference>
        </references>
      </pivotArea>
    </format>
    <format dxfId="1174">
      <pivotArea dataOnly="0" labelOnly="1" fieldPosition="0">
        <references count="3">
          <reference field="0" count="1" selected="0">
            <x v="142"/>
          </reference>
          <reference field="1" count="1" selected="0">
            <x v="1295"/>
          </reference>
          <reference field="2" count="1">
            <x v="22"/>
          </reference>
        </references>
      </pivotArea>
    </format>
    <format dxfId="1173">
      <pivotArea dataOnly="0" labelOnly="1" fieldPosition="0">
        <references count="3">
          <reference field="0" count="1" selected="0">
            <x v="141"/>
          </reference>
          <reference field="1" count="1" selected="0">
            <x v="186"/>
          </reference>
          <reference field="2" count="1">
            <x v="19"/>
          </reference>
        </references>
      </pivotArea>
    </format>
    <format dxfId="1172">
      <pivotArea dataOnly="0" labelOnly="1" fieldPosition="0">
        <references count="3">
          <reference field="0" count="1" selected="0">
            <x v="141"/>
          </reference>
          <reference field="1" count="1" selected="0">
            <x v="770"/>
          </reference>
          <reference field="2" count="1">
            <x v="27"/>
          </reference>
        </references>
      </pivotArea>
    </format>
    <format dxfId="1171">
      <pivotArea dataOnly="0" labelOnly="1" fieldPosition="0">
        <references count="3">
          <reference field="0" count="1" selected="0">
            <x v="140"/>
          </reference>
          <reference field="1" count="1" selected="0">
            <x v="15"/>
          </reference>
          <reference field="2" count="1">
            <x v="18"/>
          </reference>
        </references>
      </pivotArea>
    </format>
    <format dxfId="1170">
      <pivotArea dataOnly="0" labelOnly="1" fieldPosition="0">
        <references count="3">
          <reference field="0" count="1" selected="0">
            <x v="140"/>
          </reference>
          <reference field="1" count="1" selected="0">
            <x v="32"/>
          </reference>
          <reference field="2" count="1">
            <x v="23"/>
          </reference>
        </references>
      </pivotArea>
    </format>
    <format dxfId="1169">
      <pivotArea dataOnly="0" labelOnly="1" fieldPosition="0">
        <references count="3">
          <reference field="0" count="1" selected="0">
            <x v="140"/>
          </reference>
          <reference field="1" count="1" selected="0">
            <x v="115"/>
          </reference>
          <reference field="2" count="1">
            <x v="12"/>
          </reference>
        </references>
      </pivotArea>
    </format>
    <format dxfId="1168">
      <pivotArea dataOnly="0" labelOnly="1" fieldPosition="0">
        <references count="3">
          <reference field="0" count="1" selected="0">
            <x v="140"/>
          </reference>
          <reference field="1" count="1" selected="0">
            <x v="134"/>
          </reference>
          <reference field="2" count="1">
            <x v="0"/>
          </reference>
        </references>
      </pivotArea>
    </format>
    <format dxfId="1167">
      <pivotArea dataOnly="0" labelOnly="1" fieldPosition="0">
        <references count="3">
          <reference field="0" count="1" selected="0">
            <x v="140"/>
          </reference>
          <reference field="1" count="1" selected="0">
            <x v="213"/>
          </reference>
          <reference field="2" count="1">
            <x v="21"/>
          </reference>
        </references>
      </pivotArea>
    </format>
    <format dxfId="1166">
      <pivotArea dataOnly="0" labelOnly="1" fieldPosition="0">
        <references count="3">
          <reference field="0" count="1" selected="0">
            <x v="140"/>
          </reference>
          <reference field="1" count="1" selected="0">
            <x v="341"/>
          </reference>
          <reference field="2" count="1">
            <x v="1"/>
          </reference>
        </references>
      </pivotArea>
    </format>
    <format dxfId="1165">
      <pivotArea dataOnly="0" labelOnly="1" fieldPosition="0">
        <references count="3">
          <reference field="0" count="1" selected="0">
            <x v="140"/>
          </reference>
          <reference field="1" count="1" selected="0">
            <x v="370"/>
          </reference>
          <reference field="2" count="1">
            <x v="17"/>
          </reference>
        </references>
      </pivotArea>
    </format>
    <format dxfId="1164">
      <pivotArea dataOnly="0" labelOnly="1" fieldPosition="0">
        <references count="3">
          <reference field="0" count="1" selected="0">
            <x v="140"/>
          </reference>
          <reference field="1" count="1" selected="0">
            <x v="404"/>
          </reference>
          <reference field="2" count="1">
            <x v="22"/>
          </reference>
        </references>
      </pivotArea>
    </format>
    <format dxfId="1163">
      <pivotArea dataOnly="0" labelOnly="1" fieldPosition="0">
        <references count="3">
          <reference field="0" count="1" selected="0">
            <x v="140"/>
          </reference>
          <reference field="1" count="1" selected="0">
            <x v="411"/>
          </reference>
          <reference field="2" count="1">
            <x v="19"/>
          </reference>
        </references>
      </pivotArea>
    </format>
    <format dxfId="1162">
      <pivotArea dataOnly="0" labelOnly="1" fieldPosition="0">
        <references count="3">
          <reference field="0" count="1" selected="0">
            <x v="140"/>
          </reference>
          <reference field="1" count="1" selected="0">
            <x v="510"/>
          </reference>
          <reference field="2" count="1">
            <x v="23"/>
          </reference>
        </references>
      </pivotArea>
    </format>
    <format dxfId="1161">
      <pivotArea dataOnly="0" labelOnly="1" fieldPosition="0">
        <references count="3">
          <reference field="0" count="1" selected="0">
            <x v="140"/>
          </reference>
          <reference field="1" count="1" selected="0">
            <x v="533"/>
          </reference>
          <reference field="2" count="1">
            <x v="27"/>
          </reference>
        </references>
      </pivotArea>
    </format>
    <format dxfId="1160">
      <pivotArea dataOnly="0" labelOnly="1" fieldPosition="0">
        <references count="3">
          <reference field="0" count="1" selected="0">
            <x v="140"/>
          </reference>
          <reference field="1" count="1" selected="0">
            <x v="557"/>
          </reference>
          <reference field="2" count="1">
            <x v="23"/>
          </reference>
        </references>
      </pivotArea>
    </format>
    <format dxfId="1159">
      <pivotArea dataOnly="0" labelOnly="1" fieldPosition="0">
        <references count="3">
          <reference field="0" count="1" selected="0">
            <x v="140"/>
          </reference>
          <reference field="1" count="1" selected="0">
            <x v="714"/>
          </reference>
          <reference field="2" count="1">
            <x v="7"/>
          </reference>
        </references>
      </pivotArea>
    </format>
    <format dxfId="1158">
      <pivotArea dataOnly="0" labelOnly="1" fieldPosition="0">
        <references count="3">
          <reference field="0" count="1" selected="0">
            <x v="140"/>
          </reference>
          <reference field="1" count="1" selected="0">
            <x v="727"/>
          </reference>
          <reference field="2" count="1">
            <x v="21"/>
          </reference>
        </references>
      </pivotArea>
    </format>
    <format dxfId="1157">
      <pivotArea dataOnly="0" labelOnly="1" fieldPosition="0">
        <references count="3">
          <reference field="0" count="1" selected="0">
            <x v="140"/>
          </reference>
          <reference field="1" count="1" selected="0">
            <x v="740"/>
          </reference>
          <reference field="2" count="1">
            <x v="7"/>
          </reference>
        </references>
      </pivotArea>
    </format>
    <format dxfId="1156">
      <pivotArea dataOnly="0" labelOnly="1" fieldPosition="0">
        <references count="3">
          <reference field="0" count="1" selected="0">
            <x v="140"/>
          </reference>
          <reference field="1" count="1" selected="0">
            <x v="781"/>
          </reference>
          <reference field="2" count="1">
            <x v="25"/>
          </reference>
        </references>
      </pivotArea>
    </format>
    <format dxfId="1155">
      <pivotArea dataOnly="0" labelOnly="1" fieldPosition="0">
        <references count="3">
          <reference field="0" count="1" selected="0">
            <x v="140"/>
          </reference>
          <reference field="1" count="1" selected="0">
            <x v="789"/>
          </reference>
          <reference field="2" count="1">
            <x v="4"/>
          </reference>
        </references>
      </pivotArea>
    </format>
    <format dxfId="1154">
      <pivotArea dataOnly="0" labelOnly="1" fieldPosition="0">
        <references count="3">
          <reference field="0" count="1" selected="0">
            <x v="140"/>
          </reference>
          <reference field="1" count="1" selected="0">
            <x v="791"/>
          </reference>
          <reference field="2" count="1">
            <x v="7"/>
          </reference>
        </references>
      </pivotArea>
    </format>
    <format dxfId="1153">
      <pivotArea dataOnly="0" labelOnly="1" fieldPosition="0">
        <references count="3">
          <reference field="0" count="1" selected="0">
            <x v="140"/>
          </reference>
          <reference field="1" count="1" selected="0">
            <x v="806"/>
          </reference>
          <reference field="2" count="1">
            <x v="7"/>
          </reference>
        </references>
      </pivotArea>
    </format>
    <format dxfId="1152">
      <pivotArea dataOnly="0" labelOnly="1" fieldPosition="0">
        <references count="3">
          <reference field="0" count="1" selected="0">
            <x v="140"/>
          </reference>
          <reference field="1" count="1" selected="0">
            <x v="808"/>
          </reference>
          <reference field="2" count="1">
            <x v="7"/>
          </reference>
        </references>
      </pivotArea>
    </format>
    <format dxfId="1151">
      <pivotArea dataOnly="0" labelOnly="1" fieldPosition="0">
        <references count="3">
          <reference field="0" count="1" selected="0">
            <x v="140"/>
          </reference>
          <reference field="1" count="1" selected="0">
            <x v="812"/>
          </reference>
          <reference field="2" count="1">
            <x v="29"/>
          </reference>
        </references>
      </pivotArea>
    </format>
    <format dxfId="1150">
      <pivotArea dataOnly="0" labelOnly="1" fieldPosition="0">
        <references count="3">
          <reference field="0" count="1" selected="0">
            <x v="140"/>
          </reference>
          <reference field="1" count="1" selected="0">
            <x v="899"/>
          </reference>
          <reference field="2" count="1">
            <x v="4"/>
          </reference>
        </references>
      </pivotArea>
    </format>
    <format dxfId="1149">
      <pivotArea dataOnly="0" labelOnly="1" fieldPosition="0">
        <references count="3">
          <reference field="0" count="1" selected="0">
            <x v="140"/>
          </reference>
          <reference field="1" count="1" selected="0">
            <x v="914"/>
          </reference>
          <reference field="2" count="1">
            <x v="23"/>
          </reference>
        </references>
      </pivotArea>
    </format>
    <format dxfId="1148">
      <pivotArea dataOnly="0" labelOnly="1" fieldPosition="0">
        <references count="3">
          <reference field="0" count="1" selected="0">
            <x v="140"/>
          </reference>
          <reference field="1" count="1" selected="0">
            <x v="919"/>
          </reference>
          <reference field="2" count="1">
            <x v="4"/>
          </reference>
        </references>
      </pivotArea>
    </format>
    <format dxfId="1147">
      <pivotArea dataOnly="0" labelOnly="1" fieldPosition="0">
        <references count="3">
          <reference field="0" count="1" selected="0">
            <x v="140"/>
          </reference>
          <reference field="1" count="1" selected="0">
            <x v="948"/>
          </reference>
          <reference field="2" count="1">
            <x v="7"/>
          </reference>
        </references>
      </pivotArea>
    </format>
    <format dxfId="1146">
      <pivotArea dataOnly="0" labelOnly="1" fieldPosition="0">
        <references count="3">
          <reference field="0" count="1" selected="0">
            <x v="140"/>
          </reference>
          <reference field="1" count="1" selected="0">
            <x v="962"/>
          </reference>
          <reference field="2" count="1">
            <x v="7"/>
          </reference>
        </references>
      </pivotArea>
    </format>
    <format dxfId="1145">
      <pivotArea dataOnly="0" labelOnly="1" fieldPosition="0">
        <references count="3">
          <reference field="0" count="1" selected="0">
            <x v="140"/>
          </reference>
          <reference field="1" count="1" selected="0">
            <x v="966"/>
          </reference>
          <reference field="2" count="1">
            <x v="7"/>
          </reference>
        </references>
      </pivotArea>
    </format>
    <format dxfId="1144">
      <pivotArea dataOnly="0" labelOnly="1" fieldPosition="0">
        <references count="3">
          <reference field="0" count="1" selected="0">
            <x v="140"/>
          </reference>
          <reference field="1" count="1" selected="0">
            <x v="970"/>
          </reference>
          <reference field="2" count="1">
            <x v="8"/>
          </reference>
        </references>
      </pivotArea>
    </format>
    <format dxfId="1143">
      <pivotArea dataOnly="0" labelOnly="1" fieldPosition="0">
        <references count="3">
          <reference field="0" count="1" selected="0">
            <x v="140"/>
          </reference>
          <reference field="1" count="1" selected="0">
            <x v="981"/>
          </reference>
          <reference field="2" count="1">
            <x v="2"/>
          </reference>
        </references>
      </pivotArea>
    </format>
    <format dxfId="1142">
      <pivotArea dataOnly="0" labelOnly="1" fieldPosition="0">
        <references count="3">
          <reference field="0" count="1" selected="0">
            <x v="140"/>
          </reference>
          <reference field="1" count="1" selected="0">
            <x v="1051"/>
          </reference>
          <reference field="2" count="1">
            <x v="24"/>
          </reference>
        </references>
      </pivotArea>
    </format>
    <format dxfId="1141">
      <pivotArea dataOnly="0" labelOnly="1" fieldPosition="0">
        <references count="3">
          <reference field="0" count="1" selected="0">
            <x v="140"/>
          </reference>
          <reference field="1" count="1" selected="0">
            <x v="1092"/>
          </reference>
          <reference field="2" count="1">
            <x v="26"/>
          </reference>
        </references>
      </pivotArea>
    </format>
    <format dxfId="1140">
      <pivotArea dataOnly="0" labelOnly="1" fieldPosition="0">
        <references count="3">
          <reference field="0" count="1" selected="0">
            <x v="140"/>
          </reference>
          <reference field="1" count="1" selected="0">
            <x v="1146"/>
          </reference>
          <reference field="2" count="1">
            <x v="9"/>
          </reference>
        </references>
      </pivotArea>
    </format>
    <format dxfId="1139">
      <pivotArea dataOnly="0" labelOnly="1" fieldPosition="0">
        <references count="3">
          <reference field="0" count="1" selected="0">
            <x v="140"/>
          </reference>
          <reference field="1" count="1" selected="0">
            <x v="1167"/>
          </reference>
          <reference field="2" count="1">
            <x v="6"/>
          </reference>
        </references>
      </pivotArea>
    </format>
    <format dxfId="1138">
      <pivotArea dataOnly="0" labelOnly="1" fieldPosition="0">
        <references count="3">
          <reference field="0" count="1" selected="0">
            <x v="140"/>
          </reference>
          <reference field="1" count="1" selected="0">
            <x v="1294"/>
          </reference>
          <reference field="2" count="1">
            <x v="10"/>
          </reference>
        </references>
      </pivotArea>
    </format>
    <format dxfId="1137">
      <pivotArea dataOnly="0" labelOnly="1" fieldPosition="0">
        <references count="3">
          <reference field="0" count="1" selected="0">
            <x v="139"/>
          </reference>
          <reference field="1" count="1" selected="0">
            <x v="41"/>
          </reference>
          <reference field="2" count="1">
            <x v="27"/>
          </reference>
        </references>
      </pivotArea>
    </format>
    <format dxfId="1136">
      <pivotArea dataOnly="0" labelOnly="1" fieldPosition="0">
        <references count="3">
          <reference field="0" count="1" selected="0">
            <x v="139"/>
          </reference>
          <reference field="1" count="1" selected="0">
            <x v="110"/>
          </reference>
          <reference field="2" count="1">
            <x v="12"/>
          </reference>
        </references>
      </pivotArea>
    </format>
    <format dxfId="1135">
      <pivotArea dataOnly="0" labelOnly="1" fieldPosition="0">
        <references count="3">
          <reference field="0" count="1" selected="0">
            <x v="139"/>
          </reference>
          <reference field="1" count="1" selected="0">
            <x v="114"/>
          </reference>
          <reference field="2" count="1">
            <x v="6"/>
          </reference>
        </references>
      </pivotArea>
    </format>
    <format dxfId="1134">
      <pivotArea dataOnly="0" labelOnly="1" fieldPosition="0">
        <references count="3">
          <reference field="0" count="1" selected="0">
            <x v="139"/>
          </reference>
          <reference field="1" count="1" selected="0">
            <x v="374"/>
          </reference>
          <reference field="2" count="1">
            <x v="10"/>
          </reference>
        </references>
      </pivotArea>
    </format>
    <format dxfId="1133">
      <pivotArea dataOnly="0" labelOnly="1" fieldPosition="0">
        <references count="3">
          <reference field="0" count="1" selected="0">
            <x v="139"/>
          </reference>
          <reference field="1" count="1" selected="0">
            <x v="446"/>
          </reference>
          <reference field="2" count="1">
            <x v="14"/>
          </reference>
        </references>
      </pivotArea>
    </format>
    <format dxfId="1132">
      <pivotArea dataOnly="0" labelOnly="1" fieldPosition="0">
        <references count="3">
          <reference field="0" count="1" selected="0">
            <x v="139"/>
          </reference>
          <reference field="1" count="1" selected="0">
            <x v="517"/>
          </reference>
          <reference field="2" count="1">
            <x v="23"/>
          </reference>
        </references>
      </pivotArea>
    </format>
    <format dxfId="1131">
      <pivotArea dataOnly="0" labelOnly="1" fieldPosition="0">
        <references count="3">
          <reference field="0" count="1" selected="0">
            <x v="139"/>
          </reference>
          <reference field="1" count="1" selected="0">
            <x v="566"/>
          </reference>
          <reference field="2" count="1">
            <x v="17"/>
          </reference>
        </references>
      </pivotArea>
    </format>
    <format dxfId="1130">
      <pivotArea dataOnly="0" labelOnly="1" fieldPosition="0">
        <references count="3">
          <reference field="0" count="1" selected="0">
            <x v="139"/>
          </reference>
          <reference field="1" count="1" selected="0">
            <x v="689"/>
          </reference>
          <reference field="2" count="1">
            <x v="16"/>
          </reference>
        </references>
      </pivotArea>
    </format>
    <format dxfId="1129">
      <pivotArea dataOnly="0" labelOnly="1" fieldPosition="0">
        <references count="3">
          <reference field="0" count="1" selected="0">
            <x v="139"/>
          </reference>
          <reference field="1" count="1" selected="0">
            <x v="739"/>
          </reference>
          <reference field="2" count="1">
            <x v="4"/>
          </reference>
        </references>
      </pivotArea>
    </format>
    <format dxfId="1128">
      <pivotArea dataOnly="0" labelOnly="1" fieldPosition="0">
        <references count="3">
          <reference field="0" count="1" selected="0">
            <x v="139"/>
          </reference>
          <reference field="1" count="1" selected="0">
            <x v="750"/>
          </reference>
          <reference field="2" count="1">
            <x v="8"/>
          </reference>
        </references>
      </pivotArea>
    </format>
    <format dxfId="1127">
      <pivotArea dataOnly="0" labelOnly="1" fieldPosition="0">
        <references count="3">
          <reference field="0" count="1" selected="0">
            <x v="139"/>
          </reference>
          <reference field="1" count="1" selected="0">
            <x v="760"/>
          </reference>
          <reference field="2" count="1">
            <x v="5"/>
          </reference>
        </references>
      </pivotArea>
    </format>
    <format dxfId="1126">
      <pivotArea dataOnly="0" labelOnly="1" fieldPosition="0">
        <references count="3">
          <reference field="0" count="1" selected="0">
            <x v="139"/>
          </reference>
          <reference field="1" count="1" selected="0">
            <x v="818"/>
          </reference>
          <reference field="2" count="1">
            <x v="7"/>
          </reference>
        </references>
      </pivotArea>
    </format>
    <format dxfId="1125">
      <pivotArea dataOnly="0" labelOnly="1" fieldPosition="0">
        <references count="3">
          <reference field="0" count="1" selected="0">
            <x v="139"/>
          </reference>
          <reference field="1" count="1" selected="0">
            <x v="845"/>
          </reference>
          <reference field="2" count="1">
            <x v="7"/>
          </reference>
        </references>
      </pivotArea>
    </format>
    <format dxfId="1124">
      <pivotArea dataOnly="0" labelOnly="1" fieldPosition="0">
        <references count="3">
          <reference field="0" count="1" selected="0">
            <x v="139"/>
          </reference>
          <reference field="1" count="1" selected="0">
            <x v="915"/>
          </reference>
          <reference field="2" count="1">
            <x v="28"/>
          </reference>
        </references>
      </pivotArea>
    </format>
    <format dxfId="1123">
      <pivotArea dataOnly="0" labelOnly="1" fieldPosition="0">
        <references count="3">
          <reference field="0" count="1" selected="0">
            <x v="139"/>
          </reference>
          <reference field="1" count="1" selected="0">
            <x v="917"/>
          </reference>
          <reference field="2" count="1">
            <x v="29"/>
          </reference>
        </references>
      </pivotArea>
    </format>
    <format dxfId="1122">
      <pivotArea dataOnly="0" labelOnly="1" fieldPosition="0">
        <references count="3">
          <reference field="0" count="1" selected="0">
            <x v="139"/>
          </reference>
          <reference field="1" count="1" selected="0">
            <x v="951"/>
          </reference>
          <reference field="2" count="1">
            <x v="7"/>
          </reference>
        </references>
      </pivotArea>
    </format>
    <format dxfId="1121">
      <pivotArea dataOnly="0" labelOnly="1" fieldPosition="0">
        <references count="3">
          <reference field="0" count="1" selected="0">
            <x v="139"/>
          </reference>
          <reference field="1" count="1" selected="0">
            <x v="1006"/>
          </reference>
          <reference field="2" count="1">
            <x v="18"/>
          </reference>
        </references>
      </pivotArea>
    </format>
    <format dxfId="1120">
      <pivotArea dataOnly="0" labelOnly="1" fieldPosition="0">
        <references count="3">
          <reference field="0" count="1" selected="0">
            <x v="139"/>
          </reference>
          <reference field="1" count="1" selected="0">
            <x v="1025"/>
          </reference>
          <reference field="2" count="1">
            <x v="20"/>
          </reference>
        </references>
      </pivotArea>
    </format>
    <format dxfId="1119">
      <pivotArea dataOnly="0" labelOnly="1" fieldPosition="0">
        <references count="3">
          <reference field="0" count="1" selected="0">
            <x v="139"/>
          </reference>
          <reference field="1" count="1" selected="0">
            <x v="1046"/>
          </reference>
          <reference field="2" count="1">
            <x v="15"/>
          </reference>
        </references>
      </pivotArea>
    </format>
    <format dxfId="1118">
      <pivotArea dataOnly="0" labelOnly="1" fieldPosition="0">
        <references count="3">
          <reference field="0" count="1" selected="0">
            <x v="139"/>
          </reference>
          <reference field="1" count="1" selected="0">
            <x v="1096"/>
          </reference>
          <reference field="2" count="1">
            <x v="26"/>
          </reference>
        </references>
      </pivotArea>
    </format>
    <format dxfId="1117">
      <pivotArea dataOnly="0" labelOnly="1" fieldPosition="0">
        <references count="3">
          <reference field="0" count="1" selected="0">
            <x v="139"/>
          </reference>
          <reference field="1" count="1" selected="0">
            <x v="1128"/>
          </reference>
          <reference field="2" count="1">
            <x v="9"/>
          </reference>
        </references>
      </pivotArea>
    </format>
    <format dxfId="1116">
      <pivotArea dataOnly="0" labelOnly="1" fieldPosition="0">
        <references count="3">
          <reference field="0" count="1" selected="0">
            <x v="139"/>
          </reference>
          <reference field="1" count="1" selected="0">
            <x v="1132"/>
          </reference>
          <reference field="2" count="1">
            <x v="9"/>
          </reference>
        </references>
      </pivotArea>
    </format>
    <format dxfId="1115">
      <pivotArea dataOnly="0" labelOnly="1" fieldPosition="0">
        <references count="3">
          <reference field="0" count="1" selected="0">
            <x v="139"/>
          </reference>
          <reference field="1" count="1" selected="0">
            <x v="1176"/>
          </reference>
          <reference field="2" count="1">
            <x v="11"/>
          </reference>
        </references>
      </pivotArea>
    </format>
    <format dxfId="1114">
      <pivotArea dataOnly="0" labelOnly="1" fieldPosition="0">
        <references count="3">
          <reference field="0" count="1" selected="0">
            <x v="139"/>
          </reference>
          <reference field="1" count="1" selected="0">
            <x v="1193"/>
          </reference>
          <reference field="2" count="1">
            <x v="11"/>
          </reference>
        </references>
      </pivotArea>
    </format>
    <format dxfId="1113">
      <pivotArea dataOnly="0" labelOnly="1" fieldPosition="0">
        <references count="3">
          <reference field="0" count="1" selected="0">
            <x v="139"/>
          </reference>
          <reference field="1" count="1" selected="0">
            <x v="1285"/>
          </reference>
          <reference field="2" count="1">
            <x v="22"/>
          </reference>
        </references>
      </pivotArea>
    </format>
    <format dxfId="1112">
      <pivotArea dataOnly="0" labelOnly="1" fieldPosition="0">
        <references count="3">
          <reference field="0" count="1" selected="0">
            <x v="138"/>
          </reference>
          <reference field="1" count="1" selected="0">
            <x v="29"/>
          </reference>
          <reference field="2" count="1">
            <x v="29"/>
          </reference>
        </references>
      </pivotArea>
    </format>
    <format dxfId="1111">
      <pivotArea dataOnly="0" labelOnly="1" fieldPosition="0">
        <references count="3">
          <reference field="0" count="1" selected="0">
            <x v="138"/>
          </reference>
          <reference field="1" count="1" selected="0">
            <x v="53"/>
          </reference>
          <reference field="2" count="1">
            <x v="25"/>
          </reference>
        </references>
      </pivotArea>
    </format>
    <format dxfId="1110">
      <pivotArea dataOnly="0" labelOnly="1" fieldPosition="0">
        <references count="3">
          <reference field="0" count="1" selected="0">
            <x v="138"/>
          </reference>
          <reference field="1" count="1" selected="0">
            <x v="109"/>
          </reference>
          <reference field="2" count="1">
            <x v="12"/>
          </reference>
        </references>
      </pivotArea>
    </format>
    <format dxfId="1109">
      <pivotArea dataOnly="0" labelOnly="1" fieldPosition="0">
        <references count="3">
          <reference field="0" count="1" selected="0">
            <x v="138"/>
          </reference>
          <reference field="1" count="1" selected="0">
            <x v="152"/>
          </reference>
          <reference field="2" count="1">
            <x v="0"/>
          </reference>
        </references>
      </pivotArea>
    </format>
    <format dxfId="1108">
      <pivotArea dataOnly="0" labelOnly="1" fieldPosition="0">
        <references count="3">
          <reference field="0" count="1" selected="0">
            <x v="138"/>
          </reference>
          <reference field="1" count="1" selected="0">
            <x v="155"/>
          </reference>
          <reference field="2" count="1">
            <x v="0"/>
          </reference>
        </references>
      </pivotArea>
    </format>
    <format dxfId="1107">
      <pivotArea dataOnly="0" labelOnly="1" fieldPosition="0">
        <references count="3">
          <reference field="0" count="1" selected="0">
            <x v="138"/>
          </reference>
          <reference field="1" count="1" selected="0">
            <x v="298"/>
          </reference>
          <reference field="2" count="1">
            <x v="1"/>
          </reference>
        </references>
      </pivotArea>
    </format>
    <format dxfId="1106">
      <pivotArea dataOnly="0" labelOnly="1" fieldPosition="0">
        <references count="3">
          <reference field="0" count="1" selected="0">
            <x v="138"/>
          </reference>
          <reference field="1" count="1" selected="0">
            <x v="340"/>
          </reference>
          <reference field="2" count="1">
            <x v="1"/>
          </reference>
        </references>
      </pivotArea>
    </format>
    <format dxfId="1105">
      <pivotArea dataOnly="0" labelOnly="1" fieldPosition="0">
        <references count="3">
          <reference field="0" count="1" selected="0">
            <x v="138"/>
          </reference>
          <reference field="1" count="1" selected="0">
            <x v="373"/>
          </reference>
          <reference field="2" count="1">
            <x v="10"/>
          </reference>
        </references>
      </pivotArea>
    </format>
    <format dxfId="1104">
      <pivotArea dataOnly="0" labelOnly="1" fieldPosition="0">
        <references count="3">
          <reference field="0" count="1" selected="0">
            <x v="138"/>
          </reference>
          <reference field="1" count="1" selected="0">
            <x v="529"/>
          </reference>
          <reference field="2" count="1">
            <x v="27"/>
          </reference>
        </references>
      </pivotArea>
    </format>
    <format dxfId="1103">
      <pivotArea dataOnly="0" labelOnly="1" fieldPosition="0">
        <references count="3">
          <reference field="0" count="1" selected="0">
            <x v="138"/>
          </reference>
          <reference field="1" count="1" selected="0">
            <x v="723"/>
          </reference>
          <reference field="2" count="1">
            <x v="21"/>
          </reference>
        </references>
      </pivotArea>
    </format>
    <format dxfId="1102">
      <pivotArea dataOnly="0" labelOnly="1" fieldPosition="0">
        <references count="3">
          <reference field="0" count="1" selected="0">
            <x v="138"/>
          </reference>
          <reference field="1" count="1" selected="0">
            <x v="728"/>
          </reference>
          <reference field="2" count="1">
            <x v="16"/>
          </reference>
        </references>
      </pivotArea>
    </format>
    <format dxfId="1101">
      <pivotArea dataOnly="0" labelOnly="1" fieldPosition="0">
        <references count="3">
          <reference field="0" count="1" selected="0">
            <x v="138"/>
          </reference>
          <reference field="1" count="1" selected="0">
            <x v="749"/>
          </reference>
          <reference field="2" count="1">
            <x v="8"/>
          </reference>
        </references>
      </pivotArea>
    </format>
    <format dxfId="1100">
      <pivotArea dataOnly="0" labelOnly="1" fieldPosition="0">
        <references count="3">
          <reference field="0" count="1" selected="0">
            <x v="138"/>
          </reference>
          <reference field="1" count="1" selected="0">
            <x v="823"/>
          </reference>
          <reference field="2" count="1">
            <x v="6"/>
          </reference>
        </references>
      </pivotArea>
    </format>
    <format dxfId="1099">
      <pivotArea dataOnly="0" labelOnly="1" fieldPosition="0">
        <references count="3">
          <reference field="0" count="1" selected="0">
            <x v="138"/>
          </reference>
          <reference field="1" count="1" selected="0">
            <x v="888"/>
          </reference>
          <reference field="2" count="1">
            <x v="20"/>
          </reference>
        </references>
      </pivotArea>
    </format>
    <format dxfId="1098">
      <pivotArea dataOnly="0" labelOnly="1" fieldPosition="0">
        <references count="3">
          <reference field="0" count="1" selected="0">
            <x v="138"/>
          </reference>
          <reference field="1" count="1" selected="0">
            <x v="1099"/>
          </reference>
          <reference field="2" count="1">
            <x v="26"/>
          </reference>
        </references>
      </pivotArea>
    </format>
    <format dxfId="1097">
      <pivotArea dataOnly="0" labelOnly="1" fieldPosition="0">
        <references count="3">
          <reference field="0" count="1" selected="0">
            <x v="138"/>
          </reference>
          <reference field="1" count="1" selected="0">
            <x v="1157"/>
          </reference>
          <reference field="2" count="1">
            <x v="9"/>
          </reference>
        </references>
      </pivotArea>
    </format>
    <format dxfId="1096">
      <pivotArea dataOnly="0" labelOnly="1" fieldPosition="0">
        <references count="3">
          <reference field="0" count="1" selected="0">
            <x v="137"/>
          </reference>
          <reference field="1" count="1" selected="0">
            <x v="34"/>
          </reference>
          <reference field="2" count="1">
            <x v="29"/>
          </reference>
        </references>
      </pivotArea>
    </format>
    <format dxfId="1095">
      <pivotArea dataOnly="0" labelOnly="1" fieldPosition="0">
        <references count="3">
          <reference field="0" count="1" selected="0">
            <x v="137"/>
          </reference>
          <reference field="1" count="1" selected="0">
            <x v="63"/>
          </reference>
          <reference field="2" count="1">
            <x v="24"/>
          </reference>
        </references>
      </pivotArea>
    </format>
    <format dxfId="1094">
      <pivotArea dataOnly="0" labelOnly="1" fieldPosition="0">
        <references count="3">
          <reference field="0" count="1" selected="0">
            <x v="137"/>
          </reference>
          <reference field="1" count="1" selected="0">
            <x v="156"/>
          </reference>
          <reference field="2" count="1">
            <x v="0"/>
          </reference>
        </references>
      </pivotArea>
    </format>
    <format dxfId="1093">
      <pivotArea dataOnly="0" labelOnly="1" fieldPosition="0">
        <references count="3">
          <reference field="0" count="1" selected="0">
            <x v="137"/>
          </reference>
          <reference field="1" count="1" selected="0">
            <x v="479"/>
          </reference>
          <reference field="2" count="1">
            <x v="24"/>
          </reference>
        </references>
      </pivotArea>
    </format>
    <format dxfId="1092">
      <pivotArea dataOnly="0" labelOnly="1" fieldPosition="0">
        <references count="3">
          <reference field="0" count="1" selected="0">
            <x v="137"/>
          </reference>
          <reference field="1" count="1" selected="0">
            <x v="623"/>
          </reference>
          <reference field="2" count="1">
            <x v="2"/>
          </reference>
        </references>
      </pivotArea>
    </format>
    <format dxfId="1091">
      <pivotArea dataOnly="0" labelOnly="1" fieldPosition="0">
        <references count="3">
          <reference field="0" count="1" selected="0">
            <x v="137"/>
          </reference>
          <reference field="1" count="1" selected="0">
            <x v="706"/>
          </reference>
          <reference field="2" count="1">
            <x v="7"/>
          </reference>
        </references>
      </pivotArea>
    </format>
    <format dxfId="1090">
      <pivotArea dataOnly="0" labelOnly="1" fieldPosition="0">
        <references count="3">
          <reference field="0" count="1" selected="0">
            <x v="137"/>
          </reference>
          <reference field="1" count="1" selected="0">
            <x v="809"/>
          </reference>
          <reference field="2" count="1">
            <x v="19"/>
          </reference>
        </references>
      </pivotArea>
    </format>
    <format dxfId="1089">
      <pivotArea dataOnly="0" labelOnly="1" fieldPosition="0">
        <references count="3">
          <reference field="0" count="1" selected="0">
            <x v="137"/>
          </reference>
          <reference field="1" count="1" selected="0">
            <x v="1037"/>
          </reference>
          <reference field="2" count="1">
            <x v="27"/>
          </reference>
        </references>
      </pivotArea>
    </format>
    <format dxfId="1088">
      <pivotArea dataOnly="0" labelOnly="1" fieldPosition="0">
        <references count="3">
          <reference field="0" count="1" selected="0">
            <x v="136"/>
          </reference>
          <reference field="1" count="1" selected="0">
            <x v="9"/>
          </reference>
          <reference field="2" count="1">
            <x v="25"/>
          </reference>
        </references>
      </pivotArea>
    </format>
    <format dxfId="1087">
      <pivotArea dataOnly="0" labelOnly="1" fieldPosition="0">
        <references count="3">
          <reference field="0" count="1" selected="0">
            <x v="136"/>
          </reference>
          <reference field="1" count="1" selected="0">
            <x v="30"/>
          </reference>
          <reference field="2" count="1">
            <x v="17"/>
          </reference>
        </references>
      </pivotArea>
    </format>
    <format dxfId="1086">
      <pivotArea dataOnly="0" labelOnly="1" fieldPosition="0">
        <references count="3">
          <reference field="0" count="1" selected="0">
            <x v="136"/>
          </reference>
          <reference field="1" count="1" selected="0">
            <x v="203"/>
          </reference>
          <reference field="2" count="1">
            <x v="14"/>
          </reference>
        </references>
      </pivotArea>
    </format>
    <format dxfId="1085">
      <pivotArea dataOnly="0" labelOnly="1" fieldPosition="0">
        <references count="3">
          <reference field="0" count="1" selected="0">
            <x v="136"/>
          </reference>
          <reference field="1" count="1" selected="0">
            <x v="265"/>
          </reference>
          <reference field="2" count="1">
            <x v="21"/>
          </reference>
        </references>
      </pivotArea>
    </format>
    <format dxfId="1084">
      <pivotArea dataOnly="0" labelOnly="1" fieldPosition="0">
        <references count="3">
          <reference field="0" count="1" selected="0">
            <x v="136"/>
          </reference>
          <reference field="1" count="1" selected="0">
            <x v="272"/>
          </reference>
          <reference field="2" count="1">
            <x v="6"/>
          </reference>
        </references>
      </pivotArea>
    </format>
    <format dxfId="1083">
      <pivotArea dataOnly="0" labelOnly="1" fieldPosition="0">
        <references count="3">
          <reference field="0" count="1" selected="0">
            <x v="136"/>
          </reference>
          <reference field="1" count="1" selected="0">
            <x v="350"/>
          </reference>
          <reference field="2" count="1">
            <x v="1"/>
          </reference>
        </references>
      </pivotArea>
    </format>
    <format dxfId="1082">
      <pivotArea dataOnly="0" labelOnly="1" fieldPosition="0">
        <references count="3">
          <reference field="0" count="1" selected="0">
            <x v="136"/>
          </reference>
          <reference field="1" count="1" selected="0">
            <x v="820"/>
          </reference>
          <reference field="2" count="1">
            <x v="24"/>
          </reference>
        </references>
      </pivotArea>
    </format>
    <format dxfId="1081">
      <pivotArea dataOnly="0" labelOnly="1" fieldPosition="0">
        <references count="3">
          <reference field="0" count="1" selected="0">
            <x v="136"/>
          </reference>
          <reference field="1" count="1" selected="0">
            <x v="925"/>
          </reference>
          <reference field="2" count="1">
            <x v="18"/>
          </reference>
        </references>
      </pivotArea>
    </format>
    <format dxfId="1080">
      <pivotArea dataOnly="0" labelOnly="1" fieldPosition="0">
        <references count="3">
          <reference field="0" count="1" selected="0">
            <x v="135"/>
          </reference>
          <reference field="1" count="1" selected="0">
            <x v="49"/>
          </reference>
          <reference field="2" count="1">
            <x v="27"/>
          </reference>
        </references>
      </pivotArea>
    </format>
    <format dxfId="1079">
      <pivotArea dataOnly="0" labelOnly="1" fieldPosition="0">
        <references count="3">
          <reference field="0" count="1" selected="0">
            <x v="135"/>
          </reference>
          <reference field="1" count="1" selected="0">
            <x v="64"/>
          </reference>
          <reference field="2" count="1">
            <x v="24"/>
          </reference>
        </references>
      </pivotArea>
    </format>
    <format dxfId="1078">
      <pivotArea dataOnly="0" labelOnly="1" fieldPosition="0">
        <references count="3">
          <reference field="0" count="1" selected="0">
            <x v="135"/>
          </reference>
          <reference field="1" count="1" selected="0">
            <x v="472"/>
          </reference>
          <reference field="2" count="1">
            <x v="23"/>
          </reference>
        </references>
      </pivotArea>
    </format>
    <format dxfId="1077">
      <pivotArea dataOnly="0" labelOnly="1" fieldPosition="0">
        <references count="3">
          <reference field="0" count="1" selected="0">
            <x v="135"/>
          </reference>
          <reference field="1" count="1" selected="0">
            <x v="907"/>
          </reference>
          <reference field="2" count="1">
            <x v="4"/>
          </reference>
        </references>
      </pivotArea>
    </format>
    <format dxfId="1076">
      <pivotArea dataOnly="0" labelOnly="1" fieldPosition="0">
        <references count="3">
          <reference field="0" count="1" selected="0">
            <x v="135"/>
          </reference>
          <reference field="1" count="1" selected="0">
            <x v="967"/>
          </reference>
          <reference field="2" count="1">
            <x v="23"/>
          </reference>
        </references>
      </pivotArea>
    </format>
    <format dxfId="1075">
      <pivotArea dataOnly="0" labelOnly="1" fieldPosition="0">
        <references count="3">
          <reference field="0" count="1" selected="0">
            <x v="135"/>
          </reference>
          <reference field="1" count="1" selected="0">
            <x v="1090"/>
          </reference>
          <reference field="2" count="1">
            <x v="26"/>
          </reference>
        </references>
      </pivotArea>
    </format>
    <format dxfId="1074">
      <pivotArea dataOnly="0" labelOnly="1" fieldPosition="0">
        <references count="3">
          <reference field="0" count="1" selected="0">
            <x v="134"/>
          </reference>
          <reference field="1" count="1" selected="0">
            <x v="150"/>
          </reference>
          <reference field="2" count="1">
            <x v="0"/>
          </reference>
        </references>
      </pivotArea>
    </format>
    <format dxfId="1073">
      <pivotArea dataOnly="0" labelOnly="1" fieldPosition="0">
        <references count="3">
          <reference field="0" count="1" selected="0">
            <x v="134"/>
          </reference>
          <reference field="1" count="1" selected="0">
            <x v="204"/>
          </reference>
          <reference field="2" count="1">
            <x v="14"/>
          </reference>
        </references>
      </pivotArea>
    </format>
    <format dxfId="1072">
      <pivotArea dataOnly="0" labelOnly="1" fieldPosition="0">
        <references count="3">
          <reference field="0" count="1" selected="0">
            <x v="134"/>
          </reference>
          <reference field="1" count="1" selected="0">
            <x v="1307"/>
          </reference>
          <reference field="2" count="1">
            <x v="16"/>
          </reference>
        </references>
      </pivotArea>
    </format>
    <format dxfId="1071">
      <pivotArea dataOnly="0" labelOnly="1" fieldPosition="0">
        <references count="3">
          <reference field="0" count="1" selected="0">
            <x v="133"/>
          </reference>
          <reference field="1" count="1" selected="0">
            <x v="16"/>
          </reference>
          <reference field="2" count="1">
            <x v="16"/>
          </reference>
        </references>
      </pivotArea>
    </format>
    <format dxfId="1070">
      <pivotArea dataOnly="0" labelOnly="1" fieldPosition="0">
        <references count="3">
          <reference field="0" count="1" selected="0">
            <x v="133"/>
          </reference>
          <reference field="1" count="1" selected="0">
            <x v="133"/>
          </reference>
          <reference field="2" count="1">
            <x v="0"/>
          </reference>
        </references>
      </pivotArea>
    </format>
    <format dxfId="1069">
      <pivotArea dataOnly="0" labelOnly="1" fieldPosition="0">
        <references count="3">
          <reference field="0" count="1" selected="0">
            <x v="133"/>
          </reference>
          <reference field="1" count="1" selected="0">
            <x v="222"/>
          </reference>
          <reference field="2" count="1">
            <x v="28"/>
          </reference>
        </references>
      </pivotArea>
    </format>
    <format dxfId="1068">
      <pivotArea dataOnly="0" labelOnly="1" fieldPosition="0">
        <references count="3">
          <reference field="0" count="1" selected="0">
            <x v="133"/>
          </reference>
          <reference field="1" count="1" selected="0">
            <x v="371"/>
          </reference>
          <reference field="2" count="1">
            <x v="17"/>
          </reference>
        </references>
      </pivotArea>
    </format>
    <format dxfId="1067">
      <pivotArea dataOnly="0" labelOnly="1" fieldPosition="0">
        <references count="3">
          <reference field="0" count="1" selected="0">
            <x v="133"/>
          </reference>
          <reference field="1" count="1" selected="0">
            <x v="372"/>
          </reference>
          <reference field="2" count="1">
            <x v="10"/>
          </reference>
        </references>
      </pivotArea>
    </format>
    <format dxfId="1066">
      <pivotArea dataOnly="0" labelOnly="1" fieldPosition="0">
        <references count="3">
          <reference field="0" count="1" selected="0">
            <x v="133"/>
          </reference>
          <reference field="1" count="1" selected="0">
            <x v="470"/>
          </reference>
          <reference field="2" count="1">
            <x v="6"/>
          </reference>
        </references>
      </pivotArea>
    </format>
    <format dxfId="1065">
      <pivotArea dataOnly="0" labelOnly="1" fieldPosition="0">
        <references count="3">
          <reference field="0" count="1" selected="0">
            <x v="133"/>
          </reference>
          <reference field="1" count="1" selected="0">
            <x v="532"/>
          </reference>
          <reference field="2" count="1">
            <x v="27"/>
          </reference>
        </references>
      </pivotArea>
    </format>
    <format dxfId="1064">
      <pivotArea dataOnly="0" labelOnly="1" fieldPosition="0">
        <references count="3">
          <reference field="0" count="1" selected="0">
            <x v="133"/>
          </reference>
          <reference field="1" count="1" selected="0">
            <x v="595"/>
          </reference>
          <reference field="2" count="1">
            <x v="2"/>
          </reference>
        </references>
      </pivotArea>
    </format>
    <format dxfId="1063">
      <pivotArea dataOnly="0" labelOnly="1" fieldPosition="0">
        <references count="3">
          <reference field="0" count="1" selected="0">
            <x v="133"/>
          </reference>
          <reference field="1" count="1" selected="0">
            <x v="1049"/>
          </reference>
          <reference field="2" count="1">
            <x v="21"/>
          </reference>
        </references>
      </pivotArea>
    </format>
    <format dxfId="1062">
      <pivotArea dataOnly="0" labelOnly="1" fieldPosition="0">
        <references count="3">
          <reference field="0" count="1" selected="0">
            <x v="132"/>
          </reference>
          <reference field="1" count="1" selected="0">
            <x v="67"/>
          </reference>
          <reference field="2" count="1">
            <x v="16"/>
          </reference>
        </references>
      </pivotArea>
    </format>
    <format dxfId="1061">
      <pivotArea dataOnly="0" labelOnly="1" fieldPosition="0">
        <references count="3">
          <reference field="0" count="1" selected="0">
            <x v="132"/>
          </reference>
          <reference field="1" count="1" selected="0">
            <x v="185"/>
          </reference>
          <reference field="2" count="1">
            <x v="0"/>
          </reference>
        </references>
      </pivotArea>
    </format>
    <format dxfId="1060">
      <pivotArea dataOnly="0" labelOnly="1" fieldPosition="0">
        <references count="3">
          <reference field="0" count="1" selected="0">
            <x v="132"/>
          </reference>
          <reference field="1" count="1" selected="0">
            <x v="390"/>
          </reference>
          <reference field="2" count="1">
            <x v="14"/>
          </reference>
        </references>
      </pivotArea>
    </format>
    <format dxfId="1059">
      <pivotArea dataOnly="0" labelOnly="1" fieldPosition="0">
        <references count="3">
          <reference field="0" count="1" selected="0">
            <x v="132"/>
          </reference>
          <reference field="1" count="1" selected="0">
            <x v="397"/>
          </reference>
          <reference field="2" count="1">
            <x v="16"/>
          </reference>
        </references>
      </pivotArea>
    </format>
    <format dxfId="1058">
      <pivotArea dataOnly="0" labelOnly="1" fieldPosition="0">
        <references count="3">
          <reference field="0" count="1" selected="0">
            <x v="132"/>
          </reference>
          <reference field="1" count="1" selected="0">
            <x v="633"/>
          </reference>
          <reference field="2" count="1">
            <x v="2"/>
          </reference>
        </references>
      </pivotArea>
    </format>
    <format dxfId="1057">
      <pivotArea dataOnly="0" labelOnly="1" fieldPosition="0">
        <references count="3">
          <reference field="0" count="1" selected="0">
            <x v="132"/>
          </reference>
          <reference field="1" count="1" selected="0">
            <x v="674"/>
          </reference>
          <reference field="2" count="1">
            <x v="14"/>
          </reference>
        </references>
      </pivotArea>
    </format>
    <format dxfId="1056">
      <pivotArea dataOnly="0" labelOnly="1" fieldPosition="0">
        <references count="3">
          <reference field="0" count="1" selected="0">
            <x v="132"/>
          </reference>
          <reference field="1" count="1" selected="0">
            <x v="741"/>
          </reference>
          <reference field="2" count="1">
            <x v="24"/>
          </reference>
        </references>
      </pivotArea>
    </format>
    <format dxfId="1055">
      <pivotArea dataOnly="0" labelOnly="1" fieldPosition="0">
        <references count="3">
          <reference field="0" count="1" selected="0">
            <x v="132"/>
          </reference>
          <reference field="1" count="1" selected="0">
            <x v="854"/>
          </reference>
          <reference field="2" count="1">
            <x v="21"/>
          </reference>
        </references>
      </pivotArea>
    </format>
    <format dxfId="1054">
      <pivotArea dataOnly="0" labelOnly="1" fieldPosition="0">
        <references count="3">
          <reference field="0" count="1" selected="0">
            <x v="132"/>
          </reference>
          <reference field="1" count="1" selected="0">
            <x v="938"/>
          </reference>
          <reference field="2" count="1">
            <x v="17"/>
          </reference>
        </references>
      </pivotArea>
    </format>
    <format dxfId="1053">
      <pivotArea dataOnly="0" labelOnly="1" fieldPosition="0">
        <references count="3">
          <reference field="0" count="1" selected="0">
            <x v="132"/>
          </reference>
          <reference field="1" count="1" selected="0">
            <x v="982"/>
          </reference>
          <reference field="2" count="1">
            <x v="23"/>
          </reference>
        </references>
      </pivotArea>
    </format>
    <format dxfId="1052">
      <pivotArea dataOnly="0" labelOnly="1" fieldPosition="0">
        <references count="3">
          <reference field="0" count="1" selected="0">
            <x v="132"/>
          </reference>
          <reference field="1" count="1" selected="0">
            <x v="1032"/>
          </reference>
          <reference field="2" count="1">
            <x v="20"/>
          </reference>
        </references>
      </pivotArea>
    </format>
    <format dxfId="1051">
      <pivotArea dataOnly="0" labelOnly="1" fieldPosition="0">
        <references count="3">
          <reference field="0" count="1" selected="0">
            <x v="132"/>
          </reference>
          <reference field="1" count="1" selected="0">
            <x v="1036"/>
          </reference>
          <reference field="2" count="1">
            <x v="15"/>
          </reference>
        </references>
      </pivotArea>
    </format>
    <format dxfId="1050">
      <pivotArea dataOnly="0" labelOnly="1" fieldPosition="0">
        <references count="3">
          <reference field="0" count="1" selected="0">
            <x v="132"/>
          </reference>
          <reference field="1" count="1" selected="0">
            <x v="1040"/>
          </reference>
          <reference field="2" count="1">
            <x v="27"/>
          </reference>
        </references>
      </pivotArea>
    </format>
    <format dxfId="1049">
      <pivotArea dataOnly="0" labelOnly="1" fieldPosition="0">
        <references count="3">
          <reference field="0" count="1" selected="0">
            <x v="132"/>
          </reference>
          <reference field="1" count="1" selected="0">
            <x v="1094"/>
          </reference>
          <reference field="2" count="1">
            <x v="26"/>
          </reference>
        </references>
      </pivotArea>
    </format>
    <format dxfId="1048">
      <pivotArea dataOnly="0" labelOnly="1" fieldPosition="0">
        <references count="3">
          <reference field="0" count="1" selected="0">
            <x v="132"/>
          </reference>
          <reference field="1" count="1" selected="0">
            <x v="1156"/>
          </reference>
          <reference field="2" count="1">
            <x v="9"/>
          </reference>
        </references>
      </pivotArea>
    </format>
    <format dxfId="1047">
      <pivotArea dataOnly="0" labelOnly="1" fieldPosition="0">
        <references count="3">
          <reference field="0" count="1" selected="0">
            <x v="131"/>
          </reference>
          <reference field="1" count="1" selected="0">
            <x v="159"/>
          </reference>
          <reference field="2" count="1">
            <x v="0"/>
          </reference>
        </references>
      </pivotArea>
    </format>
    <format dxfId="1046">
      <pivotArea dataOnly="0" labelOnly="1" fieldPosition="0">
        <references count="3">
          <reference field="0" count="1" selected="0">
            <x v="131"/>
          </reference>
          <reference field="1" count="1" selected="0">
            <x v="231"/>
          </reference>
          <reference field="2" count="1">
            <x v="10"/>
          </reference>
        </references>
      </pivotArea>
    </format>
    <format dxfId="1045">
      <pivotArea dataOnly="0" labelOnly="1" fieldPosition="0">
        <references count="3">
          <reference field="0" count="1" selected="0">
            <x v="131"/>
          </reference>
          <reference field="1" count="1" selected="0">
            <x v="460"/>
          </reference>
          <reference field="2" count="1">
            <x v="28"/>
          </reference>
        </references>
      </pivotArea>
    </format>
    <format dxfId="1044">
      <pivotArea dataOnly="0" labelOnly="1" fieldPosition="0">
        <references count="3">
          <reference field="0" count="1" selected="0">
            <x v="131"/>
          </reference>
          <reference field="1" count="1" selected="0">
            <x v="591"/>
          </reference>
          <reference field="2" count="1">
            <x v="27"/>
          </reference>
        </references>
      </pivotArea>
    </format>
    <format dxfId="1043">
      <pivotArea dataOnly="0" labelOnly="1" fieldPosition="0">
        <references count="3">
          <reference field="0" count="1" selected="0">
            <x v="131"/>
          </reference>
          <reference field="1" count="1" selected="0">
            <x v="704"/>
          </reference>
          <reference field="2" count="1">
            <x v="29"/>
          </reference>
        </references>
      </pivotArea>
    </format>
    <format dxfId="1042">
      <pivotArea dataOnly="0" labelOnly="1" fieldPosition="0">
        <references count="3">
          <reference field="0" count="1" selected="0">
            <x v="131"/>
          </reference>
          <reference field="1" count="1" selected="0">
            <x v="732"/>
          </reference>
          <reference field="2" count="1">
            <x v="5"/>
          </reference>
        </references>
      </pivotArea>
    </format>
    <format dxfId="1041">
      <pivotArea dataOnly="0" labelOnly="1" fieldPosition="0">
        <references count="3">
          <reference field="0" count="1" selected="0">
            <x v="131"/>
          </reference>
          <reference field="1" count="1" selected="0">
            <x v="738"/>
          </reference>
          <reference field="2" count="1">
            <x v="25"/>
          </reference>
        </references>
      </pivotArea>
    </format>
    <format dxfId="1040">
      <pivotArea dataOnly="0" labelOnly="1" fieldPosition="0">
        <references count="3">
          <reference field="0" count="1" selected="0">
            <x v="131"/>
          </reference>
          <reference field="1" count="1" selected="0">
            <x v="755"/>
          </reference>
          <reference field="2" count="1">
            <x v="18"/>
          </reference>
        </references>
      </pivotArea>
    </format>
    <format dxfId="1039">
      <pivotArea dataOnly="0" labelOnly="1" fieldPosition="0">
        <references count="3">
          <reference field="0" count="1" selected="0">
            <x v="131"/>
          </reference>
          <reference field="1" count="1" selected="0">
            <x v="786"/>
          </reference>
          <reference field="2" count="1">
            <x v="6"/>
          </reference>
        </references>
      </pivotArea>
    </format>
    <format dxfId="1038">
      <pivotArea dataOnly="0" labelOnly="1" fieldPosition="0">
        <references count="3">
          <reference field="0" count="1" selected="0">
            <x v="131"/>
          </reference>
          <reference field="1" count="1" selected="0">
            <x v="850"/>
          </reference>
          <reference field="2" count="1">
            <x v="24"/>
          </reference>
        </references>
      </pivotArea>
    </format>
    <format dxfId="1037">
      <pivotArea dataOnly="0" labelOnly="1" fieldPosition="0">
        <references count="3">
          <reference field="0" count="1" selected="0">
            <x v="131"/>
          </reference>
          <reference field="1" count="1" selected="0">
            <x v="916"/>
          </reference>
          <reference field="2" count="1">
            <x v="7"/>
          </reference>
        </references>
      </pivotArea>
    </format>
    <format dxfId="1036">
      <pivotArea dataOnly="0" labelOnly="1" fieldPosition="0">
        <references count="3">
          <reference field="0" count="1" selected="0">
            <x v="131"/>
          </reference>
          <reference field="1" count="1" selected="0">
            <x v="1035"/>
          </reference>
          <reference field="2" count="1">
            <x v="17"/>
          </reference>
        </references>
      </pivotArea>
    </format>
    <format dxfId="1035">
      <pivotArea dataOnly="0" labelOnly="1" fieldPosition="0">
        <references count="3">
          <reference field="0" count="1" selected="0">
            <x v="131"/>
          </reference>
          <reference field="1" count="1" selected="0">
            <x v="1249"/>
          </reference>
          <reference field="2" count="1">
            <x v="6"/>
          </reference>
        </references>
      </pivotArea>
    </format>
    <format dxfId="1034">
      <pivotArea dataOnly="0" labelOnly="1" fieldPosition="0">
        <references count="3">
          <reference field="0" count="1" selected="0">
            <x v="130"/>
          </reference>
          <reference field="1" count="1" selected="0">
            <x v="223"/>
          </reference>
          <reference field="2" count="1">
            <x v="16"/>
          </reference>
        </references>
      </pivotArea>
    </format>
    <format dxfId="1033">
      <pivotArea dataOnly="0" labelOnly="1" fieldPosition="0">
        <references count="3">
          <reference field="0" count="1" selected="0">
            <x v="130"/>
          </reference>
          <reference field="1" count="1" selected="0">
            <x v="360"/>
          </reference>
          <reference field="2" count="1">
            <x v="1"/>
          </reference>
        </references>
      </pivotArea>
    </format>
    <format dxfId="1032">
      <pivotArea dataOnly="0" labelOnly="1" fieldPosition="0">
        <references count="3">
          <reference field="0" count="1" selected="0">
            <x v="130"/>
          </reference>
          <reference field="1" count="1" selected="0">
            <x v="386"/>
          </reference>
          <reference field="2" count="1">
            <x v="14"/>
          </reference>
        </references>
      </pivotArea>
    </format>
    <format dxfId="1031">
      <pivotArea dataOnly="0" labelOnly="1" fieldPosition="0">
        <references count="3">
          <reference field="0" count="1" selected="0">
            <x v="130"/>
          </reference>
          <reference field="1" count="1" selected="0">
            <x v="387"/>
          </reference>
          <reference field="2" count="1">
            <x v="12"/>
          </reference>
        </references>
      </pivotArea>
    </format>
    <format dxfId="1030">
      <pivotArea dataOnly="0" labelOnly="1" fieldPosition="0">
        <references count="3">
          <reference field="0" count="1" selected="0">
            <x v="130"/>
          </reference>
          <reference field="1" count="1" selected="0">
            <x v="811"/>
          </reference>
          <reference field="2" count="1">
            <x v="6"/>
          </reference>
        </references>
      </pivotArea>
    </format>
    <format dxfId="1029">
      <pivotArea dataOnly="0" labelOnly="1" fieldPosition="0">
        <references count="3">
          <reference field="0" count="1" selected="0">
            <x v="130"/>
          </reference>
          <reference field="1" count="1" selected="0">
            <x v="1300"/>
          </reference>
          <reference field="2" count="1">
            <x v="10"/>
          </reference>
        </references>
      </pivotArea>
    </format>
    <format dxfId="1028">
      <pivotArea dataOnly="0" labelOnly="1" fieldPosition="0">
        <references count="3">
          <reference field="0" count="1" selected="0">
            <x v="129"/>
          </reference>
          <reference field="1" count="1" selected="0">
            <x v="48"/>
          </reference>
          <reference field="2" count="1">
            <x v="28"/>
          </reference>
        </references>
      </pivotArea>
    </format>
    <format dxfId="1027">
      <pivotArea dataOnly="0" labelOnly="1" fieldPosition="0">
        <references count="3">
          <reference field="0" count="1" selected="0">
            <x v="129"/>
          </reference>
          <reference field="1" count="1" selected="0">
            <x v="224"/>
          </reference>
          <reference field="2" count="1">
            <x v="16"/>
          </reference>
        </references>
      </pivotArea>
    </format>
    <format dxfId="1026">
      <pivotArea dataOnly="0" labelOnly="1" fieldPosition="0">
        <references count="3">
          <reference field="0" count="1" selected="0">
            <x v="129"/>
          </reference>
          <reference field="1" count="1" selected="0">
            <x v="284"/>
          </reference>
          <reference field="2" count="1">
            <x v="6"/>
          </reference>
        </references>
      </pivotArea>
    </format>
    <format dxfId="1025">
      <pivotArea dataOnly="0" labelOnly="1" fieldPosition="0">
        <references count="3">
          <reference field="0" count="1" selected="0">
            <x v="129"/>
          </reference>
          <reference field="1" count="1" selected="0">
            <x v="414"/>
          </reference>
          <reference field="2" count="1">
            <x v="10"/>
          </reference>
        </references>
      </pivotArea>
    </format>
    <format dxfId="1024">
      <pivotArea dataOnly="0" labelOnly="1" fieldPosition="0">
        <references count="3">
          <reference field="0" count="1" selected="0">
            <x v="129"/>
          </reference>
          <reference field="1" count="1" selected="0">
            <x v="415"/>
          </reference>
          <reference field="2" count="1">
            <x v="10"/>
          </reference>
        </references>
      </pivotArea>
    </format>
    <format dxfId="1023">
      <pivotArea dataOnly="0" labelOnly="1" fieldPosition="0">
        <references count="3">
          <reference field="0" count="1" selected="0">
            <x v="129"/>
          </reference>
          <reference field="1" count="1" selected="0">
            <x v="793"/>
          </reference>
          <reference field="2" count="1">
            <x v="2"/>
          </reference>
        </references>
      </pivotArea>
    </format>
    <format dxfId="1022">
      <pivotArea dataOnly="0" labelOnly="1" fieldPosition="0">
        <references count="3">
          <reference field="0" count="1" selected="0">
            <x v="129"/>
          </reference>
          <reference field="1" count="1" selected="0">
            <x v="920"/>
          </reference>
          <reference field="2" count="1">
            <x v="24"/>
          </reference>
        </references>
      </pivotArea>
    </format>
    <format dxfId="1021">
      <pivotArea dataOnly="0" labelOnly="1" fieldPosition="0">
        <references count="3">
          <reference field="0" count="1" selected="0">
            <x v="129"/>
          </reference>
          <reference field="1" count="1" selected="0">
            <x v="1087"/>
          </reference>
          <reference field="2" count="1">
            <x v="26"/>
          </reference>
        </references>
      </pivotArea>
    </format>
    <format dxfId="1020">
      <pivotArea dataOnly="0" labelOnly="1" fieldPosition="0">
        <references count="3">
          <reference field="0" count="1" selected="0">
            <x v="128"/>
          </reference>
          <reference field="1" count="1" selected="0">
            <x v="20"/>
          </reference>
          <reference field="2" count="1">
            <x v="16"/>
          </reference>
        </references>
      </pivotArea>
    </format>
    <format dxfId="1019">
      <pivotArea dataOnly="0" labelOnly="1" fieldPosition="0">
        <references count="3">
          <reference field="0" count="1" selected="0">
            <x v="128"/>
          </reference>
          <reference field="1" count="1" selected="0">
            <x v="50"/>
          </reference>
          <reference field="2" count="1">
            <x v="27"/>
          </reference>
        </references>
      </pivotArea>
    </format>
    <format dxfId="1018">
      <pivotArea dataOnly="0" labelOnly="1" fieldPosition="0">
        <references count="3">
          <reference field="0" count="1" selected="0">
            <x v="128"/>
          </reference>
          <reference field="1" count="1" selected="0">
            <x v="1308"/>
          </reference>
          <reference field="2" count="1">
            <x v="16"/>
          </reference>
        </references>
      </pivotArea>
    </format>
    <format dxfId="1017">
      <pivotArea dataOnly="0" labelOnly="1" fieldPosition="0">
        <references count="3">
          <reference field="0" count="1" selected="0">
            <x v="127"/>
          </reference>
          <reference field="1" count="1" selected="0">
            <x v="344"/>
          </reference>
          <reference field="2" count="1">
            <x v="1"/>
          </reference>
        </references>
      </pivotArea>
    </format>
    <format dxfId="1016">
      <pivotArea dataOnly="0" labelOnly="1" fieldPosition="0">
        <references count="3">
          <reference field="0" count="1" selected="0">
            <x v="127"/>
          </reference>
          <reference field="1" count="1" selected="0">
            <x v="931"/>
          </reference>
          <reference field="2" count="1">
            <x v="28"/>
          </reference>
        </references>
      </pivotArea>
    </format>
    <format dxfId="1015">
      <pivotArea dataOnly="0" labelOnly="1" fieldPosition="0">
        <references count="3">
          <reference field="0" count="1" selected="0">
            <x v="127"/>
          </reference>
          <reference field="1" count="1" selected="0">
            <x v="985"/>
          </reference>
          <reference field="2" count="1">
            <x v="3"/>
          </reference>
        </references>
      </pivotArea>
    </format>
    <format dxfId="1014">
      <pivotArea dataOnly="0" labelOnly="1" fieldPosition="0">
        <references count="3">
          <reference field="0" count="1" selected="0">
            <x v="127"/>
          </reference>
          <reference field="1" count="1" selected="0">
            <x v="1012"/>
          </reference>
          <reference field="2" count="1">
            <x v="24"/>
          </reference>
        </references>
      </pivotArea>
    </format>
    <format dxfId="1013">
      <pivotArea dataOnly="0" labelOnly="1" fieldPosition="0">
        <references count="3">
          <reference field="0" count="1" selected="0">
            <x v="127"/>
          </reference>
          <reference field="1" count="1" selected="0">
            <x v="1043"/>
          </reference>
          <reference field="2" count="1">
            <x v="20"/>
          </reference>
        </references>
      </pivotArea>
    </format>
    <format dxfId="1012">
      <pivotArea dataOnly="0" labelOnly="1" fieldPosition="0">
        <references count="3">
          <reference field="0" count="1" selected="0">
            <x v="127"/>
          </reference>
          <reference field="1" count="1" selected="0">
            <x v="1297"/>
          </reference>
          <reference field="2" count="1">
            <x v="27"/>
          </reference>
        </references>
      </pivotArea>
    </format>
    <format dxfId="1011">
      <pivotArea dataOnly="0" labelOnly="1" fieldPosition="0">
        <references count="3">
          <reference field="0" count="1" selected="0">
            <x v="126"/>
          </reference>
          <reference field="1" count="1" selected="0">
            <x v="168"/>
          </reference>
          <reference field="2" count="1">
            <x v="0"/>
          </reference>
        </references>
      </pivotArea>
    </format>
    <format dxfId="1010">
      <pivotArea dataOnly="0" labelOnly="1" fieldPosition="0">
        <references count="3">
          <reference field="0" count="1" selected="0">
            <x v="126"/>
          </reference>
          <reference field="1" count="1" selected="0">
            <x v="376"/>
          </reference>
          <reference field="2" count="1">
            <x v="20"/>
          </reference>
        </references>
      </pivotArea>
    </format>
    <format dxfId="1009">
      <pivotArea dataOnly="0" labelOnly="1" fieldPosition="0">
        <references count="3">
          <reference field="0" count="1" selected="0">
            <x v="126"/>
          </reference>
          <reference field="1" count="1" selected="0">
            <x v="389"/>
          </reference>
          <reference field="2" count="1">
            <x v="14"/>
          </reference>
        </references>
      </pivotArea>
    </format>
    <format dxfId="1008">
      <pivotArea dataOnly="0" labelOnly="1" fieldPosition="0">
        <references count="3">
          <reference field="0" count="1" selected="0">
            <x v="126"/>
          </reference>
          <reference field="1" count="1" selected="0">
            <x v="398"/>
          </reference>
          <reference field="2" count="1">
            <x v="16"/>
          </reference>
        </references>
      </pivotArea>
    </format>
    <format dxfId="1007">
      <pivotArea dataOnly="0" labelOnly="1" fieldPosition="0">
        <references count="3">
          <reference field="0" count="1" selected="0">
            <x v="126"/>
          </reference>
          <reference field="1" count="1" selected="0">
            <x v="522"/>
          </reference>
          <reference field="2" count="1">
            <x v="10"/>
          </reference>
        </references>
      </pivotArea>
    </format>
    <format dxfId="1006">
      <pivotArea dataOnly="0" labelOnly="1" fieldPosition="0">
        <references count="3">
          <reference field="0" count="1" selected="0">
            <x v="126"/>
          </reference>
          <reference field="1" count="1" selected="0">
            <x v="715"/>
          </reference>
          <reference field="2" count="1">
            <x v="3"/>
          </reference>
        </references>
      </pivotArea>
    </format>
    <format dxfId="1005">
      <pivotArea dataOnly="0" labelOnly="1" fieldPosition="0">
        <references count="3">
          <reference field="0" count="1" selected="0">
            <x v="126"/>
          </reference>
          <reference field="1" count="1" selected="0">
            <x v="734"/>
          </reference>
          <reference field="2" count="1">
            <x v="28"/>
          </reference>
        </references>
      </pivotArea>
    </format>
    <format dxfId="1004">
      <pivotArea dataOnly="0" labelOnly="1" fieldPosition="0">
        <references count="3">
          <reference field="0" count="1" selected="0">
            <x v="126"/>
          </reference>
          <reference field="1" count="1" selected="0">
            <x v="754"/>
          </reference>
          <reference field="2" count="1">
            <x v="18"/>
          </reference>
        </references>
      </pivotArea>
    </format>
    <format dxfId="1003">
      <pivotArea dataOnly="0" labelOnly="1" fieldPosition="0">
        <references count="3">
          <reference field="0" count="1" selected="0">
            <x v="126"/>
          </reference>
          <reference field="1" count="1" selected="0">
            <x v="762"/>
          </reference>
          <reference field="2" count="1">
            <x v="21"/>
          </reference>
        </references>
      </pivotArea>
    </format>
    <format dxfId="1002">
      <pivotArea dataOnly="0" labelOnly="1" fieldPosition="0">
        <references count="3">
          <reference field="0" count="1" selected="0">
            <x v="126"/>
          </reference>
          <reference field="1" count="1" selected="0">
            <x v="773"/>
          </reference>
          <reference field="2" count="1">
            <x v="6"/>
          </reference>
        </references>
      </pivotArea>
    </format>
    <format dxfId="1001">
      <pivotArea dataOnly="0" labelOnly="1" fieldPosition="0">
        <references count="3">
          <reference field="0" count="1" selected="0">
            <x v="126"/>
          </reference>
          <reference field="1" count="1" selected="0">
            <x v="1124"/>
          </reference>
          <reference field="2" count="1">
            <x v="26"/>
          </reference>
        </references>
      </pivotArea>
    </format>
    <format dxfId="1000">
      <pivotArea dataOnly="0" labelOnly="1" fieldPosition="0">
        <references count="3">
          <reference field="0" count="1" selected="0">
            <x v="125"/>
          </reference>
          <reference field="1" count="1" selected="0">
            <x v="439"/>
          </reference>
          <reference field="2" count="1">
            <x v="12"/>
          </reference>
        </references>
      </pivotArea>
    </format>
    <format dxfId="999">
      <pivotArea dataOnly="0" labelOnly="1" fieldPosition="0">
        <references count="3">
          <reference field="0" count="1" selected="0">
            <x v="125"/>
          </reference>
          <reference field="1" count="1" selected="0">
            <x v="880"/>
          </reference>
          <reference field="2" count="1">
            <x v="24"/>
          </reference>
        </references>
      </pivotArea>
    </format>
    <format dxfId="998">
      <pivotArea dataOnly="0" labelOnly="1" fieldPosition="0">
        <references count="3">
          <reference field="0" count="1" selected="0">
            <x v="125"/>
          </reference>
          <reference field="1" count="1" selected="0">
            <x v="1097"/>
          </reference>
          <reference field="2" count="1">
            <x v="26"/>
          </reference>
        </references>
      </pivotArea>
    </format>
    <format dxfId="997">
      <pivotArea dataOnly="0" labelOnly="1" fieldPosition="0">
        <references count="3">
          <reference field="0" count="1" selected="0">
            <x v="125"/>
          </reference>
          <reference field="1" count="1" selected="0">
            <x v="1302"/>
          </reference>
          <reference field="2" count="1">
            <x v="10"/>
          </reference>
        </references>
      </pivotArea>
    </format>
    <format dxfId="996">
      <pivotArea dataOnly="0" labelOnly="1" fieldPosition="0">
        <references count="3">
          <reference field="0" count="1" selected="0">
            <x v="124"/>
          </reference>
          <reference field="1" count="1" selected="0">
            <x v="229"/>
          </reference>
          <reference field="2" count="1">
            <x v="10"/>
          </reference>
        </references>
      </pivotArea>
    </format>
    <format dxfId="995">
      <pivotArea dataOnly="0" labelOnly="1" fieldPosition="0">
        <references count="3">
          <reference field="0" count="1" selected="0">
            <x v="124"/>
          </reference>
          <reference field="1" count="1" selected="0">
            <x v="526"/>
          </reference>
          <reference field="2" count="1">
            <x v="22"/>
          </reference>
        </references>
      </pivotArea>
    </format>
    <format dxfId="994">
      <pivotArea dataOnly="0" labelOnly="1" fieldPosition="0">
        <references count="3">
          <reference field="0" count="1" selected="0">
            <x v="124"/>
          </reference>
          <reference field="1" count="1" selected="0">
            <x v="747"/>
          </reference>
          <reference field="2" count="1">
            <x v="24"/>
          </reference>
        </references>
      </pivotArea>
    </format>
    <format dxfId="993">
      <pivotArea dataOnly="0" labelOnly="1" fieldPosition="0">
        <references count="3">
          <reference field="0" count="1" selected="0">
            <x v="124"/>
          </reference>
          <reference field="1" count="1" selected="0">
            <x v="1007"/>
          </reference>
          <reference field="2" count="1">
            <x v="18"/>
          </reference>
        </references>
      </pivotArea>
    </format>
    <format dxfId="992">
      <pivotArea dataOnly="0" labelOnly="1" fieldPosition="0">
        <references count="3">
          <reference field="0" count="1" selected="0">
            <x v="123"/>
          </reference>
          <reference field="1" count="1" selected="0">
            <x v="311"/>
          </reference>
          <reference field="2" count="1">
            <x v="1"/>
          </reference>
        </references>
      </pivotArea>
    </format>
    <format dxfId="991">
      <pivotArea dataOnly="0" labelOnly="1" fieldPosition="0">
        <references count="3">
          <reference field="0" count="1" selected="0">
            <x v="123"/>
          </reference>
          <reference field="1" count="1" selected="0">
            <x v="660"/>
          </reference>
          <reference field="2" count="1">
            <x v="6"/>
          </reference>
        </references>
      </pivotArea>
    </format>
    <format dxfId="990">
      <pivotArea dataOnly="0" labelOnly="1" fieldPosition="0">
        <references count="3">
          <reference field="0" count="1" selected="0">
            <x v="123"/>
          </reference>
          <reference field="1" count="1" selected="0">
            <x v="828"/>
          </reference>
          <reference field="2" count="1">
            <x v="29"/>
          </reference>
        </references>
      </pivotArea>
    </format>
    <format dxfId="989">
      <pivotArea dataOnly="0" labelOnly="1" fieldPosition="0">
        <references count="3">
          <reference field="0" count="1" selected="0">
            <x v="123"/>
          </reference>
          <reference field="1" count="1" selected="0">
            <x v="858"/>
          </reference>
          <reference field="2" count="1">
            <x v="21"/>
          </reference>
        </references>
      </pivotArea>
    </format>
    <format dxfId="988">
      <pivotArea dataOnly="0" labelOnly="1" fieldPosition="0">
        <references count="3">
          <reference field="0" count="1" selected="0">
            <x v="122"/>
          </reference>
          <reference field="1" count="1" selected="0">
            <x v="282"/>
          </reference>
          <reference field="2" count="1">
            <x v="6"/>
          </reference>
        </references>
      </pivotArea>
    </format>
    <format dxfId="987">
      <pivotArea dataOnly="0" labelOnly="1" fieldPosition="0">
        <references count="3">
          <reference field="0" count="1" selected="0">
            <x v="122"/>
          </reference>
          <reference field="1" count="1" selected="0">
            <x v="368"/>
          </reference>
          <reference field="2" count="1">
            <x v="14"/>
          </reference>
        </references>
      </pivotArea>
    </format>
    <format dxfId="986">
      <pivotArea dataOnly="0" labelOnly="1" fieldPosition="0">
        <references count="3">
          <reference field="0" count="1" selected="0">
            <x v="122"/>
          </reference>
          <reference field="1" count="1" selected="0">
            <x v="1095"/>
          </reference>
          <reference field="2" count="1">
            <x v="26"/>
          </reference>
        </references>
      </pivotArea>
    </format>
    <format dxfId="985">
      <pivotArea dataOnly="0" labelOnly="1" fieldPosition="0">
        <references count="3">
          <reference field="0" count="1" selected="0">
            <x v="122"/>
          </reference>
          <reference field="1" count="1" selected="0">
            <x v="1281"/>
          </reference>
          <reference field="2" count="1">
            <x v="16"/>
          </reference>
        </references>
      </pivotArea>
    </format>
    <format dxfId="984">
      <pivotArea dataOnly="0" labelOnly="1" fieldPosition="0">
        <references count="3">
          <reference field="0" count="1" selected="0">
            <x v="121"/>
          </reference>
          <reference field="1" count="1" selected="0">
            <x v="257"/>
          </reference>
          <reference field="2" count="1">
            <x v="6"/>
          </reference>
        </references>
      </pivotArea>
    </format>
    <format dxfId="983">
      <pivotArea dataOnly="0" labelOnly="1" fieldPosition="0">
        <references count="3">
          <reference field="0" count="1" selected="0">
            <x v="121"/>
          </reference>
          <reference field="1" count="1" selected="0">
            <x v="886"/>
          </reference>
          <reference field="2" count="1">
            <x v="27"/>
          </reference>
        </references>
      </pivotArea>
    </format>
    <format dxfId="982">
      <pivotArea dataOnly="0" labelOnly="1" fieldPosition="0">
        <references count="3">
          <reference field="0" count="1" selected="0">
            <x v="120"/>
          </reference>
          <reference field="1" count="1" selected="0">
            <x v="226"/>
          </reference>
          <reference field="2" count="1">
            <x v="14"/>
          </reference>
        </references>
      </pivotArea>
    </format>
    <format dxfId="981">
      <pivotArea dataOnly="0" labelOnly="1" fieldPosition="0">
        <references count="3">
          <reference field="0" count="1" selected="0">
            <x v="120"/>
          </reference>
          <reference field="1" count="1" selected="0">
            <x v="433"/>
          </reference>
          <reference field="2" count="1">
            <x v="3"/>
          </reference>
        </references>
      </pivotArea>
    </format>
    <format dxfId="980">
      <pivotArea dataOnly="0" labelOnly="1" fieldPosition="0">
        <references count="3">
          <reference field="0" count="1" selected="0">
            <x v="120"/>
          </reference>
          <reference field="1" count="1" selected="0">
            <x v="721"/>
          </reference>
          <reference field="2" count="1">
            <x v="16"/>
          </reference>
        </references>
      </pivotArea>
    </format>
    <format dxfId="979">
      <pivotArea dataOnly="0" labelOnly="1" fieldPosition="0">
        <references count="3">
          <reference field="0" count="1" selected="0">
            <x v="120"/>
          </reference>
          <reference field="1" count="1" selected="0">
            <x v="884"/>
          </reference>
          <reference field="2" count="1">
            <x v="7"/>
          </reference>
        </references>
      </pivotArea>
    </format>
    <format dxfId="978">
      <pivotArea dataOnly="0" labelOnly="1" fieldPosition="0">
        <references count="3">
          <reference field="0" count="1" selected="0">
            <x v="119"/>
          </reference>
          <reference field="1" count="1" selected="0">
            <x v="285"/>
          </reference>
          <reference field="2" count="1">
            <x v="13"/>
          </reference>
        </references>
      </pivotArea>
    </format>
    <format dxfId="977">
      <pivotArea dataOnly="0" labelOnly="1" fieldPosition="0">
        <references count="3">
          <reference field="0" count="1" selected="0">
            <x v="119"/>
          </reference>
          <reference field="1" count="1" selected="0">
            <x v="525"/>
          </reference>
          <reference field="2" count="1">
            <x v="13"/>
          </reference>
        </references>
      </pivotArea>
    </format>
    <format dxfId="976">
      <pivotArea dataOnly="0" labelOnly="1" fieldPosition="0">
        <references count="3">
          <reference field="0" count="1" selected="0">
            <x v="119"/>
          </reference>
          <reference field="1" count="1" selected="0">
            <x v="875"/>
          </reference>
          <reference field="2" count="1">
            <x v="15"/>
          </reference>
        </references>
      </pivotArea>
    </format>
    <format dxfId="975">
      <pivotArea dataOnly="0" labelOnly="1" fieldPosition="0">
        <references count="3">
          <reference field="0" count="1" selected="0">
            <x v="119"/>
          </reference>
          <reference field="1" count="1" selected="0">
            <x v="1120"/>
          </reference>
          <reference field="2" count="1">
            <x v="26"/>
          </reference>
        </references>
      </pivotArea>
    </format>
    <format dxfId="974">
      <pivotArea dataOnly="0" labelOnly="1" fieldPosition="0">
        <references count="3">
          <reference field="0" count="1" selected="0">
            <x v="118"/>
          </reference>
          <reference field="1" count="1" selected="0">
            <x v="927"/>
          </reference>
          <reference field="2" count="1">
            <x v="27"/>
          </reference>
        </references>
      </pivotArea>
    </format>
    <format dxfId="973">
      <pivotArea dataOnly="0" labelOnly="1" fieldPosition="0">
        <references count="3">
          <reference field="0" count="1" selected="0">
            <x v="118"/>
          </reference>
          <reference field="1" count="1" selected="0">
            <x v="1038"/>
          </reference>
          <reference field="2" count="1">
            <x v="23"/>
          </reference>
        </references>
      </pivotArea>
    </format>
    <format dxfId="972">
      <pivotArea dataOnly="0" labelOnly="1" fieldPosition="0">
        <references count="3">
          <reference field="0" count="1" selected="0">
            <x v="117"/>
          </reference>
          <reference field="1" count="1" selected="0">
            <x v="122"/>
          </reference>
          <reference field="2" count="1">
            <x v="14"/>
          </reference>
        </references>
      </pivotArea>
    </format>
    <format dxfId="971">
      <pivotArea dataOnly="0" labelOnly="1" fieldPosition="0">
        <references count="3">
          <reference field="0" count="1" selected="0">
            <x v="117"/>
          </reference>
          <reference field="1" count="1" selected="0">
            <x v="454"/>
          </reference>
          <reference field="2" count="1">
            <x v="22"/>
          </reference>
        </references>
      </pivotArea>
    </format>
    <format dxfId="970">
      <pivotArea dataOnly="0" labelOnly="1" fieldPosition="0">
        <references count="3">
          <reference field="0" count="1" selected="0">
            <x v="117"/>
          </reference>
          <reference field="1" count="1" selected="0">
            <x v="757"/>
          </reference>
          <reference field="2" count="1">
            <x v="21"/>
          </reference>
        </references>
      </pivotArea>
    </format>
    <format dxfId="969">
      <pivotArea dataOnly="0" labelOnly="1" fieldPosition="0">
        <references count="3">
          <reference field="0" count="1" selected="0">
            <x v="117"/>
          </reference>
          <reference field="1" count="1" selected="0">
            <x v="775"/>
          </reference>
          <reference field="2" count="1">
            <x v="3"/>
          </reference>
        </references>
      </pivotArea>
    </format>
    <format dxfId="968">
      <pivotArea dataOnly="0" labelOnly="1" fieldPosition="0">
        <references count="3">
          <reference field="0" count="1" selected="0">
            <x v="117"/>
          </reference>
          <reference field="1" count="1" selected="0">
            <x v="882"/>
          </reference>
          <reference field="2" count="1">
            <x v="6"/>
          </reference>
        </references>
      </pivotArea>
    </format>
    <format dxfId="967">
      <pivotArea dataOnly="0" labelOnly="1" fieldPosition="0">
        <references count="3">
          <reference field="0" count="1" selected="0">
            <x v="117"/>
          </reference>
          <reference field="1" count="1" selected="0">
            <x v="1059"/>
          </reference>
          <reference field="2" count="1">
            <x v="10"/>
          </reference>
        </references>
      </pivotArea>
    </format>
    <format dxfId="966">
      <pivotArea dataOnly="0" labelOnly="1" fieldPosition="0">
        <references count="3">
          <reference field="0" count="1" selected="0">
            <x v="116"/>
          </reference>
          <reference field="1" count="1" selected="0">
            <x v="379"/>
          </reference>
          <reference field="2" count="1">
            <x v="28"/>
          </reference>
        </references>
      </pivotArea>
    </format>
    <format dxfId="965">
      <pivotArea dataOnly="0" labelOnly="1" fieldPosition="0">
        <references count="3">
          <reference field="0" count="1" selected="0">
            <x v="116"/>
          </reference>
          <reference field="1" count="1" selected="0">
            <x v="524"/>
          </reference>
          <reference field="2" count="1">
            <x v="12"/>
          </reference>
        </references>
      </pivotArea>
    </format>
    <format dxfId="964">
      <pivotArea dataOnly="0" labelOnly="1" fieldPosition="0">
        <references count="3">
          <reference field="0" count="1" selected="0">
            <x v="116"/>
          </reference>
          <reference field="1" count="1" selected="0">
            <x v="1148"/>
          </reference>
          <reference field="2" count="1">
            <x v="9"/>
          </reference>
        </references>
      </pivotArea>
    </format>
    <format dxfId="963">
      <pivotArea dataOnly="0" labelOnly="1" fieldPosition="0">
        <references count="3">
          <reference field="0" count="1" selected="0">
            <x v="115"/>
          </reference>
          <reference field="1" count="1" selected="0">
            <x v="162"/>
          </reference>
          <reference field="2" count="1">
            <x v="0"/>
          </reference>
        </references>
      </pivotArea>
    </format>
    <format dxfId="962">
      <pivotArea dataOnly="0" labelOnly="1" fieldPosition="0">
        <references count="3">
          <reference field="0" count="1" selected="0">
            <x v="115"/>
          </reference>
          <reference field="1" count="1" selected="0">
            <x v="432"/>
          </reference>
          <reference field="2" count="1">
            <x v="20"/>
          </reference>
        </references>
      </pivotArea>
    </format>
    <format dxfId="961">
      <pivotArea dataOnly="0" labelOnly="1" fieldPosition="0">
        <references count="3">
          <reference field="0" count="1" selected="0">
            <x v="115"/>
          </reference>
          <reference field="1" count="1" selected="0">
            <x v="434"/>
          </reference>
          <reference field="2" count="1">
            <x v="3"/>
          </reference>
        </references>
      </pivotArea>
    </format>
    <format dxfId="960">
      <pivotArea dataOnly="0" labelOnly="1" fieldPosition="0">
        <references count="3">
          <reference field="0" count="1" selected="0">
            <x v="115"/>
          </reference>
          <reference field="1" count="1" selected="0">
            <x v="621"/>
          </reference>
          <reference field="2" count="1">
            <x v="4"/>
          </reference>
        </references>
      </pivotArea>
    </format>
    <format dxfId="959">
      <pivotArea dataOnly="0" labelOnly="1" fieldPosition="0">
        <references count="3">
          <reference field="0" count="1" selected="0">
            <x v="115"/>
          </reference>
          <reference field="1" count="1" selected="0">
            <x v="673"/>
          </reference>
          <reference field="2" count="1">
            <x v="14"/>
          </reference>
        </references>
      </pivotArea>
    </format>
    <format dxfId="958">
      <pivotArea dataOnly="0" labelOnly="1" fieldPosition="0">
        <references count="3">
          <reference field="0" count="1" selected="0">
            <x v="114"/>
          </reference>
          <reference field="1" count="1" selected="0">
            <x v="843"/>
          </reference>
          <reference field="2" count="1">
            <x v="3"/>
          </reference>
        </references>
      </pivotArea>
    </format>
    <format dxfId="957">
      <pivotArea dataOnly="0" labelOnly="1" fieldPosition="0">
        <references count="3">
          <reference field="0" count="1" selected="0">
            <x v="113"/>
          </reference>
          <reference field="1" count="1" selected="0">
            <x v="46"/>
          </reference>
          <reference field="2" count="1">
            <x v="16"/>
          </reference>
        </references>
      </pivotArea>
    </format>
    <format dxfId="956">
      <pivotArea dataOnly="0" labelOnly="1" fieldPosition="0">
        <references count="3">
          <reference field="0" count="1" selected="0">
            <x v="113"/>
          </reference>
          <reference field="1" count="1" selected="0">
            <x v="746"/>
          </reference>
          <reference field="2" count="1">
            <x v="4"/>
          </reference>
        </references>
      </pivotArea>
    </format>
    <format dxfId="955">
      <pivotArea dataOnly="0" labelOnly="1" fieldPosition="0">
        <references count="3">
          <reference field="0" count="1" selected="0">
            <x v="113"/>
          </reference>
          <reference field="1" count="1" selected="0">
            <x v="945"/>
          </reference>
          <reference field="2" count="1">
            <x v="16"/>
          </reference>
        </references>
      </pivotArea>
    </format>
    <format dxfId="954">
      <pivotArea dataOnly="0" labelOnly="1" fieldPosition="0">
        <references count="3">
          <reference field="0" count="1" selected="0">
            <x v="112"/>
          </reference>
          <reference field="1" count="1" selected="0">
            <x v="17"/>
          </reference>
          <reference field="2" count="1">
            <x v="16"/>
          </reference>
        </references>
      </pivotArea>
    </format>
    <format dxfId="953">
      <pivotArea dataOnly="0" labelOnly="1" fieldPosition="0">
        <references count="3">
          <reference field="0" count="1" selected="0">
            <x v="112"/>
          </reference>
          <reference field="1" count="1" selected="0">
            <x v="283"/>
          </reference>
          <reference field="2" count="1">
            <x v="6"/>
          </reference>
        </references>
      </pivotArea>
    </format>
    <format dxfId="952">
      <pivotArea dataOnly="0" labelOnly="1" fieldPosition="0">
        <references count="3">
          <reference field="0" count="1" selected="0">
            <x v="112"/>
          </reference>
          <reference field="1" count="1" selected="0">
            <x v="872"/>
          </reference>
          <reference field="2" count="1">
            <x v="5"/>
          </reference>
        </references>
      </pivotArea>
    </format>
    <format dxfId="951">
      <pivotArea dataOnly="0" labelOnly="1" fieldPosition="0">
        <references count="3">
          <reference field="0" count="1" selected="0">
            <x v="111"/>
          </reference>
          <reference field="1" count="1" selected="0">
            <x v="61"/>
          </reference>
          <reference field="2" count="1">
            <x v="27"/>
          </reference>
        </references>
      </pivotArea>
    </format>
    <format dxfId="950">
      <pivotArea dataOnly="0" labelOnly="1" fieldPosition="0">
        <references count="3">
          <reference field="0" count="1" selected="0">
            <x v="111"/>
          </reference>
          <reference field="1" count="1" selected="0">
            <x v="259"/>
          </reference>
          <reference field="2" count="1">
            <x v="6"/>
          </reference>
        </references>
      </pivotArea>
    </format>
    <format dxfId="949">
      <pivotArea dataOnly="0" labelOnly="1" fieldPosition="0">
        <references count="3">
          <reference field="0" count="1" selected="0">
            <x v="111"/>
          </reference>
          <reference field="1" count="1" selected="0">
            <x v="799"/>
          </reference>
          <reference field="2" count="1">
            <x v="28"/>
          </reference>
        </references>
      </pivotArea>
    </format>
    <format dxfId="948">
      <pivotArea dataOnly="0" labelOnly="1" fieldPosition="0">
        <references count="3">
          <reference field="0" count="1" selected="0">
            <x v="110"/>
          </reference>
          <reference field="1" count="1" selected="0">
            <x v="361"/>
          </reference>
          <reference field="2" count="1">
            <x v="1"/>
          </reference>
        </references>
      </pivotArea>
    </format>
    <format dxfId="947">
      <pivotArea dataOnly="0" labelOnly="1" fieldPosition="0">
        <references count="3">
          <reference field="0" count="1" selected="0">
            <x v="110"/>
          </reference>
          <reference field="1" count="1" selected="0">
            <x v="980"/>
          </reference>
          <reference field="2" count="1">
            <x v="6"/>
          </reference>
        </references>
      </pivotArea>
    </format>
    <format dxfId="946">
      <pivotArea dataOnly="0" labelOnly="1" fieldPosition="0">
        <references count="3">
          <reference field="0" count="1" selected="0">
            <x v="110"/>
          </reference>
          <reference field="1" count="1" selected="0">
            <x v="1044"/>
          </reference>
          <reference field="2" count="1">
            <x v="16"/>
          </reference>
        </references>
      </pivotArea>
    </format>
    <format dxfId="945">
      <pivotArea dataOnly="0" labelOnly="1" fieldPosition="0">
        <references count="3">
          <reference field="0" count="1" selected="0">
            <x v="110"/>
          </reference>
          <reference field="1" count="1" selected="0">
            <x v="1289"/>
          </reference>
          <reference field="2" count="1">
            <x v="22"/>
          </reference>
        </references>
      </pivotArea>
    </format>
    <format dxfId="944">
      <pivotArea dataOnly="0" labelOnly="1" fieldPosition="0">
        <references count="3">
          <reference field="0" count="1" selected="0">
            <x v="109"/>
          </reference>
          <reference field="1" count="1" selected="0">
            <x v="640"/>
          </reference>
          <reference field="2" count="1">
            <x v="27"/>
          </reference>
        </references>
      </pivotArea>
    </format>
    <format dxfId="943">
      <pivotArea dataOnly="0" labelOnly="1" fieldPosition="0">
        <references count="3">
          <reference field="0" count="1" selected="0">
            <x v="109"/>
          </reference>
          <reference field="1" count="1" selected="0">
            <x v="849"/>
          </reference>
          <reference field="2" count="1">
            <x v="5"/>
          </reference>
        </references>
      </pivotArea>
    </format>
    <format dxfId="942">
      <pivotArea dataOnly="0" labelOnly="1" fieldPosition="0">
        <references count="3">
          <reference field="0" count="1" selected="0">
            <x v="109"/>
          </reference>
          <reference field="1" count="1" selected="0">
            <x v="908"/>
          </reference>
          <reference field="2" count="1">
            <x v="25"/>
          </reference>
        </references>
      </pivotArea>
    </format>
    <format dxfId="941">
      <pivotArea dataOnly="0" labelOnly="1" fieldPosition="0">
        <references count="3">
          <reference field="0" count="1" selected="0">
            <x v="108"/>
          </reference>
          <reference field="1" count="1" selected="0">
            <x v="151"/>
          </reference>
          <reference field="2" count="1">
            <x v="0"/>
          </reference>
        </references>
      </pivotArea>
    </format>
    <format dxfId="940">
      <pivotArea dataOnly="0" labelOnly="1" fieldPosition="0">
        <references count="3">
          <reference field="0" count="1" selected="0">
            <x v="108"/>
          </reference>
          <reference field="1" count="1" selected="0">
            <x v="615"/>
          </reference>
          <reference field="2" count="1">
            <x v="4"/>
          </reference>
        </references>
      </pivotArea>
    </format>
    <format dxfId="939">
      <pivotArea dataOnly="0" labelOnly="1" fieldPosition="0">
        <references count="3">
          <reference field="0" count="1" selected="0">
            <x v="108"/>
          </reference>
          <reference field="1" count="1" selected="0">
            <x v="703"/>
          </reference>
          <reference field="2" count="1">
            <x v="17"/>
          </reference>
        </references>
      </pivotArea>
    </format>
    <format dxfId="938">
      <pivotArea dataOnly="0" labelOnly="1" fieldPosition="0">
        <references count="3">
          <reference field="0" count="1" selected="0">
            <x v="108"/>
          </reference>
          <reference field="1" count="1" selected="0">
            <x v="1008"/>
          </reference>
          <reference field="2" count="1">
            <x v="18"/>
          </reference>
        </references>
      </pivotArea>
    </format>
    <format dxfId="937">
      <pivotArea dataOnly="0" labelOnly="1" fieldPosition="0">
        <references count="3">
          <reference field="0" count="1" selected="0">
            <x v="108"/>
          </reference>
          <reference field="1" count="1" selected="0">
            <x v="1134"/>
          </reference>
          <reference field="2" count="1">
            <x v="9"/>
          </reference>
        </references>
      </pivotArea>
    </format>
    <format dxfId="936">
      <pivotArea dataOnly="0" labelOnly="1" fieldPosition="0">
        <references count="3">
          <reference field="0" count="1" selected="0">
            <x v="107"/>
          </reference>
          <reference field="1" count="1" selected="0">
            <x v="515"/>
          </reference>
          <reference field="2" count="1">
            <x v="20"/>
          </reference>
        </references>
      </pivotArea>
    </format>
    <format dxfId="935">
      <pivotArea dataOnly="0" labelOnly="1" fieldPosition="0">
        <references count="3">
          <reference field="0" count="1" selected="0">
            <x v="107"/>
          </reference>
          <reference field="1" count="1" selected="0">
            <x v="756"/>
          </reference>
          <reference field="2" count="1">
            <x v="18"/>
          </reference>
        </references>
      </pivotArea>
    </format>
    <format dxfId="934">
      <pivotArea dataOnly="0" labelOnly="1" fieldPosition="0">
        <references count="3">
          <reference field="0" count="1" selected="0">
            <x v="107"/>
          </reference>
          <reference field="1" count="1" selected="0">
            <x v="865"/>
          </reference>
          <reference field="2" count="1">
            <x v="17"/>
          </reference>
        </references>
      </pivotArea>
    </format>
    <format dxfId="933">
      <pivotArea dataOnly="0" labelOnly="1" fieldPosition="0">
        <references count="3">
          <reference field="0" count="1" selected="0">
            <x v="107"/>
          </reference>
          <reference field="1" count="1" selected="0">
            <x v="1126"/>
          </reference>
          <reference field="2" count="1">
            <x v="6"/>
          </reference>
        </references>
      </pivotArea>
    </format>
    <format dxfId="932">
      <pivotArea dataOnly="0" labelOnly="1" fieldPosition="0">
        <references count="3">
          <reference field="0" count="1" selected="0">
            <x v="106"/>
          </reference>
          <reference field="1" count="1" selected="0">
            <x v="425"/>
          </reference>
          <reference field="2" count="1">
            <x v="12"/>
          </reference>
        </references>
      </pivotArea>
    </format>
    <format dxfId="931">
      <pivotArea dataOnly="0" labelOnly="1" fieldPosition="0">
        <references count="3">
          <reference field="0" count="1" selected="0">
            <x v="106"/>
          </reference>
          <reference field="1" count="1" selected="0">
            <x v="1207"/>
          </reference>
          <reference field="2" count="1">
            <x v="6"/>
          </reference>
        </references>
      </pivotArea>
    </format>
    <format dxfId="930">
      <pivotArea dataOnly="0" labelOnly="1" fieldPosition="0">
        <references count="3">
          <reference field="0" count="1" selected="0">
            <x v="105"/>
          </reference>
          <reference field="1" count="1" selected="0">
            <x v="117"/>
          </reference>
          <reference field="2" count="1">
            <x v="14"/>
          </reference>
        </references>
      </pivotArea>
    </format>
    <format dxfId="929">
      <pivotArea dataOnly="0" labelOnly="1" fieldPosition="0">
        <references count="3">
          <reference field="0" count="1" selected="0">
            <x v="105"/>
          </reference>
          <reference field="1" count="1" selected="0">
            <x v="393"/>
          </reference>
          <reference field="2" count="1">
            <x v="10"/>
          </reference>
        </references>
      </pivotArea>
    </format>
    <format dxfId="928">
      <pivotArea dataOnly="0" labelOnly="1" fieldPosition="0">
        <references count="3">
          <reference field="0" count="1" selected="0">
            <x v="105"/>
          </reference>
          <reference field="1" count="1" selected="0">
            <x v="654"/>
          </reference>
          <reference field="2" count="1">
            <x v="6"/>
          </reference>
        </references>
      </pivotArea>
    </format>
    <format dxfId="927">
      <pivotArea dataOnly="0" labelOnly="1" fieldPosition="0">
        <references count="3">
          <reference field="0" count="1" selected="0">
            <x v="105"/>
          </reference>
          <reference field="1" count="1" selected="0">
            <x v="803"/>
          </reference>
          <reference field="2" count="1">
            <x v="28"/>
          </reference>
        </references>
      </pivotArea>
    </format>
    <format dxfId="926">
      <pivotArea dataOnly="0" labelOnly="1" fieldPosition="0">
        <references count="3">
          <reference field="0" count="1" selected="0">
            <x v="105"/>
          </reference>
          <reference field="1" count="1" selected="0">
            <x v="839"/>
          </reference>
          <reference field="2" count="1">
            <x v="5"/>
          </reference>
        </references>
      </pivotArea>
    </format>
    <format dxfId="925">
      <pivotArea dataOnly="0" labelOnly="1" fieldPosition="0">
        <references count="3">
          <reference field="0" count="1" selected="0">
            <x v="105"/>
          </reference>
          <reference field="1" count="1" selected="0">
            <x v="903"/>
          </reference>
          <reference field="2" count="1">
            <x v="18"/>
          </reference>
        </references>
      </pivotArea>
    </format>
    <format dxfId="924">
      <pivotArea dataOnly="0" labelOnly="1" fieldPosition="0">
        <references count="3">
          <reference field="0" count="1" selected="0">
            <x v="105"/>
          </reference>
          <reference field="1" count="1" selected="0">
            <x v="1061"/>
          </reference>
          <reference field="2" count="1">
            <x v="22"/>
          </reference>
        </references>
      </pivotArea>
    </format>
    <format dxfId="923">
      <pivotArea dataOnly="0" labelOnly="1" fieldPosition="0">
        <references count="3">
          <reference field="0" count="1" selected="0">
            <x v="105"/>
          </reference>
          <reference field="1" count="1" selected="0">
            <x v="1136"/>
          </reference>
          <reference field="2" count="1">
            <x v="9"/>
          </reference>
        </references>
      </pivotArea>
    </format>
    <format dxfId="922">
      <pivotArea dataOnly="0" labelOnly="1" fieldPosition="0">
        <references count="3">
          <reference field="0" count="1" selected="0">
            <x v="105"/>
          </reference>
          <reference field="1" count="1" selected="0">
            <x v="1250"/>
          </reference>
          <reference field="2" count="1">
            <x v="20"/>
          </reference>
        </references>
      </pivotArea>
    </format>
    <format dxfId="921">
      <pivotArea dataOnly="0" labelOnly="1" fieldPosition="0">
        <references count="3">
          <reference field="0" count="1" selected="0">
            <x v="104"/>
          </reference>
          <reference field="1" count="1" selected="0">
            <x v="717"/>
          </reference>
          <reference field="2" count="1">
            <x v="3"/>
          </reference>
        </references>
      </pivotArea>
    </format>
    <format dxfId="920">
      <pivotArea dataOnly="0" labelOnly="1" fieldPosition="0">
        <references count="3">
          <reference field="0" count="1" selected="0">
            <x v="104"/>
          </reference>
          <reference field="1" count="1" selected="0">
            <x v="801"/>
          </reference>
          <reference field="2" count="1">
            <x v="28"/>
          </reference>
        </references>
      </pivotArea>
    </format>
    <format dxfId="919">
      <pivotArea dataOnly="0" labelOnly="1" fieldPosition="0">
        <references count="3">
          <reference field="0" count="1" selected="0">
            <x v="103"/>
          </reference>
          <reference field="1" count="1" selected="0">
            <x v="638"/>
          </reference>
          <reference field="2" count="1">
            <x v="2"/>
          </reference>
        </references>
      </pivotArea>
    </format>
    <format dxfId="918">
      <pivotArea dataOnly="0" labelOnly="1" fieldPosition="0">
        <references count="3">
          <reference field="0" count="1" selected="0">
            <x v="103"/>
          </reference>
          <reference field="1" count="1" selected="0">
            <x v="644"/>
          </reference>
          <reference field="2" count="1">
            <x v="4"/>
          </reference>
        </references>
      </pivotArea>
    </format>
    <format dxfId="917">
      <pivotArea dataOnly="0" labelOnly="1" fieldPosition="0">
        <references count="3">
          <reference field="0" count="1" selected="0">
            <x v="103"/>
          </reference>
          <reference field="1" count="1" selected="0">
            <x v="782"/>
          </reference>
          <reference field="2" count="1">
            <x v="23"/>
          </reference>
        </references>
      </pivotArea>
    </format>
    <format dxfId="916">
      <pivotArea dataOnly="0" labelOnly="1" fieldPosition="0">
        <references count="3">
          <reference field="0" count="1" selected="0">
            <x v="102"/>
          </reference>
          <reference field="1" count="1" selected="0">
            <x v="771"/>
          </reference>
          <reference field="2" count="1">
            <x v="17"/>
          </reference>
        </references>
      </pivotArea>
    </format>
    <format dxfId="915">
      <pivotArea dataOnly="0" labelOnly="1" fieldPosition="0">
        <references count="3">
          <reference field="0" count="1" selected="0">
            <x v="102"/>
          </reference>
          <reference field="1" count="1" selected="0">
            <x v="1054"/>
          </reference>
          <reference field="2" count="1">
            <x v="16"/>
          </reference>
        </references>
      </pivotArea>
    </format>
    <format dxfId="914">
      <pivotArea dataOnly="0" labelOnly="1" fieldPosition="0">
        <references count="3">
          <reference field="0" count="1" selected="0">
            <x v="101"/>
          </reference>
          <reference field="1" count="1" selected="0">
            <x v="430"/>
          </reference>
          <reference field="2" count="1">
            <x v="27"/>
          </reference>
        </references>
      </pivotArea>
    </format>
    <format dxfId="913">
      <pivotArea dataOnly="0" labelOnly="1" fieldPosition="0">
        <references count="3">
          <reference field="0" count="1" selected="0">
            <x v="101"/>
          </reference>
          <reference field="1" count="1" selected="0">
            <x v="590"/>
          </reference>
          <reference field="2" count="1">
            <x v="6"/>
          </reference>
        </references>
      </pivotArea>
    </format>
    <format dxfId="912">
      <pivotArea dataOnly="0" labelOnly="1" fieldPosition="0">
        <references count="3">
          <reference field="0" count="1" selected="0">
            <x v="101"/>
          </reference>
          <reference field="1" count="1" selected="0">
            <x v="831"/>
          </reference>
          <reference field="2" count="1">
            <x v="5"/>
          </reference>
        </references>
      </pivotArea>
    </format>
    <format dxfId="911">
      <pivotArea dataOnly="0" labelOnly="1" fieldPosition="0">
        <references count="3">
          <reference field="0" count="1" selected="0">
            <x v="101"/>
          </reference>
          <reference field="1" count="1" selected="0">
            <x v="1180"/>
          </reference>
          <reference field="2" count="1">
            <x v="11"/>
          </reference>
        </references>
      </pivotArea>
    </format>
    <format dxfId="910">
      <pivotArea dataOnly="0" labelOnly="1" fieldPosition="0">
        <references count="3">
          <reference field="0" count="1" selected="0">
            <x v="101"/>
          </reference>
          <reference field="1" count="1" selected="0">
            <x v="1192"/>
          </reference>
          <reference field="2" count="1">
            <x v="11"/>
          </reference>
        </references>
      </pivotArea>
    </format>
    <format dxfId="909">
      <pivotArea dataOnly="0" labelOnly="1" fieldPosition="0">
        <references count="3">
          <reference field="0" count="1" selected="0">
            <x v="100"/>
          </reference>
          <reference field="1" count="1" selected="0">
            <x v="145"/>
          </reference>
          <reference field="2" count="1">
            <x v="0"/>
          </reference>
        </references>
      </pivotArea>
    </format>
    <format dxfId="908">
      <pivotArea dataOnly="0" labelOnly="1" fieldPosition="0">
        <references count="3">
          <reference field="0" count="1" selected="0">
            <x v="100"/>
          </reference>
          <reference field="1" count="1" selected="0">
            <x v="528"/>
          </reference>
          <reference field="2" count="1">
            <x v="22"/>
          </reference>
        </references>
      </pivotArea>
    </format>
    <format dxfId="907">
      <pivotArea dataOnly="0" labelOnly="1" fieldPosition="0">
        <references count="3">
          <reference field="0" count="1" selected="0">
            <x v="99"/>
          </reference>
          <reference field="1" count="1" selected="0">
            <x v="378"/>
          </reference>
          <reference field="2" count="1">
            <x v="20"/>
          </reference>
        </references>
      </pivotArea>
    </format>
    <format dxfId="906">
      <pivotArea dataOnly="0" labelOnly="1" fieldPosition="0">
        <references count="3">
          <reference field="0" count="1" selected="0">
            <x v="99"/>
          </reference>
          <reference field="1" count="1" selected="0">
            <x v="614"/>
          </reference>
          <reference field="2" count="1">
            <x v="6"/>
          </reference>
        </references>
      </pivotArea>
    </format>
    <format dxfId="905">
      <pivotArea dataOnly="0" labelOnly="1" fieldPosition="0">
        <references count="3">
          <reference field="0" count="1" selected="0">
            <x v="98"/>
          </reference>
          <reference field="1" count="1" selected="0">
            <x v="225"/>
          </reference>
          <reference field="2" count="1">
            <x v="7"/>
          </reference>
        </references>
      </pivotArea>
    </format>
    <format dxfId="904">
      <pivotArea dataOnly="0" labelOnly="1" fieldPosition="0">
        <references count="3">
          <reference field="0" count="1" selected="0">
            <x v="98"/>
          </reference>
          <reference field="1" count="1" selected="0">
            <x v="382"/>
          </reference>
          <reference field="2" count="1">
            <x v="12"/>
          </reference>
        </references>
      </pivotArea>
    </format>
    <format dxfId="903">
      <pivotArea dataOnly="0" labelOnly="1" fieldPosition="0">
        <references count="3">
          <reference field="0" count="1" selected="0">
            <x v="98"/>
          </reference>
          <reference field="1" count="1" selected="0">
            <x v="447"/>
          </reference>
          <reference field="2" count="1">
            <x v="14"/>
          </reference>
        </references>
      </pivotArea>
    </format>
    <format dxfId="902">
      <pivotArea dataOnly="0" labelOnly="1" fieldPosition="0">
        <references count="3">
          <reference field="0" count="1" selected="0">
            <x v="98"/>
          </reference>
          <reference field="1" count="1" selected="0">
            <x v="563"/>
          </reference>
          <reference field="2" count="1">
            <x v="21"/>
          </reference>
        </references>
      </pivotArea>
    </format>
    <format dxfId="901">
      <pivotArea dataOnly="0" labelOnly="1" fieldPosition="0">
        <references count="3">
          <reference field="0" count="1" selected="0">
            <x v="98"/>
          </reference>
          <reference field="1" count="1" selected="0">
            <x v="1071"/>
          </reference>
          <reference field="2" count="1">
            <x v="7"/>
          </reference>
        </references>
      </pivotArea>
    </format>
    <format dxfId="900">
      <pivotArea dataOnly="0" labelOnly="1" fieldPosition="0">
        <references count="3">
          <reference field="0" count="1" selected="0">
            <x v="98"/>
          </reference>
          <reference field="1" count="1" selected="0">
            <x v="1072"/>
          </reference>
          <reference field="2" count="1">
            <x v="7"/>
          </reference>
        </references>
      </pivotArea>
    </format>
    <format dxfId="899">
      <pivotArea dataOnly="0" labelOnly="1" fieldPosition="0">
        <references count="3">
          <reference field="0" count="1" selected="0">
            <x v="98"/>
          </reference>
          <reference field="1" count="1" selected="0">
            <x v="1074"/>
          </reference>
          <reference field="2" count="1">
            <x v="7"/>
          </reference>
        </references>
      </pivotArea>
    </format>
    <format dxfId="898">
      <pivotArea dataOnly="0" labelOnly="1" fieldPosition="0">
        <references count="3">
          <reference field="0" count="1" selected="0">
            <x v="98"/>
          </reference>
          <reference field="1" count="1" selected="0">
            <x v="1291"/>
          </reference>
          <reference field="2" count="1">
            <x v="1"/>
          </reference>
        </references>
      </pivotArea>
    </format>
    <format dxfId="897">
      <pivotArea dataOnly="0" labelOnly="1" fieldPosition="0">
        <references count="3">
          <reference field="0" count="1" selected="0">
            <x v="97"/>
          </reference>
          <reference field="1" count="1" selected="0">
            <x v="475"/>
          </reference>
          <reference field="2" count="1">
            <x v="18"/>
          </reference>
        </references>
      </pivotArea>
    </format>
    <format dxfId="896">
      <pivotArea dataOnly="0" labelOnly="1" fieldPosition="0">
        <references count="3">
          <reference field="0" count="1" selected="0">
            <x v="97"/>
          </reference>
          <reference field="1" count="1" selected="0">
            <x v="476"/>
          </reference>
          <reference field="2" count="1">
            <x v="18"/>
          </reference>
        </references>
      </pivotArea>
    </format>
    <format dxfId="895">
      <pivotArea dataOnly="0" labelOnly="1" fieldPosition="0">
        <references count="3">
          <reference field="0" count="1" selected="0">
            <x v="97"/>
          </reference>
          <reference field="1" count="1" selected="0">
            <x v="507"/>
          </reference>
          <reference field="2" count="1">
            <x v="27"/>
          </reference>
        </references>
      </pivotArea>
    </format>
    <format dxfId="894">
      <pivotArea dataOnly="0" labelOnly="1" fieldPosition="0">
        <references count="3">
          <reference field="0" count="1" selected="0">
            <x v="97"/>
          </reference>
          <reference field="1" count="1" selected="0">
            <x v="544"/>
          </reference>
          <reference field="2" count="1">
            <x v="17"/>
          </reference>
        </references>
      </pivotArea>
    </format>
    <format dxfId="893">
      <pivotArea dataOnly="0" labelOnly="1" fieldPosition="0">
        <references count="3">
          <reference field="0" count="1" selected="0">
            <x v="97"/>
          </reference>
          <reference field="1" count="1" selected="0">
            <x v="559"/>
          </reference>
          <reference field="2" count="1">
            <x v="3"/>
          </reference>
        </references>
      </pivotArea>
    </format>
    <format dxfId="892">
      <pivotArea dataOnly="0" labelOnly="1" fieldPosition="0">
        <references count="3">
          <reference field="0" count="1" selected="0">
            <x v="97"/>
          </reference>
          <reference field="1" count="1" selected="0">
            <x v="1047"/>
          </reference>
          <reference field="2" count="1">
            <x v="15"/>
          </reference>
        </references>
      </pivotArea>
    </format>
    <format dxfId="891">
      <pivotArea dataOnly="0" labelOnly="1" fieldPosition="0">
        <references count="3">
          <reference field="0" count="1" selected="0">
            <x v="97"/>
          </reference>
          <reference field="1" count="1" selected="0">
            <x v="1116"/>
          </reference>
          <reference field="2" count="1">
            <x v="26"/>
          </reference>
        </references>
      </pivotArea>
    </format>
    <format dxfId="890">
      <pivotArea dataOnly="0" labelOnly="1" fieldPosition="0">
        <references count="3">
          <reference field="0" count="1" selected="0">
            <x v="97"/>
          </reference>
          <reference field="1" count="1" selected="0">
            <x v="1208"/>
          </reference>
          <reference field="2" count="1">
            <x v="12"/>
          </reference>
        </references>
      </pivotArea>
    </format>
    <format dxfId="889">
      <pivotArea dataOnly="0" labelOnly="1" fieldPosition="0">
        <references count="3">
          <reference field="0" count="1" selected="0">
            <x v="96"/>
          </reference>
          <reference field="1" count="1" selected="0">
            <x v="153"/>
          </reference>
          <reference field="2" count="1">
            <x v="0"/>
          </reference>
        </references>
      </pivotArea>
    </format>
    <format dxfId="888">
      <pivotArea dataOnly="0" labelOnly="1" fieldPosition="0">
        <references count="3">
          <reference field="0" count="1" selected="0">
            <x v="96"/>
          </reference>
          <reference field="1" count="1" selected="0">
            <x v="306"/>
          </reference>
          <reference field="2" count="1">
            <x v="1"/>
          </reference>
        </references>
      </pivotArea>
    </format>
    <format dxfId="887">
      <pivotArea dataOnly="0" labelOnly="1" fieldPosition="0">
        <references count="3">
          <reference field="0" count="1" selected="0">
            <x v="96"/>
          </reference>
          <reference field="1" count="1" selected="0">
            <x v="477"/>
          </reference>
          <reference field="2" count="1">
            <x v="27"/>
          </reference>
        </references>
      </pivotArea>
    </format>
    <format dxfId="886">
      <pivotArea dataOnly="0" labelOnly="1" fieldPosition="0">
        <references count="3">
          <reference field="0" count="1" selected="0">
            <x v="96"/>
          </reference>
          <reference field="1" count="1" selected="0">
            <x v="560"/>
          </reference>
          <reference field="2" count="1">
            <x v="25"/>
          </reference>
        </references>
      </pivotArea>
    </format>
    <format dxfId="885">
      <pivotArea dataOnly="0" labelOnly="1" fieldPosition="0">
        <references count="3">
          <reference field="0" count="1" selected="0">
            <x v="96"/>
          </reference>
          <reference field="1" count="1" selected="0">
            <x v="571"/>
          </reference>
          <reference field="2" count="1">
            <x v="3"/>
          </reference>
        </references>
      </pivotArea>
    </format>
    <format dxfId="884">
      <pivotArea dataOnly="0" labelOnly="1" fieldPosition="0">
        <references count="3">
          <reference field="0" count="1" selected="0">
            <x v="96"/>
          </reference>
          <reference field="1" count="1" selected="0">
            <x v="612"/>
          </reference>
          <reference field="2" count="1">
            <x v="4"/>
          </reference>
        </references>
      </pivotArea>
    </format>
    <format dxfId="883">
      <pivotArea dataOnly="0" labelOnly="1" fieldPosition="0">
        <references count="3">
          <reference field="0" count="1" selected="0">
            <x v="96"/>
          </reference>
          <reference field="1" count="1" selected="0">
            <x v="822"/>
          </reference>
          <reference field="2" count="1">
            <x v="16"/>
          </reference>
        </references>
      </pivotArea>
    </format>
    <format dxfId="882">
      <pivotArea dataOnly="0" labelOnly="1" fieldPosition="0">
        <references count="3">
          <reference field="0" count="1" selected="0">
            <x v="96"/>
          </reference>
          <reference field="1" count="1" selected="0">
            <x v="1079"/>
          </reference>
          <reference field="2" count="1">
            <x v="2"/>
          </reference>
        </references>
      </pivotArea>
    </format>
    <format dxfId="881">
      <pivotArea dataOnly="0" labelOnly="1" fieldPosition="0">
        <references count="3">
          <reference field="0" count="1" selected="0">
            <x v="96"/>
          </reference>
          <reference field="1" count="1" selected="0">
            <x v="1115"/>
          </reference>
          <reference field="2" count="1">
            <x v="26"/>
          </reference>
        </references>
      </pivotArea>
    </format>
    <format dxfId="880">
      <pivotArea dataOnly="0" labelOnly="1" fieldPosition="0">
        <references count="3">
          <reference field="0" count="1" selected="0">
            <x v="96"/>
          </reference>
          <reference field="1" count="1" selected="0">
            <x v="1141"/>
          </reference>
          <reference field="2" count="1">
            <x v="9"/>
          </reference>
        </references>
      </pivotArea>
    </format>
    <format dxfId="879">
      <pivotArea dataOnly="0" labelOnly="1" fieldPosition="0">
        <references count="3">
          <reference field="0" count="1" selected="0">
            <x v="96"/>
          </reference>
          <reference field="1" count="1" selected="0">
            <x v="1159"/>
          </reference>
          <reference field="2" count="1">
            <x v="9"/>
          </reference>
        </references>
      </pivotArea>
    </format>
    <format dxfId="878">
      <pivotArea dataOnly="0" labelOnly="1" fieldPosition="0">
        <references count="3">
          <reference field="0" count="1" selected="0">
            <x v="95"/>
          </reference>
          <reference field="1" count="1" selected="0">
            <x v="1031"/>
          </reference>
          <reference field="2" count="1">
            <x v="3"/>
          </reference>
        </references>
      </pivotArea>
    </format>
    <format dxfId="877">
      <pivotArea dataOnly="0" labelOnly="1" fieldPosition="0">
        <references count="3">
          <reference field="0" count="1" selected="0">
            <x v="95"/>
          </reference>
          <reference field="1" count="1" selected="0">
            <x v="1085"/>
          </reference>
          <reference field="2" count="1">
            <x v="28"/>
          </reference>
        </references>
      </pivotArea>
    </format>
    <format dxfId="876">
      <pivotArea dataOnly="0" labelOnly="1" fieldPosition="0">
        <references count="3">
          <reference field="0" count="1" selected="0">
            <x v="95"/>
          </reference>
          <reference field="1" count="1" selected="0">
            <x v="1112"/>
          </reference>
          <reference field="2" count="1">
            <x v="26"/>
          </reference>
        </references>
      </pivotArea>
    </format>
    <format dxfId="875">
      <pivotArea dataOnly="0" labelOnly="1" fieldPosition="0">
        <references count="3">
          <reference field="0" count="1" selected="0">
            <x v="95"/>
          </reference>
          <reference field="1" count="1" selected="0">
            <x v="1137"/>
          </reference>
          <reference field="2" count="1">
            <x v="9"/>
          </reference>
        </references>
      </pivotArea>
    </format>
    <format dxfId="874">
      <pivotArea dataOnly="0" labelOnly="1" fieldPosition="0">
        <references count="3">
          <reference field="0" count="1" selected="0">
            <x v="94"/>
          </reference>
          <reference field="1" count="1" selected="0">
            <x v="192"/>
          </reference>
          <reference field="2" count="1">
            <x v="5"/>
          </reference>
        </references>
      </pivotArea>
    </format>
    <format dxfId="873">
      <pivotArea dataOnly="0" labelOnly="1" fieldPosition="0">
        <references count="3">
          <reference field="0" count="1" selected="0">
            <x v="94"/>
          </reference>
          <reference field="1" count="1" selected="0">
            <x v="292"/>
          </reference>
          <reference field="2" count="1">
            <x v="15"/>
          </reference>
        </references>
      </pivotArea>
    </format>
    <format dxfId="872">
      <pivotArea dataOnly="0" labelOnly="1" fieldPosition="0">
        <references count="3">
          <reference field="0" count="1" selected="0">
            <x v="94"/>
          </reference>
          <reference field="1" count="1" selected="0">
            <x v="423"/>
          </reference>
          <reference field="2" count="1">
            <x v="6"/>
          </reference>
        </references>
      </pivotArea>
    </format>
    <format dxfId="871">
      <pivotArea dataOnly="0" labelOnly="1" fieldPosition="0">
        <references count="3">
          <reference field="0" count="1" selected="0">
            <x v="94"/>
          </reference>
          <reference field="1" count="1" selected="0">
            <x v="443"/>
          </reference>
          <reference field="2" count="1">
            <x v="22"/>
          </reference>
        </references>
      </pivotArea>
    </format>
    <format dxfId="870">
      <pivotArea dataOnly="0" labelOnly="1" fieldPosition="0">
        <references count="3">
          <reference field="0" count="1" selected="0">
            <x v="94"/>
          </reference>
          <reference field="1" count="1" selected="0">
            <x v="456"/>
          </reference>
          <reference field="2" count="1">
            <x v="22"/>
          </reference>
        </references>
      </pivotArea>
    </format>
    <format dxfId="869">
      <pivotArea dataOnly="0" labelOnly="1" fieldPosition="0">
        <references count="3">
          <reference field="0" count="1" selected="0">
            <x v="94"/>
          </reference>
          <reference field="1" count="1" selected="0">
            <x v="501"/>
          </reference>
          <reference field="2" count="1">
            <x v="18"/>
          </reference>
        </references>
      </pivotArea>
    </format>
    <format dxfId="868">
      <pivotArea dataOnly="0" labelOnly="1" fieldPosition="0">
        <references count="3">
          <reference field="0" count="1" selected="0">
            <x v="94"/>
          </reference>
          <reference field="1" count="1" selected="0">
            <x v="751"/>
          </reference>
          <reference field="2" count="1">
            <x v="17"/>
          </reference>
        </references>
      </pivotArea>
    </format>
    <format dxfId="867">
      <pivotArea dataOnly="0" labelOnly="1" fieldPosition="0">
        <references count="3">
          <reference field="0" count="1" selected="0">
            <x v="94"/>
          </reference>
          <reference field="1" count="1" selected="0">
            <x v="1066"/>
          </reference>
          <reference field="2" count="1">
            <x v="22"/>
          </reference>
        </references>
      </pivotArea>
    </format>
    <format dxfId="866">
      <pivotArea dataOnly="0" labelOnly="1" fieldPosition="0">
        <references count="3">
          <reference field="0" count="1" selected="0">
            <x v="94"/>
          </reference>
          <reference field="1" count="1" selected="0">
            <x v="1113"/>
          </reference>
          <reference field="2" count="1">
            <x v="26"/>
          </reference>
        </references>
      </pivotArea>
    </format>
    <format dxfId="865">
      <pivotArea dataOnly="0" labelOnly="1" fieldPosition="0">
        <references count="3">
          <reference field="0" count="1" selected="0">
            <x v="94"/>
          </reference>
          <reference field="1" count="1" selected="0">
            <x v="1178"/>
          </reference>
          <reference field="2" count="1">
            <x v="11"/>
          </reference>
        </references>
      </pivotArea>
    </format>
    <format dxfId="864">
      <pivotArea dataOnly="0" labelOnly="1" fieldPosition="0">
        <references count="3">
          <reference field="0" count="1" selected="0">
            <x v="94"/>
          </reference>
          <reference field="1" count="1" selected="0">
            <x v="1296"/>
          </reference>
          <reference field="2" count="1">
            <x v="22"/>
          </reference>
        </references>
      </pivotArea>
    </format>
    <format dxfId="863">
      <pivotArea dataOnly="0" labelOnly="1" fieldPosition="0">
        <references count="3">
          <reference field="0" count="1" selected="0">
            <x v="93"/>
          </reference>
          <reference field="1" count="1" selected="0">
            <x v="141"/>
          </reference>
          <reference field="2" count="1">
            <x v="0"/>
          </reference>
        </references>
      </pivotArea>
    </format>
    <format dxfId="862">
      <pivotArea dataOnly="0" labelOnly="1" fieldPosition="0">
        <references count="3">
          <reference field="0" count="1" selected="0">
            <x v="93"/>
          </reference>
          <reference field="1" count="1" selected="0">
            <x v="608"/>
          </reference>
          <reference field="2" count="1">
            <x v="27"/>
          </reference>
        </references>
      </pivotArea>
    </format>
    <format dxfId="861">
      <pivotArea dataOnly="0" labelOnly="1" fieldPosition="0">
        <references count="3">
          <reference field="0" count="1" selected="0">
            <x v="93"/>
          </reference>
          <reference field="1" count="1" selected="0">
            <x v="1030"/>
          </reference>
          <reference field="2" count="1">
            <x v="3"/>
          </reference>
        </references>
      </pivotArea>
    </format>
    <format dxfId="860">
      <pivotArea dataOnly="0" labelOnly="1" fieldPosition="0">
        <references count="3">
          <reference field="0" count="1" selected="0">
            <x v="92"/>
          </reference>
          <reference field="1" count="1" selected="0">
            <x v="69"/>
          </reference>
          <reference field="2" count="1">
            <x v="19"/>
          </reference>
        </references>
      </pivotArea>
    </format>
    <format dxfId="859">
      <pivotArea dataOnly="0" labelOnly="1" fieldPosition="0">
        <references count="3">
          <reference field="0" count="1" selected="0">
            <x v="92"/>
          </reference>
          <reference field="1" count="1" selected="0">
            <x v="136"/>
          </reference>
          <reference field="2" count="1">
            <x v="0"/>
          </reference>
        </references>
      </pivotArea>
    </format>
    <format dxfId="858">
      <pivotArea dataOnly="0" labelOnly="1" fieldPosition="0">
        <references count="3">
          <reference field="0" count="1" selected="0">
            <x v="92"/>
          </reference>
          <reference field="1" count="1" selected="0">
            <x v="140"/>
          </reference>
          <reference field="2" count="1">
            <x v="0"/>
          </reference>
        </references>
      </pivotArea>
    </format>
    <format dxfId="857">
      <pivotArea dataOnly="0" labelOnly="1" fieldPosition="0">
        <references count="3">
          <reference field="0" count="1" selected="0">
            <x v="92"/>
          </reference>
          <reference field="1" count="1" selected="0">
            <x v="406"/>
          </reference>
          <reference field="2" count="1">
            <x v="10"/>
          </reference>
        </references>
      </pivotArea>
    </format>
    <format dxfId="856">
      <pivotArea dataOnly="0" labelOnly="1" fieldPosition="0">
        <references count="3">
          <reference field="0" count="1" selected="0">
            <x v="92"/>
          </reference>
          <reference field="1" count="1" selected="0">
            <x v="413"/>
          </reference>
          <reference field="2" count="1">
            <x v="10"/>
          </reference>
        </references>
      </pivotArea>
    </format>
    <format dxfId="855">
      <pivotArea dataOnly="0" labelOnly="1" fieldPosition="0">
        <references count="3">
          <reference field="0" count="1" selected="0">
            <x v="92"/>
          </reference>
          <reference field="1" count="1" selected="0">
            <x v="506"/>
          </reference>
          <reference field="2" count="1">
            <x v="19"/>
          </reference>
        </references>
      </pivotArea>
    </format>
    <format dxfId="854">
      <pivotArea dataOnly="0" labelOnly="1" fieldPosition="0">
        <references count="3">
          <reference field="0" count="1" selected="0">
            <x v="92"/>
          </reference>
          <reference field="1" count="1" selected="0">
            <x v="540"/>
          </reference>
          <reference field="2" count="1">
            <x v="4"/>
          </reference>
        </references>
      </pivotArea>
    </format>
    <format dxfId="853">
      <pivotArea dataOnly="0" labelOnly="1" fieldPosition="0">
        <references count="3">
          <reference field="0" count="1" selected="0">
            <x v="92"/>
          </reference>
          <reference field="1" count="1" selected="0">
            <x v="547"/>
          </reference>
          <reference field="2" count="1">
            <x v="5"/>
          </reference>
        </references>
      </pivotArea>
    </format>
    <format dxfId="852">
      <pivotArea dataOnly="0" labelOnly="1" fieldPosition="0">
        <references count="3">
          <reference field="0" count="1" selected="0">
            <x v="92"/>
          </reference>
          <reference field="1" count="1" selected="0">
            <x v="570"/>
          </reference>
          <reference field="2" count="1">
            <x v="3"/>
          </reference>
        </references>
      </pivotArea>
    </format>
    <format dxfId="851">
      <pivotArea dataOnly="0" labelOnly="1" fieldPosition="0">
        <references count="3">
          <reference field="0" count="1" selected="0">
            <x v="92"/>
          </reference>
          <reference field="1" count="1" selected="0">
            <x v="587"/>
          </reference>
          <reference field="2" count="1">
            <x v="27"/>
          </reference>
        </references>
      </pivotArea>
    </format>
    <format dxfId="850">
      <pivotArea dataOnly="0" labelOnly="1" fieldPosition="0">
        <references count="3">
          <reference field="0" count="1" selected="0">
            <x v="92"/>
          </reference>
          <reference field="1" count="1" selected="0">
            <x v="697"/>
          </reference>
          <reference field="2" count="1">
            <x v="24"/>
          </reference>
        </references>
      </pivotArea>
    </format>
    <format dxfId="849">
      <pivotArea dataOnly="0" labelOnly="1" fieldPosition="0">
        <references count="3">
          <reference field="0" count="1" selected="0">
            <x v="92"/>
          </reference>
          <reference field="1" count="1" selected="0">
            <x v="862"/>
          </reference>
          <reference field="2" count="1">
            <x v="21"/>
          </reference>
        </references>
      </pivotArea>
    </format>
    <format dxfId="848">
      <pivotArea dataOnly="0" labelOnly="1" fieldPosition="0">
        <references count="3">
          <reference field="0" count="1" selected="0">
            <x v="92"/>
          </reference>
          <reference field="1" count="1" selected="0">
            <x v="877"/>
          </reference>
          <reference field="2" count="1">
            <x v="24"/>
          </reference>
        </references>
      </pivotArea>
    </format>
    <format dxfId="847">
      <pivotArea dataOnly="0" labelOnly="1" fieldPosition="0">
        <references count="3">
          <reference field="0" count="1" selected="0">
            <x v="92"/>
          </reference>
          <reference field="1" count="1" selected="0">
            <x v="1076"/>
          </reference>
          <reference field="2" count="1">
            <x v="7"/>
          </reference>
        </references>
      </pivotArea>
    </format>
    <format dxfId="846">
      <pivotArea dataOnly="0" labelOnly="1" fieldPosition="0">
        <references count="3">
          <reference field="0" count="1" selected="0">
            <x v="92"/>
          </reference>
          <reference field="1" count="1" selected="0">
            <x v="1135"/>
          </reference>
          <reference field="2" count="1">
            <x v="9"/>
          </reference>
        </references>
      </pivotArea>
    </format>
    <format dxfId="845">
      <pivotArea dataOnly="0" labelOnly="1" fieldPosition="0">
        <references count="3">
          <reference field="0" count="1" selected="0">
            <x v="92"/>
          </reference>
          <reference field="1" count="1" selected="0">
            <x v="1172"/>
          </reference>
          <reference field="2" count="1">
            <x v="11"/>
          </reference>
        </references>
      </pivotArea>
    </format>
    <format dxfId="844">
      <pivotArea dataOnly="0" labelOnly="1" fieldPosition="0">
        <references count="3">
          <reference field="0" count="1" selected="0">
            <x v="92"/>
          </reference>
          <reference field="1" count="1" selected="0">
            <x v="1290"/>
          </reference>
          <reference field="2" count="1">
            <x v="22"/>
          </reference>
        </references>
      </pivotArea>
    </format>
    <format dxfId="843">
      <pivotArea dataOnly="0" labelOnly="1" fieldPosition="0">
        <references count="3">
          <reference field="0" count="1" selected="0">
            <x v="92"/>
          </reference>
          <reference field="1" count="1" selected="0">
            <x v="1303"/>
          </reference>
          <reference field="2" count="1">
            <x v="22"/>
          </reference>
        </references>
      </pivotArea>
    </format>
    <format dxfId="842">
      <pivotArea dataOnly="0" labelOnly="1" fieldPosition="0">
        <references count="3">
          <reference field="0" count="1" selected="0">
            <x v="91"/>
          </reference>
          <reference field="1" count="1" selected="0">
            <x v="71"/>
          </reference>
          <reference field="2" count="1">
            <x v="23"/>
          </reference>
        </references>
      </pivotArea>
    </format>
    <format dxfId="841">
      <pivotArea dataOnly="0" labelOnly="1" fieldPosition="0">
        <references count="3">
          <reference field="0" count="1" selected="0">
            <x v="91"/>
          </reference>
          <reference field="1" count="1" selected="0">
            <x v="86"/>
          </reference>
          <reference field="2" count="1">
            <x v="19"/>
          </reference>
        </references>
      </pivotArea>
    </format>
    <format dxfId="840">
      <pivotArea dataOnly="0" labelOnly="1" fieldPosition="0">
        <references count="3">
          <reference field="0" count="1" selected="0">
            <x v="91"/>
          </reference>
          <reference field="1" count="1" selected="0">
            <x v="299"/>
          </reference>
          <reference field="2" count="1">
            <x v="1"/>
          </reference>
        </references>
      </pivotArea>
    </format>
    <format dxfId="839">
      <pivotArea dataOnly="0" labelOnly="1" fieldPosition="0">
        <references count="3">
          <reference field="0" count="1" selected="0">
            <x v="91"/>
          </reference>
          <reference field="1" count="1" selected="0">
            <x v="305"/>
          </reference>
          <reference field="2" count="1">
            <x v="1"/>
          </reference>
        </references>
      </pivotArea>
    </format>
    <format dxfId="838">
      <pivotArea dataOnly="0" labelOnly="1" fieldPosition="0">
        <references count="3">
          <reference field="0" count="1" selected="0">
            <x v="91"/>
          </reference>
          <reference field="1" count="1" selected="0">
            <x v="349"/>
          </reference>
          <reference field="2" count="1">
            <x v="1"/>
          </reference>
        </references>
      </pivotArea>
    </format>
    <format dxfId="837">
      <pivotArea dataOnly="0" labelOnly="1" fieldPosition="0">
        <references count="3">
          <reference field="0" count="1" selected="0">
            <x v="91"/>
          </reference>
          <reference field="1" count="1" selected="0">
            <x v="377"/>
          </reference>
          <reference field="2" count="1">
            <x v="20"/>
          </reference>
        </references>
      </pivotArea>
    </format>
    <format dxfId="836">
      <pivotArea dataOnly="0" labelOnly="1" fieldPosition="0">
        <references count="3">
          <reference field="0" count="1" selected="0">
            <x v="91"/>
          </reference>
          <reference field="1" count="1" selected="0">
            <x v="429"/>
          </reference>
          <reference field="2" count="1">
            <x v="12"/>
          </reference>
        </references>
      </pivotArea>
    </format>
    <format dxfId="835">
      <pivotArea dataOnly="0" labelOnly="1" fieldPosition="0">
        <references count="3">
          <reference field="0" count="1" selected="0">
            <x v="91"/>
          </reference>
          <reference field="1" count="1" selected="0">
            <x v="519"/>
          </reference>
          <reference field="2" count="1">
            <x v="10"/>
          </reference>
        </references>
      </pivotArea>
    </format>
    <format dxfId="834">
      <pivotArea dataOnly="0" labelOnly="1" fieldPosition="0">
        <references count="3">
          <reference field="0" count="1" selected="0">
            <x v="91"/>
          </reference>
          <reference field="1" count="1" selected="0">
            <x v="549"/>
          </reference>
          <reference field="2" count="1">
            <x v="19"/>
          </reference>
        </references>
      </pivotArea>
    </format>
    <format dxfId="833">
      <pivotArea dataOnly="0" labelOnly="1" fieldPosition="0">
        <references count="3">
          <reference field="0" count="1" selected="0">
            <x v="91"/>
          </reference>
          <reference field="1" count="1" selected="0">
            <x v="580"/>
          </reference>
          <reference field="2" count="1">
            <x v="15"/>
          </reference>
        </references>
      </pivotArea>
    </format>
    <format dxfId="832">
      <pivotArea dataOnly="0" labelOnly="1" fieldPosition="0">
        <references count="3">
          <reference field="0" count="1" selected="0">
            <x v="91"/>
          </reference>
          <reference field="1" count="1" selected="0">
            <x v="597"/>
          </reference>
          <reference field="2" count="1">
            <x v="4"/>
          </reference>
        </references>
      </pivotArea>
    </format>
    <format dxfId="831">
      <pivotArea dataOnly="0" labelOnly="1" fieldPosition="0">
        <references count="3">
          <reference field="0" count="1" selected="0">
            <x v="91"/>
          </reference>
          <reference field="1" count="1" selected="0">
            <x v="602"/>
          </reference>
          <reference field="2" count="1">
            <x v="6"/>
          </reference>
        </references>
      </pivotArea>
    </format>
    <format dxfId="830">
      <pivotArea dataOnly="0" labelOnly="1" fieldPosition="0">
        <references count="3">
          <reference field="0" count="1" selected="0">
            <x v="91"/>
          </reference>
          <reference field="1" count="1" selected="0">
            <x v="637"/>
          </reference>
          <reference field="2" count="1">
            <x v="4"/>
          </reference>
        </references>
      </pivotArea>
    </format>
    <format dxfId="829">
      <pivotArea dataOnly="0" labelOnly="1" fieldPosition="0">
        <references count="3">
          <reference field="0" count="1" selected="0">
            <x v="91"/>
          </reference>
          <reference field="1" count="1" selected="0">
            <x v="650"/>
          </reference>
          <reference field="2" count="1">
            <x v="18"/>
          </reference>
        </references>
      </pivotArea>
    </format>
    <format dxfId="828">
      <pivotArea dataOnly="0" labelOnly="1" fieldPosition="0">
        <references count="3">
          <reference field="0" count="1" selected="0">
            <x v="91"/>
          </reference>
          <reference field="1" count="1" selected="0">
            <x v="936"/>
          </reference>
          <reference field="2" count="1">
            <x v="24"/>
          </reference>
        </references>
      </pivotArea>
    </format>
    <format dxfId="827">
      <pivotArea dataOnly="0" labelOnly="1" fieldPosition="0">
        <references count="3">
          <reference field="0" count="1" selected="0">
            <x v="91"/>
          </reference>
          <reference field="1" count="1" selected="0">
            <x v="1073"/>
          </reference>
          <reference field="2" count="1">
            <x v="23"/>
          </reference>
        </references>
      </pivotArea>
    </format>
    <format dxfId="826">
      <pivotArea dataOnly="0" labelOnly="1" fieldPosition="0">
        <references count="3">
          <reference field="0" count="1" selected="0">
            <x v="91"/>
          </reference>
          <reference field="1" count="1" selected="0">
            <x v="1075"/>
          </reference>
          <reference field="2" count="1">
            <x v="7"/>
          </reference>
        </references>
      </pivotArea>
    </format>
    <format dxfId="825">
      <pivotArea dataOnly="0" labelOnly="1" fieldPosition="0">
        <references count="3">
          <reference field="0" count="1" selected="0">
            <x v="91"/>
          </reference>
          <reference field="1" count="1" selected="0">
            <x v="1081"/>
          </reference>
          <reference field="2" count="1">
            <x v="28"/>
          </reference>
        </references>
      </pivotArea>
    </format>
    <format dxfId="824">
      <pivotArea dataOnly="0" labelOnly="1" fieldPosition="0">
        <references count="3">
          <reference field="0" count="1" selected="0">
            <x v="91"/>
          </reference>
          <reference field="1" count="1" selected="0">
            <x v="1133"/>
          </reference>
          <reference field="2" count="1">
            <x v="9"/>
          </reference>
        </references>
      </pivotArea>
    </format>
    <format dxfId="823">
      <pivotArea dataOnly="0" labelOnly="1" fieldPosition="0">
        <references count="3">
          <reference field="0" count="1" selected="0">
            <x v="91"/>
          </reference>
          <reference field="1" count="1" selected="0">
            <x v="1139"/>
          </reference>
          <reference field="2" count="1">
            <x v="9"/>
          </reference>
        </references>
      </pivotArea>
    </format>
    <format dxfId="822">
      <pivotArea dataOnly="0" labelOnly="1" fieldPosition="0">
        <references count="3">
          <reference field="0" count="1" selected="0">
            <x v="90"/>
          </reference>
          <reference field="1" count="1" selected="0">
            <x v="0"/>
          </reference>
          <reference field="2" count="1">
            <x v="5"/>
          </reference>
        </references>
      </pivotArea>
    </format>
    <format dxfId="821">
      <pivotArea dataOnly="0" labelOnly="1" fieldPosition="0">
        <references count="3">
          <reference field="0" count="1" selected="0">
            <x v="90"/>
          </reference>
          <reference field="1" count="1" selected="0">
            <x v="76"/>
          </reference>
          <reference field="2" count="1">
            <x v="19"/>
          </reference>
        </references>
      </pivotArea>
    </format>
    <format dxfId="820">
      <pivotArea dataOnly="0" labelOnly="1" fieldPosition="0">
        <references count="3">
          <reference field="0" count="1" selected="0">
            <x v="90"/>
          </reference>
          <reference field="1" count="1" selected="0">
            <x v="81"/>
          </reference>
          <reference field="2" count="1">
            <x v="19"/>
          </reference>
        </references>
      </pivotArea>
    </format>
    <format dxfId="819">
      <pivotArea dataOnly="0" labelOnly="1" fieldPosition="0">
        <references count="3">
          <reference field="0" count="1" selected="0">
            <x v="90"/>
          </reference>
          <reference field="1" count="1" selected="0">
            <x v="83"/>
          </reference>
          <reference field="2" count="1">
            <x v="19"/>
          </reference>
        </references>
      </pivotArea>
    </format>
    <format dxfId="818">
      <pivotArea dataOnly="0" labelOnly="1" fieldPosition="0">
        <references count="3">
          <reference field="0" count="1" selected="0">
            <x v="90"/>
          </reference>
          <reference field="1" count="1" selected="0">
            <x v="85"/>
          </reference>
          <reference field="2" count="1">
            <x v="23"/>
          </reference>
        </references>
      </pivotArea>
    </format>
    <format dxfId="817">
      <pivotArea dataOnly="0" labelOnly="1" fieldPosition="0">
        <references count="3">
          <reference field="0" count="1" selected="0">
            <x v="90"/>
          </reference>
          <reference field="1" count="1" selected="0">
            <x v="98"/>
          </reference>
          <reference field="2" count="1">
            <x v="20"/>
          </reference>
        </references>
      </pivotArea>
    </format>
    <format dxfId="816">
      <pivotArea dataOnly="0" labelOnly="1" fieldPosition="0">
        <references count="3">
          <reference field="0" count="1" selected="0">
            <x v="90"/>
          </reference>
          <reference field="1" count="1" selected="0">
            <x v="158"/>
          </reference>
          <reference field="2" count="1">
            <x v="0"/>
          </reference>
        </references>
      </pivotArea>
    </format>
    <format dxfId="815">
      <pivotArea dataOnly="0" labelOnly="1" fieldPosition="0">
        <references count="3">
          <reference field="0" count="1" selected="0">
            <x v="90"/>
          </reference>
          <reference field="1" count="1" selected="0">
            <x v="199"/>
          </reference>
          <reference field="2" count="1">
            <x v="12"/>
          </reference>
        </references>
      </pivotArea>
    </format>
    <format dxfId="814">
      <pivotArea dataOnly="0" labelOnly="1" fieldPosition="0">
        <references count="3">
          <reference field="0" count="1" selected="0">
            <x v="90"/>
          </reference>
          <reference field="1" count="1" selected="0">
            <x v="207"/>
          </reference>
          <reference field="2" count="1">
            <x v="22"/>
          </reference>
        </references>
      </pivotArea>
    </format>
    <format dxfId="813">
      <pivotArea dataOnly="0" labelOnly="1" fieldPosition="0">
        <references count="3">
          <reference field="0" count="1" selected="0">
            <x v="90"/>
          </reference>
          <reference field="1" count="1" selected="0">
            <x v="331"/>
          </reference>
          <reference field="2" count="1">
            <x v="1"/>
          </reference>
        </references>
      </pivotArea>
    </format>
    <format dxfId="812">
      <pivotArea dataOnly="0" labelOnly="1" fieldPosition="0">
        <references count="3">
          <reference field="0" count="1" selected="0">
            <x v="90"/>
          </reference>
          <reference field="1" count="1" selected="0">
            <x v="441"/>
          </reference>
          <reference field="2" count="1">
            <x v="22"/>
          </reference>
        </references>
      </pivotArea>
    </format>
    <format dxfId="811">
      <pivotArea dataOnly="0" labelOnly="1" fieldPosition="0">
        <references count="3">
          <reference field="0" count="1" selected="0">
            <x v="90"/>
          </reference>
          <reference field="1" count="1" selected="0">
            <x v="546"/>
          </reference>
          <reference field="2" count="1">
            <x v="4"/>
          </reference>
        </references>
      </pivotArea>
    </format>
    <format dxfId="810">
      <pivotArea dataOnly="0" labelOnly="1" fieldPosition="0">
        <references count="3">
          <reference field="0" count="1" selected="0">
            <x v="90"/>
          </reference>
          <reference field="1" count="1" selected="0">
            <x v="552"/>
          </reference>
          <reference field="2" count="1">
            <x v="29"/>
          </reference>
        </references>
      </pivotArea>
    </format>
    <format dxfId="809">
      <pivotArea dataOnly="0" labelOnly="1" fieldPosition="0">
        <references count="3">
          <reference field="0" count="1" selected="0">
            <x v="90"/>
          </reference>
          <reference field="1" count="1" selected="0">
            <x v="561"/>
          </reference>
          <reference field="2" count="1">
            <x v="5"/>
          </reference>
        </references>
      </pivotArea>
    </format>
    <format dxfId="808">
      <pivotArea dataOnly="0" labelOnly="1" fieldPosition="0">
        <references count="3">
          <reference field="0" count="1" selected="0">
            <x v="90"/>
          </reference>
          <reference field="1" count="1" selected="0">
            <x v="579"/>
          </reference>
          <reference field="2" count="1">
            <x v="5"/>
          </reference>
        </references>
      </pivotArea>
    </format>
    <format dxfId="807">
      <pivotArea dataOnly="0" labelOnly="1" fieldPosition="0">
        <references count="3">
          <reference field="0" count="1" selected="0">
            <x v="90"/>
          </reference>
          <reference field="1" count="1" selected="0">
            <x v="588"/>
          </reference>
          <reference field="2" count="1">
            <x v="27"/>
          </reference>
        </references>
      </pivotArea>
    </format>
    <format dxfId="806">
      <pivotArea dataOnly="0" labelOnly="1" fieldPosition="0">
        <references count="3">
          <reference field="0" count="1" selected="0">
            <x v="90"/>
          </reference>
          <reference field="1" count="1" selected="0">
            <x v="610"/>
          </reference>
          <reference field="2" count="1">
            <x v="29"/>
          </reference>
        </references>
      </pivotArea>
    </format>
    <format dxfId="805">
      <pivotArea dataOnly="0" labelOnly="1" fieldPosition="0">
        <references count="3">
          <reference field="0" count="1" selected="0">
            <x v="90"/>
          </reference>
          <reference field="1" count="1" selected="0">
            <x v="619"/>
          </reference>
          <reference field="2" count="1">
            <x v="18"/>
          </reference>
        </references>
      </pivotArea>
    </format>
    <format dxfId="804">
      <pivotArea dataOnly="0" labelOnly="1" fieldPosition="0">
        <references count="3">
          <reference field="0" count="1" selected="0">
            <x v="90"/>
          </reference>
          <reference field="1" count="1" selected="0">
            <x v="620"/>
          </reference>
          <reference field="2" count="1">
            <x v="6"/>
          </reference>
        </references>
      </pivotArea>
    </format>
    <format dxfId="803">
      <pivotArea dataOnly="0" labelOnly="1" fieldPosition="0">
        <references count="3">
          <reference field="0" count="1" selected="0">
            <x v="90"/>
          </reference>
          <reference field="1" count="1" selected="0">
            <x v="624"/>
          </reference>
          <reference field="2" count="1">
            <x v="5"/>
          </reference>
        </references>
      </pivotArea>
    </format>
    <format dxfId="802">
      <pivotArea dataOnly="0" labelOnly="1" fieldPosition="0">
        <references count="3">
          <reference field="0" count="1" selected="0">
            <x v="90"/>
          </reference>
          <reference field="1" count="1" selected="0">
            <x v="651"/>
          </reference>
          <reference field="2" count="1">
            <x v="4"/>
          </reference>
        </references>
      </pivotArea>
    </format>
    <format dxfId="801">
      <pivotArea dataOnly="0" labelOnly="1" fieldPosition="0">
        <references count="3">
          <reference field="0" count="1" selected="0">
            <x v="90"/>
          </reference>
          <reference field="1" count="1" selected="0">
            <x v="737"/>
          </reference>
          <reference field="2" count="1">
            <x v="21"/>
          </reference>
        </references>
      </pivotArea>
    </format>
    <format dxfId="800">
      <pivotArea dataOnly="0" labelOnly="1" fieldPosition="0">
        <references count="3">
          <reference field="0" count="1" selected="0">
            <x v="90"/>
          </reference>
          <reference field="1" count="1" selected="0">
            <x v="774"/>
          </reference>
          <reference field="2" count="1">
            <x v="3"/>
          </reference>
        </references>
      </pivotArea>
    </format>
    <format dxfId="799">
      <pivotArea dataOnly="0" labelOnly="1" fieldPosition="0">
        <references count="3">
          <reference field="0" count="1" selected="0">
            <x v="90"/>
          </reference>
          <reference field="1" count="1" selected="0">
            <x v="852"/>
          </reference>
          <reference field="2" count="1">
            <x v="5"/>
          </reference>
        </references>
      </pivotArea>
    </format>
    <format dxfId="798">
      <pivotArea dataOnly="0" labelOnly="1" fieldPosition="0">
        <references count="3">
          <reference field="0" count="1" selected="0">
            <x v="90"/>
          </reference>
          <reference field="1" count="1" selected="0">
            <x v="883"/>
          </reference>
          <reference field="2" count="1">
            <x v="19"/>
          </reference>
        </references>
      </pivotArea>
    </format>
    <format dxfId="797">
      <pivotArea dataOnly="0" labelOnly="1" fieldPosition="0">
        <references count="3">
          <reference field="0" count="1" selected="0">
            <x v="90"/>
          </reference>
          <reference field="1" count="1" selected="0">
            <x v="890"/>
          </reference>
          <reference field="2" count="1">
            <x v="24"/>
          </reference>
        </references>
      </pivotArea>
    </format>
    <format dxfId="796">
      <pivotArea dataOnly="0" labelOnly="1" fieldPosition="0">
        <references count="3">
          <reference field="0" count="1" selected="0">
            <x v="90"/>
          </reference>
          <reference field="1" count="1" selected="0">
            <x v="1078"/>
          </reference>
          <reference field="2" count="1">
            <x v="24"/>
          </reference>
        </references>
      </pivotArea>
    </format>
    <format dxfId="795">
      <pivotArea dataOnly="0" labelOnly="1" fieldPosition="0">
        <references count="3">
          <reference field="0" count="1" selected="0">
            <x v="90"/>
          </reference>
          <reference field="1" count="1" selected="0">
            <x v="1084"/>
          </reference>
          <reference field="2" count="1">
            <x v="28"/>
          </reference>
        </references>
      </pivotArea>
    </format>
    <format dxfId="794">
      <pivotArea dataOnly="0" labelOnly="1" fieldPosition="0">
        <references count="3">
          <reference field="0" count="1" selected="0">
            <x v="90"/>
          </reference>
          <reference field="1" count="1" selected="0">
            <x v="1123"/>
          </reference>
          <reference field="2" count="1">
            <x v="26"/>
          </reference>
        </references>
      </pivotArea>
    </format>
    <format dxfId="793">
      <pivotArea dataOnly="0" labelOnly="1" fieldPosition="0">
        <references count="3">
          <reference field="0" count="1" selected="0">
            <x v="90"/>
          </reference>
          <reference field="1" count="1" selected="0">
            <x v="1131"/>
          </reference>
          <reference field="2" count="1">
            <x v="9"/>
          </reference>
        </references>
      </pivotArea>
    </format>
    <format dxfId="792">
      <pivotArea dataOnly="0" labelOnly="1" fieldPosition="0">
        <references count="3">
          <reference field="0" count="1" selected="0">
            <x v="90"/>
          </reference>
          <reference field="1" count="1" selected="0">
            <x v="1213"/>
          </reference>
          <reference field="2" count="1">
            <x v="7"/>
          </reference>
        </references>
      </pivotArea>
    </format>
    <format dxfId="791">
      <pivotArea dataOnly="0" labelOnly="1" fieldPosition="0">
        <references count="3">
          <reference field="0" count="1" selected="0">
            <x v="90"/>
          </reference>
          <reference field="1" count="1" selected="0">
            <x v="1214"/>
          </reference>
          <reference field="2" count="1">
            <x v="15"/>
          </reference>
        </references>
      </pivotArea>
    </format>
    <format dxfId="790">
      <pivotArea dataOnly="0" labelOnly="1" fieldPosition="0">
        <references count="3">
          <reference field="0" count="1" selected="0">
            <x v="90"/>
          </reference>
          <reference field="1" count="1" selected="0">
            <x v="1223"/>
          </reference>
          <reference field="2" count="1">
            <x v="29"/>
          </reference>
        </references>
      </pivotArea>
    </format>
    <format dxfId="789">
      <pivotArea dataOnly="0" labelOnly="1" fieldPosition="0">
        <references count="3">
          <reference field="0" count="1" selected="0">
            <x v="90"/>
          </reference>
          <reference field="1" count="1" selected="0">
            <x v="1228"/>
          </reference>
          <reference field="2" count="1">
            <x v="25"/>
          </reference>
        </references>
      </pivotArea>
    </format>
    <format dxfId="788">
      <pivotArea dataOnly="0" labelOnly="1" fieldPosition="0">
        <references count="3">
          <reference field="0" count="1" selected="0">
            <x v="90"/>
          </reference>
          <reference field="1" count="1" selected="0">
            <x v="1312"/>
          </reference>
          <reference field="2" count="1">
            <x v="12"/>
          </reference>
        </references>
      </pivotArea>
    </format>
    <format dxfId="787">
      <pivotArea dataOnly="0" labelOnly="1" fieldPosition="0">
        <references count="3">
          <reference field="0" count="1" selected="0">
            <x v="90"/>
          </reference>
          <reference field="1" count="1" selected="0">
            <x v="1313"/>
          </reference>
          <reference field="2" count="1">
            <x v="12"/>
          </reference>
        </references>
      </pivotArea>
    </format>
    <format dxfId="786">
      <pivotArea dataOnly="0" labelOnly="1" fieldPosition="0">
        <references count="3">
          <reference field="0" count="1" selected="0">
            <x v="90"/>
          </reference>
          <reference field="1" count="1" selected="0">
            <x v="1314"/>
          </reference>
          <reference field="2" count="1">
            <x v="12"/>
          </reference>
        </references>
      </pivotArea>
    </format>
    <format dxfId="785">
      <pivotArea dataOnly="0" labelOnly="1" fieldPosition="0">
        <references count="3">
          <reference field="0" count="1" selected="0">
            <x v="89"/>
          </reference>
          <reference field="1" count="1" selected="0">
            <x v="2"/>
          </reference>
          <reference field="2" count="1">
            <x v="21"/>
          </reference>
        </references>
      </pivotArea>
    </format>
    <format dxfId="784">
      <pivotArea dataOnly="0" labelOnly="1" fieldPosition="0">
        <references count="3">
          <reference field="0" count="1" selected="0">
            <x v="89"/>
          </reference>
          <reference field="1" count="1" selected="0">
            <x v="78"/>
          </reference>
          <reference field="2" count="1">
            <x v="20"/>
          </reference>
        </references>
      </pivotArea>
    </format>
    <format dxfId="783">
      <pivotArea dataOnly="0" labelOnly="1" fieldPosition="0">
        <references count="3">
          <reference field="0" count="1" selected="0">
            <x v="89"/>
          </reference>
          <reference field="1" count="1" selected="0">
            <x v="80"/>
          </reference>
          <reference field="2" count="1">
            <x v="7"/>
          </reference>
        </references>
      </pivotArea>
    </format>
    <format dxfId="782">
      <pivotArea dataOnly="0" labelOnly="1" fieldPosition="0">
        <references count="3">
          <reference field="0" count="1" selected="0">
            <x v="89"/>
          </reference>
          <reference field="1" count="1" selected="0">
            <x v="84"/>
          </reference>
          <reference field="2" count="1">
            <x v="4"/>
          </reference>
        </references>
      </pivotArea>
    </format>
    <format dxfId="781">
      <pivotArea dataOnly="0" labelOnly="1" fieldPosition="0">
        <references count="3">
          <reference field="0" count="1" selected="0">
            <x v="89"/>
          </reference>
          <reference field="1" count="1" selected="0">
            <x v="104"/>
          </reference>
          <reference field="2" count="1">
            <x v="7"/>
          </reference>
        </references>
      </pivotArea>
    </format>
    <format dxfId="780">
      <pivotArea dataOnly="0" labelOnly="1" fieldPosition="0">
        <references count="3">
          <reference field="0" count="1" selected="0">
            <x v="89"/>
          </reference>
          <reference field="1" count="1" selected="0">
            <x v="167"/>
          </reference>
          <reference field="2" count="1">
            <x v="0"/>
          </reference>
        </references>
      </pivotArea>
    </format>
    <format dxfId="779">
      <pivotArea dataOnly="0" labelOnly="1" fieldPosition="0">
        <references count="3">
          <reference field="0" count="1" selected="0">
            <x v="89"/>
          </reference>
          <reference field="1" count="1" selected="0">
            <x v="211"/>
          </reference>
          <reference field="2" count="1">
            <x v="22"/>
          </reference>
        </references>
      </pivotArea>
    </format>
    <format dxfId="778">
      <pivotArea dataOnly="0" labelOnly="1" fieldPosition="0">
        <references count="3">
          <reference field="0" count="1" selected="0">
            <x v="89"/>
          </reference>
          <reference field="1" count="1" selected="0">
            <x v="317"/>
          </reference>
          <reference field="2" count="1">
            <x v="1"/>
          </reference>
        </references>
      </pivotArea>
    </format>
    <format dxfId="777">
      <pivotArea dataOnly="0" labelOnly="1" fieldPosition="0">
        <references count="3">
          <reference field="0" count="1" selected="0">
            <x v="89"/>
          </reference>
          <reference field="1" count="1" selected="0">
            <x v="318"/>
          </reference>
          <reference field="2" count="1">
            <x v="1"/>
          </reference>
        </references>
      </pivotArea>
    </format>
    <format dxfId="776">
      <pivotArea dataOnly="0" labelOnly="1" fieldPosition="0">
        <references count="3">
          <reference field="0" count="1" selected="0">
            <x v="89"/>
          </reference>
          <reference field="1" count="1" selected="0">
            <x v="354"/>
          </reference>
          <reference field="2" count="1">
            <x v="1"/>
          </reference>
        </references>
      </pivotArea>
    </format>
    <format dxfId="775">
      <pivotArea dataOnly="0" labelOnly="1" fieldPosition="0">
        <references count="3">
          <reference field="0" count="1" selected="0">
            <x v="89"/>
          </reference>
          <reference field="1" count="1" selected="0">
            <x v="392"/>
          </reference>
          <reference field="2" count="1">
            <x v="14"/>
          </reference>
        </references>
      </pivotArea>
    </format>
    <format dxfId="774">
      <pivotArea dataOnly="0" labelOnly="1" fieldPosition="0">
        <references count="3">
          <reference field="0" count="1" selected="0">
            <x v="89"/>
          </reference>
          <reference field="1" count="1" selected="0">
            <x v="400"/>
          </reference>
          <reference field="2" count="1">
            <x v="10"/>
          </reference>
        </references>
      </pivotArea>
    </format>
    <format dxfId="773">
      <pivotArea dataOnly="0" labelOnly="1" fieldPosition="0">
        <references count="3">
          <reference field="0" count="1" selected="0">
            <x v="89"/>
          </reference>
          <reference field="1" count="1" selected="0">
            <x v="442"/>
          </reference>
          <reference field="2" count="1">
            <x v="22"/>
          </reference>
        </references>
      </pivotArea>
    </format>
    <format dxfId="772">
      <pivotArea dataOnly="0" labelOnly="1" fieldPosition="0">
        <references count="3">
          <reference field="0" count="1" selected="0">
            <x v="89"/>
          </reference>
          <reference field="1" count="1" selected="0">
            <x v="450"/>
          </reference>
          <reference field="2" count="1">
            <x v="22"/>
          </reference>
        </references>
      </pivotArea>
    </format>
    <format dxfId="771">
      <pivotArea dataOnly="0" labelOnly="1" fieldPosition="0">
        <references count="3">
          <reference field="0" count="1" selected="0">
            <x v="89"/>
          </reference>
          <reference field="1" count="1" selected="0">
            <x v="523"/>
          </reference>
          <reference field="2" count="1">
            <x v="22"/>
          </reference>
        </references>
      </pivotArea>
    </format>
    <format dxfId="770">
      <pivotArea dataOnly="0" labelOnly="1" fieldPosition="0">
        <references count="3">
          <reference field="0" count="1" selected="0">
            <x v="89"/>
          </reference>
          <reference field="1" count="1" selected="0">
            <x v="548"/>
          </reference>
          <reference field="2" count="1">
            <x v="23"/>
          </reference>
        </references>
      </pivotArea>
    </format>
    <format dxfId="769">
      <pivotArea dataOnly="0" labelOnly="1" fieldPosition="0">
        <references count="3">
          <reference field="0" count="1" selected="0">
            <x v="89"/>
          </reference>
          <reference field="1" count="1" selected="0">
            <x v="564"/>
          </reference>
          <reference field="2" count="1">
            <x v="17"/>
          </reference>
        </references>
      </pivotArea>
    </format>
    <format dxfId="768">
      <pivotArea dataOnly="0" labelOnly="1" fieldPosition="0">
        <references count="3">
          <reference field="0" count="1" selected="0">
            <x v="89"/>
          </reference>
          <reference field="1" count="1" selected="0">
            <x v="568"/>
          </reference>
          <reference field="2" count="1">
            <x v="5"/>
          </reference>
        </references>
      </pivotArea>
    </format>
    <format dxfId="767">
      <pivotArea dataOnly="0" labelOnly="1" fieldPosition="0">
        <references count="3">
          <reference field="0" count="1" selected="0">
            <x v="89"/>
          </reference>
          <reference field="1" count="1" selected="0">
            <x v="575"/>
          </reference>
          <reference field="2" count="1">
            <x v="16"/>
          </reference>
        </references>
      </pivotArea>
    </format>
    <format dxfId="766">
      <pivotArea dataOnly="0" labelOnly="1" fieldPosition="0">
        <references count="3">
          <reference field="0" count="1" selected="0">
            <x v="89"/>
          </reference>
          <reference field="1" count="1" selected="0">
            <x v="582"/>
          </reference>
          <reference field="2" count="1">
            <x v="7"/>
          </reference>
        </references>
      </pivotArea>
    </format>
    <format dxfId="765">
      <pivotArea dataOnly="0" labelOnly="1" fieldPosition="0">
        <references count="3">
          <reference field="0" count="1" selected="0">
            <x v="89"/>
          </reference>
          <reference field="1" count="1" selected="0">
            <x v="584"/>
          </reference>
          <reference field="2" count="1">
            <x v="3"/>
          </reference>
        </references>
      </pivotArea>
    </format>
    <format dxfId="764">
      <pivotArea dataOnly="0" labelOnly="1" fieldPosition="0">
        <references count="3">
          <reference field="0" count="1" selected="0">
            <x v="89"/>
          </reference>
          <reference field="1" count="1" selected="0">
            <x v="593"/>
          </reference>
          <reference field="2" count="1">
            <x v="29"/>
          </reference>
        </references>
      </pivotArea>
    </format>
    <format dxfId="763">
      <pivotArea dataOnly="0" labelOnly="1" fieldPosition="0">
        <references count="3">
          <reference field="0" count="1" selected="0">
            <x v="89"/>
          </reference>
          <reference field="1" count="1" selected="0">
            <x v="613"/>
          </reference>
          <reference field="2" count="1">
            <x v="7"/>
          </reference>
        </references>
      </pivotArea>
    </format>
    <format dxfId="762">
      <pivotArea dataOnly="0" labelOnly="1" fieldPosition="0">
        <references count="3">
          <reference field="0" count="1" selected="0">
            <x v="89"/>
          </reference>
          <reference field="1" count="1" selected="0">
            <x v="635"/>
          </reference>
          <reference field="2" count="1">
            <x v="21"/>
          </reference>
        </references>
      </pivotArea>
    </format>
    <format dxfId="761">
      <pivotArea dataOnly="0" labelOnly="1" fieldPosition="0">
        <references count="3">
          <reference field="0" count="1" selected="0">
            <x v="89"/>
          </reference>
          <reference field="1" count="1" selected="0">
            <x v="636"/>
          </reference>
          <reference field="2" count="1">
            <x v="25"/>
          </reference>
        </references>
      </pivotArea>
    </format>
    <format dxfId="760">
      <pivotArea dataOnly="0" labelOnly="1" fieldPosition="0">
        <references count="3">
          <reference field="0" count="1" selected="0">
            <x v="89"/>
          </reference>
          <reference field="1" count="1" selected="0">
            <x v="641"/>
          </reference>
          <reference field="2" count="1">
            <x v="7"/>
          </reference>
        </references>
      </pivotArea>
    </format>
    <format dxfId="759">
      <pivotArea dataOnly="0" labelOnly="1" fieldPosition="0">
        <references count="3">
          <reference field="0" count="1" selected="0">
            <x v="89"/>
          </reference>
          <reference field="1" count="1" selected="0">
            <x v="693"/>
          </reference>
          <reference field="2" count="1">
            <x v="6"/>
          </reference>
        </references>
      </pivotArea>
    </format>
    <format dxfId="758">
      <pivotArea dataOnly="0" labelOnly="1" fieldPosition="0">
        <references count="3">
          <reference field="0" count="1" selected="0">
            <x v="89"/>
          </reference>
          <reference field="1" count="1" selected="0">
            <x v="711"/>
          </reference>
          <reference field="2" count="1">
            <x v="24"/>
          </reference>
        </references>
      </pivotArea>
    </format>
    <format dxfId="757">
      <pivotArea dataOnly="0" labelOnly="1" fieldPosition="0">
        <references count="3">
          <reference field="0" count="1" selected="0">
            <x v="89"/>
          </reference>
          <reference field="1" count="1" selected="0">
            <x v="768"/>
          </reference>
          <reference field="2" count="1">
            <x v="15"/>
          </reference>
        </references>
      </pivotArea>
    </format>
    <format dxfId="756">
      <pivotArea dataOnly="0" labelOnly="1" fieldPosition="0">
        <references count="3">
          <reference field="0" count="1" selected="0">
            <x v="89"/>
          </reference>
          <reference field="1" count="1" selected="0">
            <x v="804"/>
          </reference>
          <reference field="2" count="1">
            <x v="18"/>
          </reference>
        </references>
      </pivotArea>
    </format>
    <format dxfId="755">
      <pivotArea dataOnly="0" labelOnly="1" fieldPosition="0">
        <references count="3">
          <reference field="0" count="1" selected="0">
            <x v="89"/>
          </reference>
          <reference field="1" count="1" selected="0">
            <x v="825"/>
          </reference>
          <reference field="2" count="1">
            <x v="17"/>
          </reference>
        </references>
      </pivotArea>
    </format>
    <format dxfId="754">
      <pivotArea dataOnly="0" labelOnly="1" fieldPosition="0">
        <references count="3">
          <reference field="0" count="1" selected="0">
            <x v="89"/>
          </reference>
          <reference field="1" count="1" selected="0">
            <x v="861"/>
          </reference>
          <reference field="2" count="1">
            <x v="24"/>
          </reference>
        </references>
      </pivotArea>
    </format>
    <format dxfId="753">
      <pivotArea dataOnly="0" labelOnly="1" fieldPosition="0">
        <references count="3">
          <reference field="0" count="1" selected="0">
            <x v="89"/>
          </reference>
          <reference field="1" count="1" selected="0">
            <x v="868"/>
          </reference>
          <reference field="2" count="1">
            <x v="24"/>
          </reference>
        </references>
      </pivotArea>
    </format>
    <format dxfId="752">
      <pivotArea dataOnly="0" labelOnly="1" fieldPosition="0">
        <references count="3">
          <reference field="0" count="1" selected="0">
            <x v="89"/>
          </reference>
          <reference field="1" count="1" selected="0">
            <x v="895"/>
          </reference>
          <reference field="2" count="1">
            <x v="24"/>
          </reference>
        </references>
      </pivotArea>
    </format>
    <format dxfId="751">
      <pivotArea dataOnly="0" labelOnly="1" fieldPosition="0">
        <references count="3">
          <reference field="0" count="1" selected="0">
            <x v="89"/>
          </reference>
          <reference field="1" count="1" selected="0">
            <x v="953"/>
          </reference>
          <reference field="2" count="1">
            <x v="2"/>
          </reference>
        </references>
      </pivotArea>
    </format>
    <format dxfId="750">
      <pivotArea dataOnly="0" labelOnly="1" fieldPosition="0">
        <references count="3">
          <reference field="0" count="1" selected="0">
            <x v="89"/>
          </reference>
          <reference field="1" count="1" selected="0">
            <x v="996"/>
          </reference>
          <reference field="2" count="1">
            <x v="28"/>
          </reference>
        </references>
      </pivotArea>
    </format>
    <format dxfId="749">
      <pivotArea dataOnly="0" labelOnly="1" fieldPosition="0">
        <references count="3">
          <reference field="0" count="1" selected="0">
            <x v="89"/>
          </reference>
          <reference field="1" count="1" selected="0">
            <x v="998"/>
          </reference>
          <reference field="2" count="1">
            <x v="4"/>
          </reference>
        </references>
      </pivotArea>
    </format>
    <format dxfId="748">
      <pivotArea dataOnly="0" labelOnly="1" fieldPosition="0">
        <references count="3">
          <reference field="0" count="1" selected="0">
            <x v="89"/>
          </reference>
          <reference field="1" count="1" selected="0">
            <x v="1001"/>
          </reference>
          <reference field="2" count="1">
            <x v="4"/>
          </reference>
        </references>
      </pivotArea>
    </format>
    <format dxfId="747">
      <pivotArea dataOnly="0" labelOnly="1" fieldPosition="0">
        <references count="3">
          <reference field="0" count="1" selected="0">
            <x v="89"/>
          </reference>
          <reference field="1" count="1" selected="0">
            <x v="1002"/>
          </reference>
          <reference field="2" count="1">
            <x v="4"/>
          </reference>
        </references>
      </pivotArea>
    </format>
    <format dxfId="746">
      <pivotArea dataOnly="0" labelOnly="1" fieldPosition="0">
        <references count="3">
          <reference field="0" count="1" selected="0">
            <x v="89"/>
          </reference>
          <reference field="1" count="1" selected="0">
            <x v="1077"/>
          </reference>
          <reference field="2" count="1">
            <x v="24"/>
          </reference>
        </references>
      </pivotArea>
    </format>
    <format dxfId="745">
      <pivotArea dataOnly="0" labelOnly="1" fieldPosition="0">
        <references count="3">
          <reference field="0" count="1" selected="0">
            <x v="89"/>
          </reference>
          <reference field="1" count="1" selected="0">
            <x v="1114"/>
          </reference>
          <reference field="2" count="1">
            <x v="26"/>
          </reference>
        </references>
      </pivotArea>
    </format>
    <format dxfId="744">
      <pivotArea dataOnly="0" labelOnly="1" fieldPosition="0">
        <references count="3">
          <reference field="0" count="1" selected="0">
            <x v="89"/>
          </reference>
          <reference field="1" count="1" selected="0">
            <x v="1158"/>
          </reference>
          <reference field="2" count="1">
            <x v="9"/>
          </reference>
        </references>
      </pivotArea>
    </format>
    <format dxfId="743">
      <pivotArea dataOnly="0" labelOnly="1" fieldPosition="0">
        <references count="3">
          <reference field="0" count="1" selected="0">
            <x v="89"/>
          </reference>
          <reference field="1" count="1" selected="0">
            <x v="1224"/>
          </reference>
          <reference field="2" count="1">
            <x v="21"/>
          </reference>
        </references>
      </pivotArea>
    </format>
    <format dxfId="742">
      <pivotArea dataOnly="0" labelOnly="1" fieldPosition="0">
        <references count="3">
          <reference field="0" count="1" selected="0">
            <x v="89"/>
          </reference>
          <reference field="1" count="1" selected="0">
            <x v="1225"/>
          </reference>
          <reference field="2" count="1">
            <x v="7"/>
          </reference>
        </references>
      </pivotArea>
    </format>
    <format dxfId="741">
      <pivotArea dataOnly="0" labelOnly="1" fieldPosition="0">
        <references count="3">
          <reference field="0" count="1" selected="0">
            <x v="88"/>
          </reference>
          <reference field="1" count="1" selected="0">
            <x v="6"/>
          </reference>
          <reference field="2" count="1">
            <x v="17"/>
          </reference>
        </references>
      </pivotArea>
    </format>
    <format dxfId="740">
      <pivotArea dataOnly="0" labelOnly="1" fieldPosition="0">
        <references count="3">
          <reference field="0" count="1" selected="0">
            <x v="88"/>
          </reference>
          <reference field="1" count="1" selected="0">
            <x v="79"/>
          </reference>
          <reference field="2" count="1">
            <x v="4"/>
          </reference>
        </references>
      </pivotArea>
    </format>
    <format dxfId="739">
      <pivotArea dataOnly="0" labelOnly="1" fieldPosition="0">
        <references count="3">
          <reference field="0" count="1" selected="0">
            <x v="88"/>
          </reference>
          <reference field="1" count="1" selected="0">
            <x v="91"/>
          </reference>
          <reference field="2" count="1">
            <x v="4"/>
          </reference>
        </references>
      </pivotArea>
    </format>
    <format dxfId="738">
      <pivotArea dataOnly="0" labelOnly="1" fieldPosition="0">
        <references count="3">
          <reference field="0" count="1" selected="0">
            <x v="88"/>
          </reference>
          <reference field="1" count="1" selected="0">
            <x v="94"/>
          </reference>
          <reference field="2" count="1">
            <x v="23"/>
          </reference>
        </references>
      </pivotArea>
    </format>
    <format dxfId="737">
      <pivotArea dataOnly="0" labelOnly="1" fieldPosition="0">
        <references count="3">
          <reference field="0" count="1" selected="0">
            <x v="88"/>
          </reference>
          <reference field="1" count="1" selected="0">
            <x v="112"/>
          </reference>
          <reference field="2" count="1">
            <x v="14"/>
          </reference>
        </references>
      </pivotArea>
    </format>
    <format dxfId="736">
      <pivotArea dataOnly="0" labelOnly="1" fieldPosition="0">
        <references count="3">
          <reference field="0" count="1" selected="0">
            <x v="88"/>
          </reference>
          <reference field="1" count="1" selected="0">
            <x v="123"/>
          </reference>
          <reference field="2" count="1">
            <x v="12"/>
          </reference>
        </references>
      </pivotArea>
    </format>
    <format dxfId="735">
      <pivotArea dataOnly="0" labelOnly="1" fieldPosition="0">
        <references count="3">
          <reference field="0" count="1" selected="0">
            <x v="88"/>
          </reference>
          <reference field="1" count="1" selected="0">
            <x v="137"/>
          </reference>
          <reference field="2" count="1">
            <x v="0"/>
          </reference>
        </references>
      </pivotArea>
    </format>
    <format dxfId="734">
      <pivotArea dataOnly="0" labelOnly="1" fieldPosition="0">
        <references count="3">
          <reference field="0" count="1" selected="0">
            <x v="88"/>
          </reference>
          <reference field="1" count="1" selected="0">
            <x v="316"/>
          </reference>
          <reference field="2" count="1">
            <x v="1"/>
          </reference>
        </references>
      </pivotArea>
    </format>
    <format dxfId="733">
      <pivotArea dataOnly="0" labelOnly="1" fieldPosition="0">
        <references count="3">
          <reference field="0" count="1" selected="0">
            <x v="88"/>
          </reference>
          <reference field="1" count="1" selected="0">
            <x v="338"/>
          </reference>
          <reference field="2" count="1">
            <x v="1"/>
          </reference>
        </references>
      </pivotArea>
    </format>
    <format dxfId="732">
      <pivotArea dataOnly="0" labelOnly="1" fieldPosition="0">
        <references count="3">
          <reference field="0" count="1" selected="0">
            <x v="88"/>
          </reference>
          <reference field="1" count="1" selected="0">
            <x v="358"/>
          </reference>
          <reference field="2" count="1">
            <x v="1"/>
          </reference>
        </references>
      </pivotArea>
    </format>
    <format dxfId="731">
      <pivotArea dataOnly="0" labelOnly="1" fieldPosition="0">
        <references count="3">
          <reference field="0" count="1" selected="0">
            <x v="88"/>
          </reference>
          <reference field="1" count="1" selected="0">
            <x v="455"/>
          </reference>
          <reference field="2" count="1">
            <x v="10"/>
          </reference>
        </references>
      </pivotArea>
    </format>
    <format dxfId="730">
      <pivotArea dataOnly="0" labelOnly="1" fieldPosition="0">
        <references count="3">
          <reference field="0" count="1" selected="0">
            <x v="88"/>
          </reference>
          <reference field="1" count="1" selected="0">
            <x v="551"/>
          </reference>
          <reference field="2" count="1">
            <x v="3"/>
          </reference>
        </references>
      </pivotArea>
    </format>
    <format dxfId="729">
      <pivotArea dataOnly="0" labelOnly="1" fieldPosition="0">
        <references count="3">
          <reference field="0" count="1" selected="0">
            <x v="88"/>
          </reference>
          <reference field="1" count="1" selected="0">
            <x v="618"/>
          </reference>
          <reference field="2" count="1">
            <x v="18"/>
          </reference>
        </references>
      </pivotArea>
    </format>
    <format dxfId="728">
      <pivotArea dataOnly="0" labelOnly="1" fieldPosition="0">
        <references count="3">
          <reference field="0" count="1" selected="0">
            <x v="88"/>
          </reference>
          <reference field="1" count="1" selected="0">
            <x v="698"/>
          </reference>
          <reference field="2" count="1">
            <x v="25"/>
          </reference>
        </references>
      </pivotArea>
    </format>
    <format dxfId="727">
      <pivotArea dataOnly="0" labelOnly="1" fieldPosition="0">
        <references count="3">
          <reference field="0" count="1" selected="0">
            <x v="88"/>
          </reference>
          <reference field="1" count="1" selected="0">
            <x v="707"/>
          </reference>
          <reference field="2" count="1">
            <x v="15"/>
          </reference>
        </references>
      </pivotArea>
    </format>
    <format dxfId="726">
      <pivotArea dataOnly="0" labelOnly="1" fieldPosition="0">
        <references count="3">
          <reference field="0" count="1" selected="0">
            <x v="88"/>
          </reference>
          <reference field="1" count="1" selected="0">
            <x v="765"/>
          </reference>
          <reference field="2" count="1">
            <x v="5"/>
          </reference>
        </references>
      </pivotArea>
    </format>
    <format dxfId="725">
      <pivotArea dataOnly="0" labelOnly="1" fieldPosition="0">
        <references count="3">
          <reference field="0" count="1" selected="0">
            <x v="88"/>
          </reference>
          <reference field="1" count="1" selected="0">
            <x v="805"/>
          </reference>
          <reference field="2" count="1">
            <x v="6"/>
          </reference>
        </references>
      </pivotArea>
    </format>
    <format dxfId="724">
      <pivotArea dataOnly="0" labelOnly="1" fieldPosition="0">
        <references count="3">
          <reference field="0" count="1" selected="0">
            <x v="88"/>
          </reference>
          <reference field="1" count="1" selected="0">
            <x v="838"/>
          </reference>
          <reference field="2" count="1">
            <x v="5"/>
          </reference>
        </references>
      </pivotArea>
    </format>
    <format dxfId="723">
      <pivotArea dataOnly="0" labelOnly="1" fieldPosition="0">
        <references count="3">
          <reference field="0" count="1" selected="0">
            <x v="88"/>
          </reference>
          <reference field="1" count="1" selected="0">
            <x v="867"/>
          </reference>
          <reference field="2" count="1">
            <x v="5"/>
          </reference>
        </references>
      </pivotArea>
    </format>
    <format dxfId="722">
      <pivotArea dataOnly="0" labelOnly="1" fieldPosition="0">
        <references count="3">
          <reference field="0" count="1" selected="0">
            <x v="88"/>
          </reference>
          <reference field="1" count="1" selected="0">
            <x v="992"/>
          </reference>
          <reference field="2" count="1">
            <x v="4"/>
          </reference>
        </references>
      </pivotArea>
    </format>
    <format dxfId="721">
      <pivotArea dataOnly="0" labelOnly="1" fieldPosition="0">
        <references count="3">
          <reference field="0" count="1" selected="0">
            <x v="88"/>
          </reference>
          <reference field="1" count="1" selected="0">
            <x v="993"/>
          </reference>
          <reference field="2" count="1">
            <x v="4"/>
          </reference>
        </references>
      </pivotArea>
    </format>
    <format dxfId="720">
      <pivotArea dataOnly="0" labelOnly="1" fieldPosition="0">
        <references count="3">
          <reference field="0" count="1" selected="0">
            <x v="88"/>
          </reference>
          <reference field="1" count="1" selected="0">
            <x v="1003"/>
          </reference>
          <reference field="2" count="1">
            <x v="27"/>
          </reference>
        </references>
      </pivotArea>
    </format>
    <format dxfId="719">
      <pivotArea dataOnly="0" labelOnly="1" fieldPosition="0">
        <references count="3">
          <reference field="0" count="1" selected="0">
            <x v="88"/>
          </reference>
          <reference field="1" count="1" selected="0">
            <x v="1024"/>
          </reference>
          <reference field="2" count="1">
            <x v="4"/>
          </reference>
        </references>
      </pivotArea>
    </format>
    <format dxfId="718">
      <pivotArea dataOnly="0" labelOnly="1" fieldPosition="0">
        <references count="3">
          <reference field="0" count="1" selected="0">
            <x v="88"/>
          </reference>
          <reference field="1" count="1" selected="0">
            <x v="1026"/>
          </reference>
          <reference field="2" count="1">
            <x v="5"/>
          </reference>
        </references>
      </pivotArea>
    </format>
    <format dxfId="717">
      <pivotArea dataOnly="0" labelOnly="1" fieldPosition="0">
        <references count="3">
          <reference field="0" count="1" selected="0">
            <x v="88"/>
          </reference>
          <reference field="1" count="1" selected="0">
            <x v="1067"/>
          </reference>
          <reference field="2" count="1">
            <x v="22"/>
          </reference>
        </references>
      </pivotArea>
    </format>
    <format dxfId="716">
      <pivotArea dataOnly="0" labelOnly="1" fieldPosition="0">
        <references count="3">
          <reference field="0" count="1" selected="0">
            <x v="88"/>
          </reference>
          <reference field="1" count="1" selected="0">
            <x v="1142"/>
          </reference>
          <reference field="2" count="1">
            <x v="9"/>
          </reference>
        </references>
      </pivotArea>
    </format>
    <format dxfId="715">
      <pivotArea dataOnly="0" labelOnly="1" fieldPosition="0">
        <references count="3">
          <reference field="0" count="1" selected="0">
            <x v="88"/>
          </reference>
          <reference field="1" count="1" selected="0">
            <x v="1293"/>
          </reference>
          <reference field="2" count="1">
            <x v="10"/>
          </reference>
        </references>
      </pivotArea>
    </format>
    <format dxfId="714">
      <pivotArea dataOnly="0" labelOnly="1" fieldPosition="0">
        <references count="3">
          <reference field="0" count="1" selected="0">
            <x v="87"/>
          </reference>
          <reference field="1" count="1" selected="0">
            <x v="70"/>
          </reference>
          <reference field="2" count="1">
            <x v="23"/>
          </reference>
        </references>
      </pivotArea>
    </format>
    <format dxfId="713">
      <pivotArea dataOnly="0" labelOnly="1" fieldPosition="0">
        <references count="3">
          <reference field="0" count="1" selected="0">
            <x v="87"/>
          </reference>
          <reference field="1" count="1" selected="0">
            <x v="589"/>
          </reference>
          <reference field="2" count="1">
            <x v="6"/>
          </reference>
        </references>
      </pivotArea>
    </format>
    <format dxfId="712">
      <pivotArea dataOnly="0" labelOnly="1" fieldPosition="0">
        <references count="3">
          <reference field="0" count="1" selected="0">
            <x v="87"/>
          </reference>
          <reference field="1" count="1" selected="0">
            <x v="928"/>
          </reference>
          <reference field="2" count="1">
            <x v="17"/>
          </reference>
        </references>
      </pivotArea>
    </format>
    <format dxfId="711">
      <pivotArea dataOnly="0" labelOnly="1" fieldPosition="0">
        <references count="3">
          <reference field="0" count="1" selected="0">
            <x v="87"/>
          </reference>
          <reference field="1" count="1" selected="0">
            <x v="991"/>
          </reference>
          <reference field="2" count="1">
            <x v="4"/>
          </reference>
        </references>
      </pivotArea>
    </format>
    <format dxfId="710">
      <pivotArea dataOnly="0" labelOnly="1" fieldPosition="0">
        <references count="3">
          <reference field="0" count="1" selected="0">
            <x v="87"/>
          </reference>
          <reference field="1" count="1" selected="0">
            <x v="1004"/>
          </reference>
          <reference field="2" count="1">
            <x v="28"/>
          </reference>
        </references>
      </pivotArea>
    </format>
    <format dxfId="709">
      <pivotArea dataOnly="0" labelOnly="1" fieldPosition="0">
        <references count="3">
          <reference field="0" count="1" selected="0">
            <x v="87"/>
          </reference>
          <reference field="1" count="1" selected="0">
            <x v="1005"/>
          </reference>
          <reference field="2" count="1">
            <x v="21"/>
          </reference>
        </references>
      </pivotArea>
    </format>
    <format dxfId="708">
      <pivotArea dataOnly="0" labelOnly="1" fieldPosition="0">
        <references count="3">
          <reference field="0" count="1" selected="0">
            <x v="86"/>
          </reference>
          <reference field="1" count="1" selected="0">
            <x v="4"/>
          </reference>
          <reference field="2" count="1">
            <x v="3"/>
          </reference>
        </references>
      </pivotArea>
    </format>
    <format dxfId="707">
      <pivotArea dataOnly="0" labelOnly="1" fieldPosition="0">
        <references count="3">
          <reference field="0" count="1" selected="0">
            <x v="86"/>
          </reference>
          <reference field="1" count="1" selected="0">
            <x v="391"/>
          </reference>
          <reference field="2" count="1">
            <x v="14"/>
          </reference>
        </references>
      </pivotArea>
    </format>
    <format dxfId="706">
      <pivotArea dataOnly="0" labelOnly="1" fieldPosition="0">
        <references count="3">
          <reference field="0" count="1" selected="0">
            <x v="86"/>
          </reference>
          <reference field="1" count="1" selected="0">
            <x v="586"/>
          </reference>
          <reference field="2" count="1">
            <x v="16"/>
          </reference>
        </references>
      </pivotArea>
    </format>
    <format dxfId="705">
      <pivotArea dataOnly="0" labelOnly="1" fieldPosition="0">
        <references count="3">
          <reference field="0" count="1" selected="0">
            <x v="86"/>
          </reference>
          <reference field="1" count="1" selected="0">
            <x v="726"/>
          </reference>
          <reference field="2" count="1">
            <x v="5"/>
          </reference>
        </references>
      </pivotArea>
    </format>
    <format dxfId="704">
      <pivotArea dataOnly="0" labelOnly="1" fieldPosition="0">
        <references count="3">
          <reference field="0" count="1" selected="0">
            <x v="86"/>
          </reference>
          <reference field="1" count="1" selected="0">
            <x v="759"/>
          </reference>
          <reference field="2" count="1">
            <x v="5"/>
          </reference>
        </references>
      </pivotArea>
    </format>
    <format dxfId="703">
      <pivotArea dataOnly="0" labelOnly="1" fieldPosition="0">
        <references count="3">
          <reference field="0" count="1" selected="0">
            <x v="86"/>
          </reference>
          <reference field="1" count="1" selected="0">
            <x v="878"/>
          </reference>
          <reference field="2" count="1">
            <x v="6"/>
          </reference>
        </references>
      </pivotArea>
    </format>
    <format dxfId="702">
      <pivotArea dataOnly="0" labelOnly="1" fieldPosition="0">
        <references count="3">
          <reference field="0" count="1" selected="0">
            <x v="86"/>
          </reference>
          <reference field="1" count="1" selected="0">
            <x v="1014"/>
          </reference>
          <reference field="2" count="1">
            <x v="5"/>
          </reference>
        </references>
      </pivotArea>
    </format>
    <format dxfId="701">
      <pivotArea dataOnly="0" labelOnly="1" fieldPosition="0">
        <references count="3">
          <reference field="0" count="1" selected="0">
            <x v="85"/>
          </reference>
          <reference field="1" count="1" selected="0">
            <x v="105"/>
          </reference>
          <reference field="2" count="1">
            <x v="23"/>
          </reference>
        </references>
      </pivotArea>
    </format>
    <format dxfId="700">
      <pivotArea dataOnly="0" labelOnly="1" fieldPosition="0">
        <references count="3">
          <reference field="0" count="1" selected="0">
            <x v="85"/>
          </reference>
          <reference field="1" count="1" selected="0">
            <x v="187"/>
          </reference>
          <reference field="2" count="1">
            <x v="10"/>
          </reference>
        </references>
      </pivotArea>
    </format>
    <format dxfId="699">
      <pivotArea dataOnly="0" labelOnly="1" fieldPosition="0">
        <references count="3">
          <reference field="0" count="1" selected="0">
            <x v="85"/>
          </reference>
          <reference field="1" count="1" selected="0">
            <x v="366"/>
          </reference>
          <reference field="2" count="1">
            <x v="1"/>
          </reference>
        </references>
      </pivotArea>
    </format>
    <format dxfId="698">
      <pivotArea dataOnly="0" labelOnly="1" fieldPosition="0">
        <references count="3">
          <reference field="0" count="1" selected="0">
            <x v="85"/>
          </reference>
          <reference field="1" count="1" selected="0">
            <x v="426"/>
          </reference>
          <reference field="2" count="1">
            <x v="12"/>
          </reference>
        </references>
      </pivotArea>
    </format>
    <format dxfId="697">
      <pivotArea dataOnly="0" labelOnly="1" fieldPosition="0">
        <references count="3">
          <reference field="0" count="1" selected="0">
            <x v="85"/>
          </reference>
          <reference field="1" count="1" selected="0">
            <x v="535"/>
          </reference>
          <reference field="2" count="1">
            <x v="22"/>
          </reference>
        </references>
      </pivotArea>
    </format>
    <format dxfId="696">
      <pivotArea dataOnly="0" labelOnly="1" fieldPosition="0">
        <references count="3">
          <reference field="0" count="1" selected="0">
            <x v="85"/>
          </reference>
          <reference field="1" count="1" selected="0">
            <x v="616"/>
          </reference>
          <reference field="2" count="1">
            <x v="21"/>
          </reference>
        </references>
      </pivotArea>
    </format>
    <format dxfId="695">
      <pivotArea dataOnly="0" labelOnly="1" fieldPosition="0">
        <references count="3">
          <reference field="0" count="1" selected="0">
            <x v="85"/>
          </reference>
          <reference field="1" count="1" selected="0">
            <x v="634"/>
          </reference>
          <reference field="2" count="1">
            <x v="25"/>
          </reference>
        </references>
      </pivotArea>
    </format>
    <format dxfId="694">
      <pivotArea dataOnly="0" labelOnly="1" fieldPosition="0">
        <references count="3">
          <reference field="0" count="1" selected="0">
            <x v="85"/>
          </reference>
          <reference field="1" count="1" selected="0">
            <x v="639"/>
          </reference>
          <reference field="2" count="1">
            <x v="18"/>
          </reference>
        </references>
      </pivotArea>
    </format>
    <format dxfId="693">
      <pivotArea dataOnly="0" labelOnly="1" fieldPosition="0">
        <references count="3">
          <reference field="0" count="1" selected="0">
            <x v="85"/>
          </reference>
          <reference field="1" count="1" selected="0">
            <x v="655"/>
          </reference>
          <reference field="2" count="1">
            <x v="6"/>
          </reference>
        </references>
      </pivotArea>
    </format>
    <format dxfId="692">
      <pivotArea dataOnly="0" labelOnly="1" fieldPosition="0">
        <references count="3">
          <reference field="0" count="1" selected="0">
            <x v="85"/>
          </reference>
          <reference field="1" count="1" selected="0">
            <x v="797"/>
          </reference>
          <reference field="2" count="1">
            <x v="27"/>
          </reference>
        </references>
      </pivotArea>
    </format>
    <format dxfId="691">
      <pivotArea dataOnly="0" labelOnly="1" fieldPosition="0">
        <references count="3">
          <reference field="0" count="1" selected="0">
            <x v="85"/>
          </reference>
          <reference field="1" count="1" selected="0">
            <x v="802"/>
          </reference>
          <reference field="2" count="1">
            <x v="28"/>
          </reference>
        </references>
      </pivotArea>
    </format>
    <format dxfId="690">
      <pivotArea dataOnly="0" labelOnly="1" fieldPosition="0">
        <references count="3">
          <reference field="0" count="1" selected="0">
            <x v="85"/>
          </reference>
          <reference field="1" count="1" selected="0">
            <x v="851"/>
          </reference>
          <reference field="2" count="1">
            <x v="15"/>
          </reference>
        </references>
      </pivotArea>
    </format>
    <format dxfId="689">
      <pivotArea dataOnly="0" labelOnly="1" fieldPosition="0">
        <references count="3">
          <reference field="0" count="1" selected="0">
            <x v="85"/>
          </reference>
          <reference field="1" count="1" selected="0">
            <x v="891"/>
          </reference>
          <reference field="2" count="1">
            <x v="17"/>
          </reference>
        </references>
      </pivotArea>
    </format>
    <format dxfId="688">
      <pivotArea dataOnly="0" labelOnly="1" fieldPosition="0">
        <references count="3">
          <reference field="0" count="1" selected="0">
            <x v="85"/>
          </reference>
          <reference field="1" count="1" selected="0">
            <x v="894"/>
          </reference>
          <reference field="2" count="1">
            <x v="3"/>
          </reference>
        </references>
      </pivotArea>
    </format>
    <format dxfId="687">
      <pivotArea dataOnly="0" labelOnly="1" fieldPosition="0">
        <references count="3">
          <reference field="0" count="1" selected="0">
            <x v="85"/>
          </reference>
          <reference field="1" count="1" selected="0">
            <x v="1028"/>
          </reference>
          <reference field="2" count="1">
            <x v="24"/>
          </reference>
        </references>
      </pivotArea>
    </format>
    <format dxfId="686">
      <pivotArea dataOnly="0" labelOnly="1" fieldPosition="0">
        <references count="3">
          <reference field="0" count="1" selected="0">
            <x v="85"/>
          </reference>
          <reference field="1" count="1" selected="0">
            <x v="1068"/>
          </reference>
          <reference field="2" count="1">
            <x v="10"/>
          </reference>
        </references>
      </pivotArea>
    </format>
    <format dxfId="685">
      <pivotArea dataOnly="0" labelOnly="1" fieldPosition="0">
        <references count="3">
          <reference field="0" count="1" selected="0">
            <x v="85"/>
          </reference>
          <reference field="1" count="1" selected="0">
            <x v="1109"/>
          </reference>
          <reference field="2" count="1">
            <x v="26"/>
          </reference>
        </references>
      </pivotArea>
    </format>
    <format dxfId="684">
      <pivotArea dataOnly="0" labelOnly="1" fieldPosition="0">
        <references count="3">
          <reference field="0" count="1" selected="0">
            <x v="85"/>
          </reference>
          <reference field="1" count="1" selected="0">
            <x v="1179"/>
          </reference>
          <reference field="2" count="1">
            <x v="11"/>
          </reference>
        </references>
      </pivotArea>
    </format>
    <format dxfId="683">
      <pivotArea dataOnly="0" labelOnly="1" fieldPosition="0">
        <references count="3">
          <reference field="0" count="1" selected="0">
            <x v="84"/>
          </reference>
          <reference field="1" count="1" selected="0">
            <x v="90"/>
          </reference>
          <reference field="2" count="1">
            <x v="19"/>
          </reference>
        </references>
      </pivotArea>
    </format>
    <format dxfId="682">
      <pivotArea dataOnly="0" labelOnly="1" fieldPosition="0">
        <references count="3">
          <reference field="0" count="1" selected="0">
            <x v="84"/>
          </reference>
          <reference field="1" count="1" selected="0">
            <x v="93"/>
          </reference>
          <reference field="2" count="1">
            <x v="20"/>
          </reference>
        </references>
      </pivotArea>
    </format>
    <format dxfId="681">
      <pivotArea dataOnly="0" labelOnly="1" fieldPosition="0">
        <references count="3">
          <reference field="0" count="1" selected="0">
            <x v="84"/>
          </reference>
          <reference field="1" count="1" selected="0">
            <x v="166"/>
          </reference>
          <reference field="2" count="1">
            <x v="0"/>
          </reference>
        </references>
      </pivotArea>
    </format>
    <format dxfId="680">
      <pivotArea dataOnly="0" labelOnly="1" fieldPosition="0">
        <references count="3">
          <reference field="0" count="1" selected="0">
            <x v="84"/>
          </reference>
          <reference field="1" count="1" selected="0">
            <x v="319"/>
          </reference>
          <reference field="2" count="1">
            <x v="1"/>
          </reference>
        </references>
      </pivotArea>
    </format>
    <format dxfId="679">
      <pivotArea dataOnly="0" labelOnly="1" fieldPosition="0">
        <references count="3">
          <reference field="0" count="1" selected="0">
            <x v="84"/>
          </reference>
          <reference field="1" count="1" selected="0">
            <x v="356"/>
          </reference>
          <reference field="2" count="1">
            <x v="1"/>
          </reference>
        </references>
      </pivotArea>
    </format>
    <format dxfId="678">
      <pivotArea dataOnly="0" labelOnly="1" fieldPosition="0">
        <references count="3">
          <reference field="0" count="1" selected="0">
            <x v="84"/>
          </reference>
          <reference field="1" count="1" selected="0">
            <x v="428"/>
          </reference>
          <reference field="2" count="1">
            <x v="14"/>
          </reference>
        </references>
      </pivotArea>
    </format>
    <format dxfId="677">
      <pivotArea dataOnly="0" labelOnly="1" fieldPosition="0">
        <references count="3">
          <reference field="0" count="1" selected="0">
            <x v="84"/>
          </reference>
          <reference field="1" count="1" selected="0">
            <x v="627"/>
          </reference>
          <reference field="2" count="1">
            <x v="6"/>
          </reference>
        </references>
      </pivotArea>
    </format>
    <format dxfId="676">
      <pivotArea dataOnly="0" labelOnly="1" fieldPosition="0">
        <references count="3">
          <reference field="0" count="1" selected="0">
            <x v="84"/>
          </reference>
          <reference field="1" count="1" selected="0">
            <x v="649"/>
          </reference>
          <reference field="2" count="1">
            <x v="18"/>
          </reference>
        </references>
      </pivotArea>
    </format>
    <format dxfId="675">
      <pivotArea dataOnly="0" labelOnly="1" fieldPosition="0">
        <references count="3">
          <reference field="0" count="1" selected="0">
            <x v="84"/>
          </reference>
          <reference field="1" count="1" selected="0">
            <x v="780"/>
          </reference>
          <reference field="2" count="1">
            <x v="24"/>
          </reference>
        </references>
      </pivotArea>
    </format>
    <format dxfId="674">
      <pivotArea dataOnly="0" labelOnly="1" fieldPosition="0">
        <references count="3">
          <reference field="0" count="1" selected="0">
            <x v="84"/>
          </reference>
          <reference field="1" count="1" selected="0">
            <x v="792"/>
          </reference>
          <reference field="2" count="1">
            <x v="5"/>
          </reference>
        </references>
      </pivotArea>
    </format>
    <format dxfId="673">
      <pivotArea dataOnly="0" labelOnly="1" fieldPosition="0">
        <references count="3">
          <reference field="0" count="1" selected="0">
            <x v="84"/>
          </reference>
          <reference field="1" count="1" selected="0">
            <x v="901"/>
          </reference>
          <reference field="2" count="1">
            <x v="19"/>
          </reference>
        </references>
      </pivotArea>
    </format>
    <format dxfId="672">
      <pivotArea dataOnly="0" labelOnly="1" fieldPosition="0">
        <references count="3">
          <reference field="0" count="1" selected="0">
            <x v="84"/>
          </reference>
          <reference field="1" count="1" selected="0">
            <x v="955"/>
          </reference>
          <reference field="2" count="1">
            <x v="15"/>
          </reference>
        </references>
      </pivotArea>
    </format>
    <format dxfId="671">
      <pivotArea dataOnly="0" labelOnly="1" fieldPosition="0">
        <references count="3">
          <reference field="0" count="1" selected="0">
            <x v="84"/>
          </reference>
          <reference field="1" count="1" selected="0">
            <x v="990"/>
          </reference>
          <reference field="2" count="1">
            <x v="28"/>
          </reference>
        </references>
      </pivotArea>
    </format>
    <format dxfId="670">
      <pivotArea dataOnly="0" labelOnly="1" fieldPosition="0">
        <references count="3">
          <reference field="0" count="1" selected="0">
            <x v="84"/>
          </reference>
          <reference field="1" count="1" selected="0">
            <x v="995"/>
          </reference>
          <reference field="2" count="1">
            <x v="4"/>
          </reference>
        </references>
      </pivotArea>
    </format>
    <format dxfId="669">
      <pivotArea dataOnly="0" labelOnly="1" fieldPosition="0">
        <references count="3">
          <reference field="0" count="1" selected="0">
            <x v="84"/>
          </reference>
          <reference field="1" count="1" selected="0">
            <x v="1022"/>
          </reference>
          <reference field="2" count="1">
            <x v="17"/>
          </reference>
        </references>
      </pivotArea>
    </format>
    <format dxfId="668">
      <pivotArea dataOnly="0" labelOnly="1" fieldPosition="0">
        <references count="3">
          <reference field="0" count="1" selected="0">
            <x v="84"/>
          </reference>
          <reference field="1" count="1" selected="0">
            <x v="1033"/>
          </reference>
          <reference field="2" count="1">
            <x v="3"/>
          </reference>
        </references>
      </pivotArea>
    </format>
    <format dxfId="667">
      <pivotArea dataOnly="0" labelOnly="1" fieldPosition="0">
        <references count="3">
          <reference field="0" count="1" selected="0">
            <x v="84"/>
          </reference>
          <reference field="1" count="1" selected="0">
            <x v="1121"/>
          </reference>
          <reference field="2" count="1">
            <x v="26"/>
          </reference>
        </references>
      </pivotArea>
    </format>
    <format dxfId="666">
      <pivotArea dataOnly="0" labelOnly="1" fieldPosition="0">
        <references count="3">
          <reference field="0" count="1" selected="0">
            <x v="84"/>
          </reference>
          <reference field="1" count="1" selected="0">
            <x v="1138"/>
          </reference>
          <reference field="2" count="1">
            <x v="9"/>
          </reference>
        </references>
      </pivotArea>
    </format>
    <format dxfId="665">
      <pivotArea dataOnly="0" labelOnly="1" fieldPosition="0">
        <references count="3">
          <reference field="0" count="1" selected="0">
            <x v="84"/>
          </reference>
          <reference field="1" count="1" selected="0">
            <x v="1202"/>
          </reference>
          <reference field="2" count="1">
            <x v="11"/>
          </reference>
        </references>
      </pivotArea>
    </format>
    <format dxfId="664">
      <pivotArea dataOnly="0" labelOnly="1" fieldPosition="0">
        <references count="3">
          <reference field="0" count="1" selected="0">
            <x v="83"/>
          </reference>
          <reference field="1" count="1" selected="0">
            <x v="75"/>
          </reference>
          <reference field="2" count="1">
            <x v="4"/>
          </reference>
        </references>
      </pivotArea>
    </format>
    <format dxfId="663">
      <pivotArea dataOnly="0" labelOnly="1" fieldPosition="0">
        <references count="3">
          <reference field="0" count="1" selected="0">
            <x v="83"/>
          </reference>
          <reference field="1" count="1" selected="0">
            <x v="230"/>
          </reference>
          <reference field="2" count="1">
            <x v="10"/>
          </reference>
        </references>
      </pivotArea>
    </format>
    <format dxfId="662">
      <pivotArea dataOnly="0" labelOnly="1" fieldPosition="0">
        <references count="3">
          <reference field="0" count="1" selected="0">
            <x v="83"/>
          </reference>
          <reference field="1" count="1" selected="0">
            <x v="258"/>
          </reference>
          <reference field="2" count="1">
            <x v="22"/>
          </reference>
        </references>
      </pivotArea>
    </format>
    <format dxfId="661">
      <pivotArea dataOnly="0" labelOnly="1" fieldPosition="0">
        <references count="3">
          <reference field="0" count="1" selected="0">
            <x v="83"/>
          </reference>
          <reference field="1" count="1" selected="0">
            <x v="625"/>
          </reference>
          <reference field="2" count="1">
            <x v="21"/>
          </reference>
        </references>
      </pivotArea>
    </format>
    <format dxfId="660">
      <pivotArea dataOnly="0" labelOnly="1" fieldPosition="0">
        <references count="3">
          <reference field="0" count="1" selected="0">
            <x v="83"/>
          </reference>
          <reference field="1" count="1" selected="0">
            <x v="632"/>
          </reference>
          <reference field="2" count="1">
            <x v="27"/>
          </reference>
        </references>
      </pivotArea>
    </format>
    <format dxfId="659">
      <pivotArea dataOnly="0" labelOnly="1" fieldPosition="0">
        <references count="3">
          <reference field="0" count="1" selected="0">
            <x v="83"/>
          </reference>
          <reference field="1" count="1" selected="0">
            <x v="784"/>
          </reference>
          <reference field="2" count="1">
            <x v="17"/>
          </reference>
        </references>
      </pivotArea>
    </format>
    <format dxfId="658">
      <pivotArea dataOnly="0" labelOnly="1" fieldPosition="0">
        <references count="3">
          <reference field="0" count="1" selected="0">
            <x v="83"/>
          </reference>
          <reference field="1" count="1" selected="0">
            <x v="800"/>
          </reference>
          <reference field="2" count="1">
            <x v="2"/>
          </reference>
        </references>
      </pivotArea>
    </format>
    <format dxfId="657">
      <pivotArea dataOnly="0" labelOnly="1" fieldPosition="0">
        <references count="3">
          <reference field="0" count="1" selected="0">
            <x v="83"/>
          </reference>
          <reference field="1" count="1" selected="0">
            <x v="856"/>
          </reference>
          <reference field="2" count="1">
            <x v="5"/>
          </reference>
        </references>
      </pivotArea>
    </format>
    <format dxfId="656">
      <pivotArea dataOnly="0" labelOnly="1" fieldPosition="0">
        <references count="3">
          <reference field="0" count="1" selected="0">
            <x v="83"/>
          </reference>
          <reference field="1" count="1" selected="0">
            <x v="1104"/>
          </reference>
          <reference field="2" count="1">
            <x v="26"/>
          </reference>
        </references>
      </pivotArea>
    </format>
    <format dxfId="655">
      <pivotArea dataOnly="0" labelOnly="1" fieldPosition="0">
        <references count="3">
          <reference field="0" count="1" selected="0">
            <x v="83"/>
          </reference>
          <reference field="1" count="1" selected="0">
            <x v="1143"/>
          </reference>
          <reference field="2" count="1">
            <x v="9"/>
          </reference>
        </references>
      </pivotArea>
    </format>
    <format dxfId="654">
      <pivotArea dataOnly="0" labelOnly="1" fieldPosition="0">
        <references count="3">
          <reference field="0" count="1" selected="0">
            <x v="83"/>
          </reference>
          <reference field="1" count="1" selected="0">
            <x v="1149"/>
          </reference>
          <reference field="2" count="1">
            <x v="9"/>
          </reference>
        </references>
      </pivotArea>
    </format>
    <format dxfId="653">
      <pivotArea dataOnly="0" labelOnly="1" fieldPosition="0">
        <references count="3">
          <reference field="0" count="1" selected="0">
            <x v="83"/>
          </reference>
          <reference field="1" count="1" selected="0">
            <x v="1166"/>
          </reference>
          <reference field="2" count="1">
            <x v="9"/>
          </reference>
        </references>
      </pivotArea>
    </format>
    <format dxfId="652">
      <pivotArea dataOnly="0" labelOnly="1" fieldPosition="0">
        <references count="3">
          <reference field="0" count="1" selected="0">
            <x v="83"/>
          </reference>
          <reference field="1" count="1" selected="0">
            <x v="1189"/>
          </reference>
          <reference field="2" count="1">
            <x v="11"/>
          </reference>
        </references>
      </pivotArea>
    </format>
    <format dxfId="651">
      <pivotArea dataOnly="0" labelOnly="1" fieldPosition="0">
        <references count="3">
          <reference field="0" count="1" selected="0">
            <x v="83"/>
          </reference>
          <reference field="1" count="1" selected="0">
            <x v="1220"/>
          </reference>
          <reference field="2" count="1">
            <x v="28"/>
          </reference>
        </references>
      </pivotArea>
    </format>
    <format dxfId="650">
      <pivotArea dataOnly="0" labelOnly="1" fieldPosition="0">
        <references count="3">
          <reference field="0" count="1" selected="0">
            <x v="83"/>
          </reference>
          <reference field="1" count="1" selected="0">
            <x v="1262"/>
          </reference>
          <reference field="2" count="1">
            <x v="6"/>
          </reference>
        </references>
      </pivotArea>
    </format>
    <format dxfId="649">
      <pivotArea dataOnly="0" labelOnly="1" fieldPosition="0">
        <references count="3">
          <reference field="0" count="1" selected="0">
            <x v="82"/>
          </reference>
          <reference field="1" count="1" selected="0">
            <x v="420"/>
          </reference>
          <reference field="2" count="1">
            <x v="14"/>
          </reference>
        </references>
      </pivotArea>
    </format>
    <format dxfId="648">
      <pivotArea dataOnly="0" labelOnly="1" fieldPosition="0">
        <references count="3">
          <reference field="0" count="1" selected="0">
            <x v="82"/>
          </reference>
          <reference field="1" count="1" selected="0">
            <x v="424"/>
          </reference>
          <reference field="2" count="1">
            <x v="14"/>
          </reference>
        </references>
      </pivotArea>
    </format>
    <format dxfId="647">
      <pivotArea dataOnly="0" labelOnly="1" fieldPosition="0">
        <references count="3">
          <reference field="0" count="1" selected="0">
            <x v="82"/>
          </reference>
          <reference field="1" count="1" selected="0">
            <x v="554"/>
          </reference>
          <reference field="2" count="1">
            <x v="18"/>
          </reference>
        </references>
      </pivotArea>
    </format>
    <format dxfId="646">
      <pivotArea dataOnly="0" labelOnly="1" fieldPosition="0">
        <references count="3">
          <reference field="0" count="1" selected="0">
            <x v="82"/>
          </reference>
          <reference field="1" count="1" selected="0">
            <x v="607"/>
          </reference>
          <reference field="2" count="1">
            <x v="2"/>
          </reference>
        </references>
      </pivotArea>
    </format>
    <format dxfId="645">
      <pivotArea dataOnly="0" labelOnly="1" fieldPosition="0">
        <references count="3">
          <reference field="0" count="1" selected="0">
            <x v="82"/>
          </reference>
          <reference field="1" count="1" selected="0">
            <x v="709"/>
          </reference>
          <reference field="2" count="1">
            <x v="25"/>
          </reference>
        </references>
      </pivotArea>
    </format>
    <format dxfId="644">
      <pivotArea dataOnly="0" labelOnly="1" fieldPosition="0">
        <references count="3">
          <reference field="0" count="1" selected="0">
            <x v="82"/>
          </reference>
          <reference field="1" count="1" selected="0">
            <x v="712"/>
          </reference>
          <reference field="2" count="1">
            <x v="21"/>
          </reference>
        </references>
      </pivotArea>
    </format>
    <format dxfId="643">
      <pivotArea dataOnly="0" labelOnly="1" fieldPosition="0">
        <references count="3">
          <reference field="0" count="1" selected="0">
            <x v="82"/>
          </reference>
          <reference field="1" count="1" selected="0">
            <x v="743"/>
          </reference>
          <reference field="2" count="1">
            <x v="23"/>
          </reference>
        </references>
      </pivotArea>
    </format>
    <format dxfId="642">
      <pivotArea dataOnly="0" labelOnly="1" fieldPosition="0">
        <references count="3">
          <reference field="0" count="1" selected="0">
            <x v="82"/>
          </reference>
          <reference field="1" count="1" selected="0">
            <x v="930"/>
          </reference>
          <reference field="2" count="1">
            <x v="17"/>
          </reference>
        </references>
      </pivotArea>
    </format>
    <format dxfId="641">
      <pivotArea dataOnly="0" labelOnly="1" fieldPosition="0">
        <references count="3">
          <reference field="0" count="1" selected="0">
            <x v="82"/>
          </reference>
          <reference field="1" count="1" selected="0">
            <x v="935"/>
          </reference>
          <reference field="2" count="1">
            <x v="27"/>
          </reference>
        </references>
      </pivotArea>
    </format>
    <format dxfId="640">
      <pivotArea dataOnly="0" labelOnly="1" fieldPosition="0">
        <references count="3">
          <reference field="0" count="1" selected="0">
            <x v="82"/>
          </reference>
          <reference field="1" count="1" selected="0">
            <x v="1111"/>
          </reference>
          <reference field="2" count="1">
            <x v="26"/>
          </reference>
        </references>
      </pivotArea>
    </format>
    <format dxfId="639">
      <pivotArea dataOnly="0" labelOnly="1" fieldPosition="0">
        <references count="3">
          <reference field="0" count="1" selected="0">
            <x v="82"/>
          </reference>
          <reference field="1" count="1" selected="0">
            <x v="1197"/>
          </reference>
          <reference field="2" count="1">
            <x v="11"/>
          </reference>
        </references>
      </pivotArea>
    </format>
    <format dxfId="638">
      <pivotArea dataOnly="0" labelOnly="1" fieldPosition="0">
        <references count="3">
          <reference field="0" count="1" selected="0">
            <x v="82"/>
          </reference>
          <reference field="1" count="1" selected="0">
            <x v="1311"/>
          </reference>
          <reference field="2" count="1">
            <x v="13"/>
          </reference>
        </references>
      </pivotArea>
    </format>
    <format dxfId="637">
      <pivotArea dataOnly="0" labelOnly="1" fieldPosition="0">
        <references count="3">
          <reference field="0" count="1" selected="0">
            <x v="81"/>
          </reference>
          <reference field="1" count="1" selected="0">
            <x v="95"/>
          </reference>
          <reference field="2" count="1">
            <x v="20"/>
          </reference>
        </references>
      </pivotArea>
    </format>
    <format dxfId="636">
      <pivotArea dataOnly="0" labelOnly="1" fieldPosition="0">
        <references count="3">
          <reference field="0" count="1" selected="0">
            <x v="81"/>
          </reference>
          <reference field="1" count="1" selected="0">
            <x v="97"/>
          </reference>
          <reference field="2" count="1">
            <x v="4"/>
          </reference>
        </references>
      </pivotArea>
    </format>
    <format dxfId="635">
      <pivotArea dataOnly="0" labelOnly="1" fieldPosition="0">
        <references count="3">
          <reference field="0" count="1" selected="0">
            <x v="81"/>
          </reference>
          <reference field="1" count="1" selected="0">
            <x v="315"/>
          </reference>
          <reference field="2" count="1">
            <x v="1"/>
          </reference>
        </references>
      </pivotArea>
    </format>
    <format dxfId="634">
      <pivotArea dataOnly="0" labelOnly="1" fieldPosition="0">
        <references count="3">
          <reference field="0" count="1" selected="0">
            <x v="81"/>
          </reference>
          <reference field="1" count="1" selected="0">
            <x v="333"/>
          </reference>
          <reference field="2" count="1">
            <x v="1"/>
          </reference>
        </references>
      </pivotArea>
    </format>
    <format dxfId="633">
      <pivotArea dataOnly="0" labelOnly="1" fieldPosition="0">
        <references count="3">
          <reference field="0" count="1" selected="0">
            <x v="81"/>
          </reference>
          <reference field="1" count="1" selected="0">
            <x v="337"/>
          </reference>
          <reference field="2" count="1">
            <x v="1"/>
          </reference>
        </references>
      </pivotArea>
    </format>
    <format dxfId="632">
      <pivotArea dataOnly="0" labelOnly="1" fieldPosition="0">
        <references count="3">
          <reference field="0" count="1" selected="0">
            <x v="81"/>
          </reference>
          <reference field="1" count="1" selected="0">
            <x v="385"/>
          </reference>
          <reference field="2" count="1">
            <x v="14"/>
          </reference>
        </references>
      </pivotArea>
    </format>
    <format dxfId="631">
      <pivotArea dataOnly="0" labelOnly="1" fieldPosition="0">
        <references count="3">
          <reference field="0" count="1" selected="0">
            <x v="81"/>
          </reference>
          <reference field="1" count="1" selected="0">
            <x v="555"/>
          </reference>
          <reference field="2" count="1">
            <x v="18"/>
          </reference>
        </references>
      </pivotArea>
    </format>
    <format dxfId="630">
      <pivotArea dataOnly="0" labelOnly="1" fieldPosition="0">
        <references count="3">
          <reference field="0" count="1" selected="0">
            <x v="81"/>
          </reference>
          <reference field="1" count="1" selected="0">
            <x v="696"/>
          </reference>
          <reference field="2" count="1">
            <x v="24"/>
          </reference>
        </references>
      </pivotArea>
    </format>
    <format dxfId="629">
      <pivotArea dataOnly="0" labelOnly="1" fieldPosition="0">
        <references count="3">
          <reference field="0" count="1" selected="0">
            <x v="81"/>
          </reference>
          <reference field="1" count="1" selected="0">
            <x v="700"/>
          </reference>
          <reference field="2" count="1">
            <x v="19"/>
          </reference>
        </references>
      </pivotArea>
    </format>
    <format dxfId="628">
      <pivotArea dataOnly="0" labelOnly="1" fieldPosition="0">
        <references count="3">
          <reference field="0" count="1" selected="0">
            <x v="81"/>
          </reference>
          <reference field="1" count="1" selected="0">
            <x v="864"/>
          </reference>
          <reference field="2" count="1">
            <x v="17"/>
          </reference>
        </references>
      </pivotArea>
    </format>
    <format dxfId="627">
      <pivotArea dataOnly="0" labelOnly="1" fieldPosition="0">
        <references count="3">
          <reference field="0" count="1" selected="0">
            <x v="81"/>
          </reference>
          <reference field="1" count="1" selected="0">
            <x v="892"/>
          </reference>
          <reference field="2" count="1">
            <x v="7"/>
          </reference>
        </references>
      </pivotArea>
    </format>
    <format dxfId="626">
      <pivotArea dataOnly="0" labelOnly="1" fieldPosition="0">
        <references count="3">
          <reference field="0" count="1" selected="0">
            <x v="81"/>
          </reference>
          <reference field="1" count="1" selected="0">
            <x v="999"/>
          </reference>
          <reference field="2" count="1">
            <x v="28"/>
          </reference>
        </references>
      </pivotArea>
    </format>
    <format dxfId="625">
      <pivotArea dataOnly="0" labelOnly="1" fieldPosition="0">
        <references count="3">
          <reference field="0" count="1" selected="0">
            <x v="81"/>
          </reference>
          <reference field="1" count="1" selected="0">
            <x v="1107"/>
          </reference>
          <reference field="2" count="1">
            <x v="26"/>
          </reference>
        </references>
      </pivotArea>
    </format>
    <format dxfId="624">
      <pivotArea dataOnly="0" labelOnly="1" fieldPosition="0">
        <references count="3">
          <reference field="0" count="1" selected="0">
            <x v="81"/>
          </reference>
          <reference field="1" count="1" selected="0">
            <x v="1150"/>
          </reference>
          <reference field="2" count="1">
            <x v="9"/>
          </reference>
        </references>
      </pivotArea>
    </format>
    <format dxfId="623">
      <pivotArea dataOnly="0" labelOnly="1" fieldPosition="0">
        <references count="3">
          <reference field="0" count="1" selected="0">
            <x v="81"/>
          </reference>
          <reference field="1" count="1" selected="0">
            <x v="1198"/>
          </reference>
          <reference field="2" count="1">
            <x v="11"/>
          </reference>
        </references>
      </pivotArea>
    </format>
    <format dxfId="622">
      <pivotArea dataOnly="0" labelOnly="1" fieldPosition="0">
        <references count="3">
          <reference field="0" count="1" selected="0">
            <x v="81"/>
          </reference>
          <reference field="1" count="1" selected="0">
            <x v="1301"/>
          </reference>
          <reference field="2" count="1">
            <x v="22"/>
          </reference>
        </references>
      </pivotArea>
    </format>
    <format dxfId="621">
      <pivotArea dataOnly="0" labelOnly="1" fieldPosition="0">
        <references count="3">
          <reference field="0" count="1" selected="0">
            <x v="80"/>
          </reference>
          <reference field="1" count="1" selected="0">
            <x v="87"/>
          </reference>
          <reference field="2" count="1">
            <x v="23"/>
          </reference>
        </references>
      </pivotArea>
    </format>
    <format dxfId="620">
      <pivotArea dataOnly="0" labelOnly="1" fieldPosition="0">
        <references count="3">
          <reference field="0" count="1" selected="0">
            <x v="80"/>
          </reference>
          <reference field="1" count="1" selected="0">
            <x v="184"/>
          </reference>
          <reference field="2" count="1">
            <x v="10"/>
          </reference>
        </references>
      </pivotArea>
    </format>
    <format dxfId="619">
      <pivotArea dataOnly="0" labelOnly="1" fieldPosition="0">
        <references count="3">
          <reference field="0" count="1" selected="0">
            <x v="79"/>
          </reference>
          <reference field="1" count="1" selected="0">
            <x v="126"/>
          </reference>
          <reference field="2" count="1">
            <x v="13"/>
          </reference>
        </references>
      </pivotArea>
    </format>
    <format dxfId="618">
      <pivotArea dataOnly="0" labelOnly="1" fieldPosition="0">
        <references count="3">
          <reference field="0" count="1" selected="0">
            <x v="79"/>
          </reference>
          <reference field="1" count="1" selected="0">
            <x v="164"/>
          </reference>
          <reference field="2" count="1">
            <x v="0"/>
          </reference>
        </references>
      </pivotArea>
    </format>
    <format dxfId="617">
      <pivotArea dataOnly="0" labelOnly="1" fieldPosition="0">
        <references count="3">
          <reference field="0" count="1" selected="0">
            <x v="79"/>
          </reference>
          <reference field="1" count="1" selected="0">
            <x v="221"/>
          </reference>
          <reference field="2" count="1">
            <x v="14"/>
          </reference>
        </references>
      </pivotArea>
    </format>
    <format dxfId="616">
      <pivotArea dataOnly="0" labelOnly="1" fieldPosition="0">
        <references count="3">
          <reference field="0" count="1" selected="0">
            <x v="79"/>
          </reference>
          <reference field="1" count="1" selected="0">
            <x v="320"/>
          </reference>
          <reference field="2" count="1">
            <x v="1"/>
          </reference>
        </references>
      </pivotArea>
    </format>
    <format dxfId="615">
      <pivotArea dataOnly="0" labelOnly="1" fieldPosition="0">
        <references count="3">
          <reference field="0" count="1" selected="0">
            <x v="79"/>
          </reference>
          <reference field="1" count="1" selected="0">
            <x v="363"/>
          </reference>
          <reference field="2" count="1">
            <x v="1"/>
          </reference>
        </references>
      </pivotArea>
    </format>
    <format dxfId="614">
      <pivotArea dataOnly="0" labelOnly="1" fieldPosition="0">
        <references count="3">
          <reference field="0" count="1" selected="0">
            <x v="79"/>
          </reference>
          <reference field="1" count="1" selected="0">
            <x v="444"/>
          </reference>
          <reference field="2" count="1">
            <x v="22"/>
          </reference>
        </references>
      </pivotArea>
    </format>
    <format dxfId="613">
      <pivotArea dataOnly="0" labelOnly="1" fieldPosition="0">
        <references count="3">
          <reference field="0" count="1" selected="0">
            <x v="79"/>
          </reference>
          <reference field="1" count="1" selected="0">
            <x v="536"/>
          </reference>
          <reference field="2" count="1">
            <x v="22"/>
          </reference>
        </references>
      </pivotArea>
    </format>
    <format dxfId="612">
      <pivotArea dataOnly="0" labelOnly="1" fieldPosition="0">
        <references count="3">
          <reference field="0" count="1" selected="0">
            <x v="79"/>
          </reference>
          <reference field="1" count="1" selected="0">
            <x v="622"/>
          </reference>
          <reference field="2" count="1">
            <x v="27"/>
          </reference>
        </references>
      </pivotArea>
    </format>
    <format dxfId="611">
      <pivotArea dataOnly="0" labelOnly="1" fieldPosition="0">
        <references count="3">
          <reference field="0" count="1" selected="0">
            <x v="79"/>
          </reference>
          <reference field="1" count="1" selected="0">
            <x v="653"/>
          </reference>
          <reference field="2" count="1">
            <x v="6"/>
          </reference>
        </references>
      </pivotArea>
    </format>
    <format dxfId="610">
      <pivotArea dataOnly="0" labelOnly="1" fieldPosition="0">
        <references count="3">
          <reference field="0" count="1" selected="0">
            <x v="79"/>
          </reference>
          <reference field="1" count="1" selected="0">
            <x v="718"/>
          </reference>
          <reference field="2" count="1">
            <x v="19"/>
          </reference>
        </references>
      </pivotArea>
    </format>
    <format dxfId="609">
      <pivotArea dataOnly="0" labelOnly="1" fieldPosition="0">
        <references count="3">
          <reference field="0" count="1" selected="0">
            <x v="79"/>
          </reference>
          <reference field="1" count="1" selected="0">
            <x v="860"/>
          </reference>
          <reference field="2" count="1">
            <x v="3"/>
          </reference>
        </references>
      </pivotArea>
    </format>
    <format dxfId="608">
      <pivotArea dataOnly="0" labelOnly="1" fieldPosition="0">
        <references count="3">
          <reference field="0" count="1" selected="0">
            <x v="79"/>
          </reference>
          <reference field="1" count="1" selected="0">
            <x v="1117"/>
          </reference>
          <reference field="2" count="1">
            <x v="26"/>
          </reference>
        </references>
      </pivotArea>
    </format>
    <format dxfId="607">
      <pivotArea dataOnly="0" labelOnly="1" fieldPosition="0">
        <references count="3">
          <reference field="0" count="1" selected="0">
            <x v="79"/>
          </reference>
          <reference field="1" count="1" selected="0">
            <x v="1155"/>
          </reference>
          <reference field="2" count="1">
            <x v="9"/>
          </reference>
        </references>
      </pivotArea>
    </format>
    <format dxfId="606">
      <pivotArea dataOnly="0" labelOnly="1" fieldPosition="0">
        <references count="3">
          <reference field="0" count="1" selected="0">
            <x v="79"/>
          </reference>
          <reference field="1" count="1" selected="0">
            <x v="1183"/>
          </reference>
          <reference field="2" count="1">
            <x v="11"/>
          </reference>
        </references>
      </pivotArea>
    </format>
    <format dxfId="605">
      <pivotArea dataOnly="0" labelOnly="1" fieldPosition="0">
        <references count="3">
          <reference field="0" count="1" selected="0">
            <x v="78"/>
          </reference>
          <reference field="1" count="1" selected="0">
            <x v="92"/>
          </reference>
          <reference field="2" count="1">
            <x v="20"/>
          </reference>
        </references>
      </pivotArea>
    </format>
    <format dxfId="604">
      <pivotArea dataOnly="0" labelOnly="1" fieldPosition="0">
        <references count="3">
          <reference field="0" count="1" selected="0">
            <x v="78"/>
          </reference>
          <reference field="1" count="1" selected="0">
            <x v="902"/>
          </reference>
          <reference field="2" count="1">
            <x v="5"/>
          </reference>
        </references>
      </pivotArea>
    </format>
    <format dxfId="603">
      <pivotArea dataOnly="0" labelOnly="1" fieldPosition="0">
        <references count="3">
          <reference field="0" count="1" selected="0">
            <x v="78"/>
          </reference>
          <reference field="1" count="1" selected="0">
            <x v="1105"/>
          </reference>
          <reference field="2" count="1">
            <x v="26"/>
          </reference>
        </references>
      </pivotArea>
    </format>
    <format dxfId="602">
      <pivotArea dataOnly="0" labelOnly="1" fieldPosition="0">
        <references count="3">
          <reference field="0" count="1" selected="0">
            <x v="78"/>
          </reference>
          <reference field="1" count="1" selected="0">
            <x v="1196"/>
          </reference>
          <reference field="2" count="1">
            <x v="11"/>
          </reference>
        </references>
      </pivotArea>
    </format>
    <format dxfId="601">
      <pivotArea dataOnly="0" labelOnly="1" fieldPosition="0">
        <references count="3">
          <reference field="0" count="1" selected="0">
            <x v="77"/>
          </reference>
          <reference field="1" count="1" selected="0">
            <x v="74"/>
          </reference>
          <reference field="2" count="1">
            <x v="19"/>
          </reference>
        </references>
      </pivotArea>
    </format>
    <format dxfId="600">
      <pivotArea dataOnly="0" labelOnly="1" fieldPosition="0">
        <references count="3">
          <reference field="0" count="1" selected="0">
            <x v="77"/>
          </reference>
          <reference field="1" count="1" selected="0">
            <x v="106"/>
          </reference>
          <reference field="2" count="1">
            <x v="20"/>
          </reference>
        </references>
      </pivotArea>
    </format>
    <format dxfId="599">
      <pivotArea dataOnly="0" labelOnly="1" fieldPosition="0">
        <references count="3">
          <reference field="0" count="1" selected="0">
            <x v="77"/>
          </reference>
          <reference field="1" count="1" selected="0">
            <x v="118"/>
          </reference>
          <reference field="2" count="1">
            <x v="13"/>
          </reference>
        </references>
      </pivotArea>
    </format>
    <format dxfId="598">
      <pivotArea dataOnly="0" labelOnly="1" fieldPosition="0">
        <references count="3">
          <reference field="0" count="1" selected="0">
            <x v="77"/>
          </reference>
          <reference field="1" count="1" selected="0">
            <x v="994"/>
          </reference>
          <reference field="2" count="1">
            <x v="28"/>
          </reference>
        </references>
      </pivotArea>
    </format>
    <format dxfId="597">
      <pivotArea dataOnly="0" labelOnly="1" fieldPosition="0">
        <references count="3">
          <reference field="0" count="1" selected="0">
            <x v="76"/>
          </reference>
          <reference field="1" count="1" selected="0">
            <x v="261"/>
          </reference>
          <reference field="2" count="1">
            <x v="20"/>
          </reference>
        </references>
      </pivotArea>
    </format>
    <format dxfId="596">
      <pivotArea dataOnly="0" labelOnly="1" fieldPosition="0">
        <references count="3">
          <reference field="0" count="1" selected="0">
            <x v="76"/>
          </reference>
          <reference field="1" count="1" selected="0">
            <x v="342"/>
          </reference>
          <reference field="2" count="1">
            <x v="1"/>
          </reference>
        </references>
      </pivotArea>
    </format>
    <format dxfId="595">
      <pivotArea dataOnly="0" labelOnly="1" fieldPosition="0">
        <references count="3">
          <reference field="0" count="1" selected="0">
            <x v="76"/>
          </reference>
          <reference field="1" count="1" selected="0">
            <x v="431"/>
          </reference>
          <reference field="2" count="1">
            <x v="27"/>
          </reference>
        </references>
      </pivotArea>
    </format>
    <format dxfId="594">
      <pivotArea dataOnly="0" labelOnly="1" fieldPosition="0">
        <references count="3">
          <reference field="0" count="1" selected="0">
            <x v="76"/>
          </reference>
          <reference field="1" count="1" selected="0">
            <x v="629"/>
          </reference>
          <reference field="2" count="1">
            <x v="27"/>
          </reference>
        </references>
      </pivotArea>
    </format>
    <format dxfId="593">
      <pivotArea dataOnly="0" labelOnly="1" fieldPosition="0">
        <references count="3">
          <reference field="0" count="1" selected="0">
            <x v="76"/>
          </reference>
          <reference field="1" count="1" selected="0">
            <x v="724"/>
          </reference>
          <reference field="2" count="1">
            <x v="5"/>
          </reference>
        </references>
      </pivotArea>
    </format>
    <format dxfId="592">
      <pivotArea dataOnly="0" labelOnly="1" fieldPosition="0">
        <references count="3">
          <reference field="0" count="1" selected="0">
            <x v="76"/>
          </reference>
          <reference field="1" count="1" selected="0">
            <x v="829"/>
          </reference>
          <reference field="2" count="1">
            <x v="24"/>
          </reference>
        </references>
      </pivotArea>
    </format>
    <format dxfId="591">
      <pivotArea dataOnly="0" labelOnly="1" fieldPosition="0">
        <references count="3">
          <reference field="0" count="1" selected="0">
            <x v="75"/>
          </reference>
          <reference field="1" count="1" selected="0">
            <x v="82"/>
          </reference>
          <reference field="2" count="1">
            <x v="19"/>
          </reference>
        </references>
      </pivotArea>
    </format>
    <format dxfId="590">
      <pivotArea dataOnly="0" labelOnly="1" fieldPosition="0">
        <references count="3">
          <reference field="0" count="1" selected="0">
            <x v="75"/>
          </reference>
          <reference field="1" count="1" selected="0">
            <x v="89"/>
          </reference>
          <reference field="2" count="1">
            <x v="20"/>
          </reference>
        </references>
      </pivotArea>
    </format>
    <format dxfId="589">
      <pivotArea dataOnly="0" labelOnly="1" fieldPosition="0">
        <references count="3">
          <reference field="0" count="1" selected="0">
            <x v="74"/>
          </reference>
          <reference field="1" count="1" selected="0">
            <x v="77"/>
          </reference>
          <reference field="2" count="1">
            <x v="20"/>
          </reference>
        </references>
      </pivotArea>
    </format>
    <format dxfId="588">
      <pivotArea dataOnly="0" labelOnly="1" fieldPosition="0">
        <references count="3">
          <reference field="0" count="1" selected="0">
            <x v="74"/>
          </reference>
          <reference field="1" count="1" selected="0">
            <x v="107"/>
          </reference>
          <reference field="2" count="1">
            <x v="23"/>
          </reference>
        </references>
      </pivotArea>
    </format>
    <format dxfId="587">
      <pivotArea dataOnly="0" labelOnly="1" fieldPosition="0">
        <references count="3">
          <reference field="0" count="1" selected="0">
            <x v="74"/>
          </reference>
          <reference field="1" count="1" selected="0">
            <x v="171"/>
          </reference>
          <reference field="2" count="1">
            <x v="0"/>
          </reference>
        </references>
      </pivotArea>
    </format>
    <format dxfId="586">
      <pivotArea dataOnly="0" labelOnly="1" fieldPosition="0">
        <references count="3">
          <reference field="0" count="1" selected="0">
            <x v="74"/>
          </reference>
          <reference field="1" count="1" selected="0">
            <x v="201"/>
          </reference>
          <reference field="2" count="1">
            <x v="18"/>
          </reference>
        </references>
      </pivotArea>
    </format>
    <format dxfId="585">
      <pivotArea dataOnly="0" labelOnly="1" fieldPosition="0">
        <references count="3">
          <reference field="0" count="1" selected="0">
            <x v="74"/>
          </reference>
          <reference field="1" count="1" selected="0">
            <x v="353"/>
          </reference>
          <reference field="2" count="1">
            <x v="1"/>
          </reference>
        </references>
      </pivotArea>
    </format>
    <format dxfId="584">
      <pivotArea dataOnly="0" labelOnly="1" fieldPosition="0">
        <references count="3">
          <reference field="0" count="1" selected="0">
            <x v="74"/>
          </reference>
          <reference field="1" count="1" selected="0">
            <x v="729"/>
          </reference>
          <reference field="2" count="1">
            <x v="21"/>
          </reference>
        </references>
      </pivotArea>
    </format>
    <format dxfId="583">
      <pivotArea dataOnly="0" labelOnly="1" fieldPosition="0">
        <references count="3">
          <reference field="0" count="1" selected="0">
            <x v="74"/>
          </reference>
          <reference field="1" count="1" selected="0">
            <x v="824"/>
          </reference>
          <reference field="2" count="1">
            <x v="16"/>
          </reference>
        </references>
      </pivotArea>
    </format>
    <format dxfId="582">
      <pivotArea dataOnly="0" labelOnly="1" fieldPosition="0">
        <references count="3">
          <reference field="0" count="1" selected="0">
            <x v="74"/>
          </reference>
          <reference field="1" count="1" selected="0">
            <x v="859"/>
          </reference>
          <reference field="2" count="1">
            <x v="27"/>
          </reference>
        </references>
      </pivotArea>
    </format>
    <format dxfId="581">
      <pivotArea dataOnly="0" labelOnly="1" fieldPosition="0">
        <references count="3">
          <reference field="0" count="1" selected="0">
            <x v="74"/>
          </reference>
          <reference field="1" count="1" selected="0">
            <x v="869"/>
          </reference>
          <reference field="2" count="1">
            <x v="3"/>
          </reference>
        </references>
      </pivotArea>
    </format>
    <format dxfId="580">
      <pivotArea dataOnly="0" labelOnly="1" fieldPosition="0">
        <references count="3">
          <reference field="0" count="1" selected="0">
            <x v="74"/>
          </reference>
          <reference field="1" count="1" selected="0">
            <x v="881"/>
          </reference>
          <reference field="2" count="1">
            <x v="7"/>
          </reference>
        </references>
      </pivotArea>
    </format>
    <format dxfId="579">
      <pivotArea dataOnly="0" labelOnly="1" fieldPosition="0">
        <references count="3">
          <reference field="0" count="1" selected="0">
            <x v="74"/>
          </reference>
          <reference field="1" count="1" selected="0">
            <x v="898"/>
          </reference>
          <reference field="2" count="1">
            <x v="17"/>
          </reference>
        </references>
      </pivotArea>
    </format>
    <format dxfId="578">
      <pivotArea dataOnly="0" labelOnly="1" fieldPosition="0">
        <references count="3">
          <reference field="0" count="1" selected="0">
            <x v="74"/>
          </reference>
          <reference field="1" count="1" selected="0">
            <x v="960"/>
          </reference>
          <reference field="2" count="1">
            <x v="5"/>
          </reference>
        </references>
      </pivotArea>
    </format>
    <format dxfId="577">
      <pivotArea dataOnly="0" labelOnly="1" fieldPosition="0">
        <references count="3">
          <reference field="0" count="1" selected="0">
            <x v="74"/>
          </reference>
          <reference field="1" count="1" selected="0">
            <x v="997"/>
          </reference>
          <reference field="2" count="1">
            <x v="28"/>
          </reference>
        </references>
      </pivotArea>
    </format>
    <format dxfId="576">
      <pivotArea dataOnly="0" labelOnly="1" fieldPosition="0">
        <references count="3">
          <reference field="0" count="1" selected="0">
            <x v="73"/>
          </reference>
          <reference field="1" count="1" selected="0">
            <x v="119"/>
          </reference>
          <reference field="2" count="1">
            <x v="12"/>
          </reference>
        </references>
      </pivotArea>
    </format>
    <format dxfId="575">
      <pivotArea dataOnly="0" labelOnly="1" fieldPosition="0">
        <references count="3">
          <reference field="0" count="1" selected="0">
            <x v="73"/>
          </reference>
          <reference field="1" count="1" selected="0">
            <x v="364"/>
          </reference>
          <reference field="2" count="1">
            <x v="1"/>
          </reference>
        </references>
      </pivotArea>
    </format>
    <format dxfId="574">
      <pivotArea dataOnly="0" labelOnly="1" fieldPosition="0">
        <references count="3">
          <reference field="0" count="1" selected="0">
            <x v="73"/>
          </reference>
          <reference field="1" count="1" selected="0">
            <x v="817"/>
          </reference>
          <reference field="2" count="1">
            <x v="7"/>
          </reference>
        </references>
      </pivotArea>
    </format>
    <format dxfId="573">
      <pivotArea dataOnly="0" labelOnly="1" fieldPosition="0">
        <references count="3">
          <reference field="0" count="1" selected="0">
            <x v="73"/>
          </reference>
          <reference field="1" count="1" selected="0">
            <x v="885"/>
          </reference>
          <reference field="2" count="1">
            <x v="16"/>
          </reference>
        </references>
      </pivotArea>
    </format>
    <format dxfId="572">
      <pivotArea dataOnly="0" labelOnly="1" fieldPosition="0">
        <references count="3">
          <reference field="0" count="1" selected="0">
            <x v="73"/>
          </reference>
          <reference field="1" count="1" selected="0">
            <x v="956"/>
          </reference>
          <reference field="2" count="1">
            <x v="20"/>
          </reference>
        </references>
      </pivotArea>
    </format>
    <format dxfId="571">
      <pivotArea dataOnly="0" labelOnly="1" fieldPosition="0">
        <references count="3">
          <reference field="0" count="1" selected="0">
            <x v="73"/>
          </reference>
          <reference field="1" count="1" selected="0">
            <x v="964"/>
          </reference>
          <reference field="2" count="1">
            <x v="6"/>
          </reference>
        </references>
      </pivotArea>
    </format>
    <format dxfId="570">
      <pivotArea dataOnly="0" labelOnly="1" fieldPosition="0">
        <references count="3">
          <reference field="0" count="1" selected="0">
            <x v="73"/>
          </reference>
          <reference field="1" count="1" selected="0">
            <x v="1231"/>
          </reference>
          <reference field="2" count="1">
            <x v="18"/>
          </reference>
        </references>
      </pivotArea>
    </format>
    <format dxfId="569">
      <pivotArea dataOnly="0" labelOnly="1" fieldPosition="0">
        <references count="3">
          <reference field="0" count="1" selected="0">
            <x v="72"/>
          </reference>
          <reference field="1" count="1" selected="0">
            <x v="202"/>
          </reference>
          <reference field="2" count="1">
            <x v="18"/>
          </reference>
        </references>
      </pivotArea>
    </format>
    <format dxfId="568">
      <pivotArea dataOnly="0" labelOnly="1" fieldPosition="0">
        <references count="3">
          <reference field="0" count="1" selected="0">
            <x v="72"/>
          </reference>
          <reference field="1" count="1" selected="0">
            <x v="351"/>
          </reference>
          <reference field="2" count="1">
            <x v="1"/>
          </reference>
        </references>
      </pivotArea>
    </format>
    <format dxfId="567">
      <pivotArea dataOnly="0" labelOnly="1" fieldPosition="0">
        <references count="3">
          <reference field="0" count="1" selected="0">
            <x v="72"/>
          </reference>
          <reference field="1" count="1" selected="0">
            <x v="355"/>
          </reference>
          <reference field="2" count="1">
            <x v="1"/>
          </reference>
        </references>
      </pivotArea>
    </format>
    <format dxfId="566">
      <pivotArea dataOnly="0" labelOnly="1" fieldPosition="0">
        <references count="3">
          <reference field="0" count="1" selected="0">
            <x v="72"/>
          </reference>
          <reference field="1" count="1" selected="0">
            <x v="690"/>
          </reference>
          <reference field="2" count="1">
            <x v="7"/>
          </reference>
        </references>
      </pivotArea>
    </format>
    <format dxfId="565">
      <pivotArea dataOnly="0" labelOnly="1" fieldPosition="0">
        <references count="3">
          <reference field="0" count="1" selected="0">
            <x v="72"/>
          </reference>
          <reference field="1" count="1" selected="0">
            <x v="1000"/>
          </reference>
          <reference field="2" count="1">
            <x v="27"/>
          </reference>
        </references>
      </pivotArea>
    </format>
    <format dxfId="564">
      <pivotArea dataOnly="0" labelOnly="1" fieldPosition="0">
        <references count="3">
          <reference field="0" count="1" selected="0">
            <x v="71"/>
          </reference>
          <reference field="1" count="1" selected="0">
            <x v="600"/>
          </reference>
          <reference field="2" count="1">
            <x v="18"/>
          </reference>
        </references>
      </pivotArea>
    </format>
    <format dxfId="563">
      <pivotArea dataOnly="0" labelOnly="1" fieldPosition="0">
        <references count="3">
          <reference field="0" count="1" selected="0">
            <x v="71"/>
          </reference>
          <reference field="1" count="1" selected="0">
            <x v="606"/>
          </reference>
          <reference field="2" count="1">
            <x v="2"/>
          </reference>
        </references>
      </pivotArea>
    </format>
    <format dxfId="562">
      <pivotArea dataOnly="0" labelOnly="1" fieldPosition="0">
        <references count="3">
          <reference field="0" count="1" selected="0">
            <x v="71"/>
          </reference>
          <reference field="1" count="1" selected="0">
            <x v="777"/>
          </reference>
          <reference field="2" count="1">
            <x v="19"/>
          </reference>
        </references>
      </pivotArea>
    </format>
    <format dxfId="561">
      <pivotArea dataOnly="0" labelOnly="1" fieldPosition="0">
        <references count="3">
          <reference field="0" count="1" selected="0">
            <x v="71"/>
          </reference>
          <reference field="1" count="1" selected="0">
            <x v="1048"/>
          </reference>
          <reference field="2" count="1">
            <x v="3"/>
          </reference>
        </references>
      </pivotArea>
    </format>
    <format dxfId="560">
      <pivotArea dataOnly="0" labelOnly="1" fieldPosition="0">
        <references count="3">
          <reference field="0" count="1" selected="0">
            <x v="71"/>
          </reference>
          <reference field="1" count="1" selected="0">
            <x v="1272"/>
          </reference>
          <reference field="2" count="1">
            <x v="28"/>
          </reference>
        </references>
      </pivotArea>
    </format>
    <format dxfId="559">
      <pivotArea dataOnly="0" labelOnly="1" fieldPosition="0">
        <references count="3">
          <reference field="0" count="1" selected="0">
            <x v="71"/>
          </reference>
          <reference field="1" count="1" selected="0">
            <x v="1288"/>
          </reference>
          <reference field="2" count="1">
            <x v="0"/>
          </reference>
        </references>
      </pivotArea>
    </format>
    <format dxfId="558">
      <pivotArea dataOnly="0" labelOnly="1" fieldPosition="0">
        <references count="3">
          <reference field="0" count="1" selected="0">
            <x v="70"/>
          </reference>
          <reference field="1" count="1" selected="0">
            <x v="339"/>
          </reference>
          <reference field="2" count="1">
            <x v="1"/>
          </reference>
        </references>
      </pivotArea>
    </format>
    <format dxfId="557">
      <pivotArea dataOnly="0" labelOnly="1" fieldPosition="0">
        <references count="3">
          <reference field="0" count="1" selected="0">
            <x v="70"/>
          </reference>
          <reference field="1" count="1" selected="0">
            <x v="452"/>
          </reference>
          <reference field="2" count="1">
            <x v="22"/>
          </reference>
        </references>
      </pivotArea>
    </format>
    <format dxfId="556">
      <pivotArea dataOnly="0" labelOnly="1" fieldPosition="0">
        <references count="3">
          <reference field="0" count="1" selected="0">
            <x v="70"/>
          </reference>
          <reference field="1" count="1" selected="0">
            <x v="541"/>
          </reference>
          <reference field="2" count="1">
            <x v="29"/>
          </reference>
        </references>
      </pivotArea>
    </format>
    <format dxfId="555">
      <pivotArea dataOnly="0" labelOnly="1" fieldPosition="0">
        <references count="3">
          <reference field="0" count="1" selected="0">
            <x v="70"/>
          </reference>
          <reference field="1" count="1" selected="0">
            <x v="631"/>
          </reference>
          <reference field="2" count="1">
            <x v="27"/>
          </reference>
        </references>
      </pivotArea>
    </format>
    <format dxfId="554">
      <pivotArea dataOnly="0" labelOnly="1" fieldPosition="0">
        <references count="3">
          <reference field="0" count="1" selected="0">
            <x v="70"/>
          </reference>
          <reference field="1" count="1" selected="0">
            <x v="645"/>
          </reference>
          <reference field="2" count="1">
            <x v="6"/>
          </reference>
        </references>
      </pivotArea>
    </format>
    <format dxfId="553">
      <pivotArea dataOnly="0" labelOnly="1" fieldPosition="0">
        <references count="3">
          <reference field="0" count="1" selected="0">
            <x v="70"/>
          </reference>
          <reference field="1" count="1" selected="0">
            <x v="646"/>
          </reference>
          <reference field="2" count="1">
            <x v="6"/>
          </reference>
        </references>
      </pivotArea>
    </format>
    <format dxfId="552">
      <pivotArea dataOnly="0" labelOnly="1" fieldPosition="0">
        <references count="3">
          <reference field="0" count="1" selected="0">
            <x v="70"/>
          </reference>
          <reference field="1" count="1" selected="0">
            <x v="840"/>
          </reference>
          <reference field="2" count="1">
            <x v="24"/>
          </reference>
        </references>
      </pivotArea>
    </format>
    <format dxfId="551">
      <pivotArea dataOnly="0" labelOnly="1" fieldPosition="0">
        <references count="3">
          <reference field="0" count="1" selected="0">
            <x v="70"/>
          </reference>
          <reference field="1" count="1" selected="0">
            <x v="887"/>
          </reference>
          <reference field="2" count="1">
            <x v="18"/>
          </reference>
        </references>
      </pivotArea>
    </format>
    <format dxfId="550">
      <pivotArea dataOnly="0" labelOnly="1" fieldPosition="0">
        <references count="3">
          <reference field="0" count="1" selected="0">
            <x v="70"/>
          </reference>
          <reference field="1" count="1" selected="0">
            <x v="968"/>
          </reference>
          <reference field="2" count="1">
            <x v="5"/>
          </reference>
        </references>
      </pivotArea>
    </format>
    <format dxfId="549">
      <pivotArea dataOnly="0" labelOnly="1" fieldPosition="0">
        <references count="3">
          <reference field="0" count="1" selected="0">
            <x v="70"/>
          </reference>
          <reference field="1" count="1" selected="0">
            <x v="1023"/>
          </reference>
          <reference field="2" count="1">
            <x v="23"/>
          </reference>
        </references>
      </pivotArea>
    </format>
    <format dxfId="548">
      <pivotArea dataOnly="0" labelOnly="1" fieldPosition="0">
        <references count="3">
          <reference field="0" count="1" selected="0">
            <x v="69"/>
          </reference>
          <reference field="1" count="1" selected="0">
            <x v="592"/>
          </reference>
          <reference field="2" count="1">
            <x v="6"/>
          </reference>
        </references>
      </pivotArea>
    </format>
    <format dxfId="547">
      <pivotArea dataOnly="0" labelOnly="1" fieldPosition="0">
        <references count="3">
          <reference field="0" count="1" selected="0">
            <x v="69"/>
          </reference>
          <reference field="1" count="1" selected="0">
            <x v="836"/>
          </reference>
          <reference field="2" count="1">
            <x v="5"/>
          </reference>
        </references>
      </pivotArea>
    </format>
    <format dxfId="546">
      <pivotArea dataOnly="0" labelOnly="1" fieldPosition="0">
        <references count="3">
          <reference field="0" count="1" selected="0">
            <x v="68"/>
          </reference>
          <reference field="1" count="1" selected="0">
            <x v="262"/>
          </reference>
          <reference field="2" count="1">
            <x v="13"/>
          </reference>
        </references>
      </pivotArea>
    </format>
    <format dxfId="545">
      <pivotArea dataOnly="0" labelOnly="1" fieldPosition="0">
        <references count="3">
          <reference field="0" count="1" selected="0">
            <x v="68"/>
          </reference>
          <reference field="1" count="1" selected="0">
            <x v="531"/>
          </reference>
          <reference field="2" count="1">
            <x v="0"/>
          </reference>
        </references>
      </pivotArea>
    </format>
    <format dxfId="544">
      <pivotArea dataOnly="0" labelOnly="1" fieldPosition="0">
        <references count="3">
          <reference field="0" count="1" selected="0">
            <x v="68"/>
          </reference>
          <reference field="1" count="1" selected="0">
            <x v="611"/>
          </reference>
          <reference field="2" count="1">
            <x v="29"/>
          </reference>
        </references>
      </pivotArea>
    </format>
    <format dxfId="543">
      <pivotArea dataOnly="0" labelOnly="1" fieldPosition="0">
        <references count="3">
          <reference field="0" count="1" selected="0">
            <x v="68"/>
          </reference>
          <reference field="1" count="1" selected="0">
            <x v="736"/>
          </reference>
          <reference field="2" count="1">
            <x v="5"/>
          </reference>
        </references>
      </pivotArea>
    </format>
    <format dxfId="542">
      <pivotArea dataOnly="0" labelOnly="1" fieldPosition="0">
        <references count="3">
          <reference field="0" count="1" selected="0">
            <x v="68"/>
          </reference>
          <reference field="1" count="1" selected="0">
            <x v="753"/>
          </reference>
          <reference field="2" count="1">
            <x v="17"/>
          </reference>
        </references>
      </pivotArea>
    </format>
    <format dxfId="541">
      <pivotArea dataOnly="0" labelOnly="1" fieldPosition="0">
        <references count="3">
          <reference field="0" count="1" selected="0">
            <x v="68"/>
          </reference>
          <reference field="1" count="1" selected="0">
            <x v="855"/>
          </reference>
          <reference field="2" count="1">
            <x v="3"/>
          </reference>
        </references>
      </pivotArea>
    </format>
    <format dxfId="540">
      <pivotArea dataOnly="0" labelOnly="1" fieldPosition="0">
        <references count="3">
          <reference field="0" count="1" selected="0">
            <x v="68"/>
          </reference>
          <reference field="1" count="1" selected="0">
            <x v="1021"/>
          </reference>
          <reference field="2" count="1">
            <x v="15"/>
          </reference>
        </references>
      </pivotArea>
    </format>
    <format dxfId="539">
      <pivotArea dataOnly="0" labelOnly="1" fieldPosition="0">
        <references count="3">
          <reference field="0" count="1" selected="0">
            <x v="68"/>
          </reference>
          <reference field="1" count="1" selected="0">
            <x v="1122"/>
          </reference>
          <reference field="2" count="1">
            <x v="26"/>
          </reference>
        </references>
      </pivotArea>
    </format>
    <format dxfId="538">
      <pivotArea dataOnly="0" labelOnly="1" fieldPosition="0">
        <references count="3">
          <reference field="0" count="1" selected="0">
            <x v="68"/>
          </reference>
          <reference field="1" count="1" selected="0">
            <x v="1194"/>
          </reference>
          <reference field="2" count="1">
            <x v="11"/>
          </reference>
        </references>
      </pivotArea>
    </format>
    <format dxfId="537">
      <pivotArea dataOnly="0" labelOnly="1" fieldPosition="0">
        <references count="3">
          <reference field="0" count="1" selected="0">
            <x v="67"/>
          </reference>
          <reference field="1" count="1" selected="0">
            <x v="359"/>
          </reference>
          <reference field="2" count="1">
            <x v="1"/>
          </reference>
        </references>
      </pivotArea>
    </format>
    <format dxfId="536">
      <pivotArea dataOnly="0" labelOnly="1" fieldPosition="0">
        <references count="3">
          <reference field="0" count="1" selected="0">
            <x v="67"/>
          </reference>
          <reference field="1" count="1" selected="0">
            <x v="440"/>
          </reference>
          <reference field="2" count="1">
            <x v="24"/>
          </reference>
        </references>
      </pivotArea>
    </format>
    <format dxfId="535">
      <pivotArea dataOnly="0" labelOnly="1" fieldPosition="0">
        <references count="3">
          <reference field="0" count="1" selected="0">
            <x v="67"/>
          </reference>
          <reference field="1" count="1" selected="0">
            <x v="601"/>
          </reference>
          <reference field="2" count="1">
            <x v="27"/>
          </reference>
        </references>
      </pivotArea>
    </format>
    <format dxfId="534">
      <pivotArea dataOnly="0" labelOnly="1" fieldPosition="0">
        <references count="3">
          <reference field="0" count="1" selected="0">
            <x v="67"/>
          </reference>
          <reference field="1" count="1" selected="0">
            <x v="841"/>
          </reference>
          <reference field="2" count="1">
            <x v="15"/>
          </reference>
        </references>
      </pivotArea>
    </format>
    <format dxfId="533">
      <pivotArea dataOnly="0" labelOnly="1" fieldPosition="0">
        <references count="3">
          <reference field="0" count="1" selected="0">
            <x v="66"/>
          </reference>
          <reference field="1" count="1" selected="0">
            <x v="125"/>
          </reference>
          <reference field="2" count="1">
            <x v="12"/>
          </reference>
        </references>
      </pivotArea>
    </format>
    <format dxfId="532">
      <pivotArea dataOnly="0" labelOnly="1" fieldPosition="0">
        <references count="3">
          <reference field="0" count="1" selected="0">
            <x v="66"/>
          </reference>
          <reference field="1" count="1" selected="0">
            <x v="609"/>
          </reference>
          <reference field="2" count="1">
            <x v="2"/>
          </reference>
        </references>
      </pivotArea>
    </format>
    <format dxfId="531">
      <pivotArea dataOnly="0" labelOnly="1" fieldPosition="0">
        <references count="3">
          <reference field="0" count="1" selected="0">
            <x v="66"/>
          </reference>
          <reference field="1" count="1" selected="0">
            <x v="889"/>
          </reference>
          <reference field="2" count="1">
            <x v="17"/>
          </reference>
        </references>
      </pivotArea>
    </format>
    <format dxfId="530">
      <pivotArea dataOnly="0" labelOnly="1" fieldPosition="0">
        <references count="3">
          <reference field="0" count="1" selected="0">
            <x v="65"/>
          </reference>
          <reference field="1" count="1" selected="0">
            <x v="113"/>
          </reference>
          <reference field="2" count="1">
            <x v="29"/>
          </reference>
        </references>
      </pivotArea>
    </format>
    <format dxfId="529">
      <pivotArea dataOnly="0" labelOnly="1" fieldPosition="0">
        <references count="3">
          <reference field="0" count="1" selected="0">
            <x v="65"/>
          </reference>
          <reference field="1" count="1" selected="0">
            <x v="138"/>
          </reference>
          <reference field="2" count="1">
            <x v="0"/>
          </reference>
        </references>
      </pivotArea>
    </format>
    <format dxfId="528">
      <pivotArea dataOnly="0" labelOnly="1" fieldPosition="0">
        <references count="3">
          <reference field="0" count="1" selected="0">
            <x v="65"/>
          </reference>
          <reference field="1" count="1" selected="0">
            <x v="604"/>
          </reference>
          <reference field="2" count="1">
            <x v="2"/>
          </reference>
        </references>
      </pivotArea>
    </format>
    <format dxfId="527">
      <pivotArea dataOnly="0" labelOnly="1" fieldPosition="0">
        <references count="3">
          <reference field="0" count="1" selected="0">
            <x v="65"/>
          </reference>
          <reference field="1" count="1" selected="0">
            <x v="661"/>
          </reference>
          <reference field="2" count="1">
            <x v="12"/>
          </reference>
        </references>
      </pivotArea>
    </format>
    <format dxfId="526">
      <pivotArea dataOnly="0" labelOnly="1" fieldPosition="0">
        <references count="3">
          <reference field="0" count="1" selected="0">
            <x v="65"/>
          </reference>
          <reference field="1" count="1" selected="0">
            <x v="922"/>
          </reference>
          <reference field="2" count="1">
            <x v="16"/>
          </reference>
        </references>
      </pivotArea>
    </format>
    <format dxfId="525">
      <pivotArea dataOnly="0" labelOnly="1" fieldPosition="0">
        <references count="3">
          <reference field="0" count="1" selected="0">
            <x v="65"/>
          </reference>
          <reference field="1" count="1" selected="0">
            <x v="1153"/>
          </reference>
          <reference field="2" count="1">
            <x v="9"/>
          </reference>
        </references>
      </pivotArea>
    </format>
    <format dxfId="524">
      <pivotArea dataOnly="0" labelOnly="1" fieldPosition="0">
        <references count="3">
          <reference field="0" count="1" selected="0">
            <x v="65"/>
          </reference>
          <reference field="1" count="1" selected="0">
            <x v="1190"/>
          </reference>
          <reference field="2" count="1">
            <x v="11"/>
          </reference>
        </references>
      </pivotArea>
    </format>
    <format dxfId="523">
      <pivotArea dataOnly="0" labelOnly="1" fieldPosition="0">
        <references count="3">
          <reference field="0" count="1" selected="0">
            <x v="65"/>
          </reference>
          <reference field="1" count="1" selected="0">
            <x v="1305"/>
          </reference>
          <reference field="2" count="1">
            <x v="10"/>
          </reference>
        </references>
      </pivotArea>
    </format>
    <format dxfId="522">
      <pivotArea dataOnly="0" labelOnly="1" fieldPosition="0">
        <references count="3">
          <reference field="0" count="1" selected="0">
            <x v="64"/>
          </reference>
          <reference field="1" count="1" selected="0">
            <x v="124"/>
          </reference>
          <reference field="2" count="1">
            <x v="12"/>
          </reference>
        </references>
      </pivotArea>
    </format>
    <format dxfId="521">
      <pivotArea dataOnly="0" labelOnly="1" fieldPosition="0">
        <references count="3">
          <reference field="0" count="1" selected="0">
            <x v="63"/>
          </reference>
          <reference field="1" count="1" selected="0">
            <x v="923"/>
          </reference>
          <reference field="2" count="1">
            <x v="16"/>
          </reference>
        </references>
      </pivotArea>
    </format>
    <format dxfId="520">
      <pivotArea dataOnly="0" labelOnly="1" fieldPosition="0">
        <references count="3">
          <reference field="0" count="1" selected="0">
            <x v="62"/>
          </reference>
          <reference field="1" count="1" selected="0">
            <x v="516"/>
          </reference>
          <reference field="2" count="1">
            <x v="27"/>
          </reference>
        </references>
      </pivotArea>
    </format>
    <format dxfId="519">
      <pivotArea dataOnly="0" labelOnly="1" fieldPosition="0">
        <references count="3">
          <reference field="0" count="1" selected="0">
            <x v="62"/>
          </reference>
          <reference field="1" count="1" selected="0">
            <x v="605"/>
          </reference>
          <reference field="2" count="1">
            <x v="7"/>
          </reference>
        </references>
      </pivotArea>
    </format>
    <format dxfId="518">
      <pivotArea dataOnly="0" labelOnly="1" fieldPosition="0">
        <references count="3">
          <reference field="0" count="1" selected="0">
            <x v="62"/>
          </reference>
          <reference field="1" count="1" selected="0">
            <x v="630"/>
          </reference>
          <reference field="2" count="1">
            <x v="20"/>
          </reference>
        </references>
      </pivotArea>
    </format>
    <format dxfId="517">
      <pivotArea dataOnly="0" labelOnly="1" fieldPosition="0">
        <references count="3">
          <reference field="0" count="1" selected="0">
            <x v="62"/>
          </reference>
          <reference field="1" count="1" selected="0">
            <x v="642"/>
          </reference>
          <reference field="2" count="1">
            <x v="15"/>
          </reference>
        </references>
      </pivotArea>
    </format>
    <format dxfId="516">
      <pivotArea dataOnly="0" labelOnly="1" fieldPosition="0">
        <references count="3">
          <reference field="0" count="1" selected="0">
            <x v="62"/>
          </reference>
          <reference field="1" count="1" selected="0">
            <x v="648"/>
          </reference>
          <reference field="2" count="1">
            <x v="2"/>
          </reference>
        </references>
      </pivotArea>
    </format>
    <format dxfId="515">
      <pivotArea dataOnly="0" labelOnly="1" fieldPosition="0">
        <references count="3">
          <reference field="0" count="1" selected="0">
            <x v="62"/>
          </reference>
          <reference field="1" count="1" selected="0">
            <x v="752"/>
          </reference>
          <reference field="2" count="1">
            <x v="7"/>
          </reference>
        </references>
      </pivotArea>
    </format>
    <format dxfId="514">
      <pivotArea dataOnly="0" labelOnly="1" fieldPosition="0">
        <references count="3">
          <reference field="0" count="1" selected="0">
            <x v="62"/>
          </reference>
          <reference field="1" count="1" selected="0">
            <x v="957"/>
          </reference>
          <reference field="2" count="1">
            <x v="5"/>
          </reference>
        </references>
      </pivotArea>
    </format>
    <format dxfId="513">
      <pivotArea dataOnly="0" labelOnly="1" fieldPosition="0">
        <references count="3">
          <reference field="0" count="1" selected="0">
            <x v="62"/>
          </reference>
          <reference field="1" count="1" selected="0">
            <x v="1057"/>
          </reference>
          <reference field="2" count="1">
            <x v="12"/>
          </reference>
        </references>
      </pivotArea>
    </format>
    <format dxfId="512">
      <pivotArea dataOnly="0" labelOnly="1" fieldPosition="0">
        <references count="3">
          <reference field="0" count="1" selected="0">
            <x v="62"/>
          </reference>
          <reference field="1" count="1" selected="0">
            <x v="1110"/>
          </reference>
          <reference field="2" count="1">
            <x v="26"/>
          </reference>
        </references>
      </pivotArea>
    </format>
    <format dxfId="511">
      <pivotArea dataOnly="0" labelOnly="1" fieldPosition="0">
        <references count="3">
          <reference field="0" count="1" selected="0">
            <x v="61"/>
          </reference>
          <reference field="1" count="1" selected="0">
            <x v="120"/>
          </reference>
          <reference field="2" count="1">
            <x v="12"/>
          </reference>
        </references>
      </pivotArea>
    </format>
    <format dxfId="510">
      <pivotArea dataOnly="0" labelOnly="1" fieldPosition="0">
        <references count="3">
          <reference field="0" count="1" selected="0">
            <x v="61"/>
          </reference>
          <reference field="1" count="1" selected="0">
            <x v="121"/>
          </reference>
          <reference field="2" count="1">
            <x v="24"/>
          </reference>
        </references>
      </pivotArea>
    </format>
    <format dxfId="509">
      <pivotArea dataOnly="0" labelOnly="1" fieldPosition="0">
        <references count="3">
          <reference field="0" count="1" selected="0">
            <x v="61"/>
          </reference>
          <reference field="1" count="1" selected="0">
            <x v="165"/>
          </reference>
          <reference field="2" count="1">
            <x v="0"/>
          </reference>
        </references>
      </pivotArea>
    </format>
    <format dxfId="508">
      <pivotArea dataOnly="0" labelOnly="1" fieldPosition="0">
        <references count="3">
          <reference field="0" count="1" selected="0">
            <x v="61"/>
          </reference>
          <reference field="1" count="1" selected="0">
            <x v="346"/>
          </reference>
          <reference field="2" count="1">
            <x v="1"/>
          </reference>
        </references>
      </pivotArea>
    </format>
    <format dxfId="507">
      <pivotArea dataOnly="0" labelOnly="1" fieldPosition="0">
        <references count="3">
          <reference field="0" count="1" selected="0">
            <x v="61"/>
          </reference>
          <reference field="1" count="1" selected="0">
            <x v="367"/>
          </reference>
          <reference field="2" count="1">
            <x v="1"/>
          </reference>
        </references>
      </pivotArea>
    </format>
    <format dxfId="506">
      <pivotArea dataOnly="0" labelOnly="1" fieldPosition="0">
        <references count="3">
          <reference field="0" count="1" selected="0">
            <x v="61"/>
          </reference>
          <reference field="1" count="1" selected="0">
            <x v="599"/>
          </reference>
          <reference field="2" count="1">
            <x v="18"/>
          </reference>
        </references>
      </pivotArea>
    </format>
    <format dxfId="505">
      <pivotArea dataOnly="0" labelOnly="1" fieldPosition="0">
        <references count="3">
          <reference field="0" count="1" selected="0">
            <x v="61"/>
          </reference>
          <reference field="1" count="1" selected="0">
            <x v="652"/>
          </reference>
          <reference field="2" count="1">
            <x v="25"/>
          </reference>
        </references>
      </pivotArea>
    </format>
    <format dxfId="504">
      <pivotArea dataOnly="0" labelOnly="1" fieldPosition="0">
        <references count="3">
          <reference field="0" count="1" selected="0">
            <x v="61"/>
          </reference>
          <reference field="1" count="1" selected="0">
            <x v="788"/>
          </reference>
          <reference field="2" count="1">
            <x v="16"/>
          </reference>
        </references>
      </pivotArea>
    </format>
    <format dxfId="503">
      <pivotArea dataOnly="0" labelOnly="1" fieldPosition="0">
        <references count="3">
          <reference field="0" count="1" selected="0">
            <x v="61"/>
          </reference>
          <reference field="1" count="1" selected="0">
            <x v="835"/>
          </reference>
          <reference field="2" count="1">
            <x v="24"/>
          </reference>
        </references>
      </pivotArea>
    </format>
    <format dxfId="502">
      <pivotArea dataOnly="0" labelOnly="1" fieldPosition="0">
        <references count="3">
          <reference field="0" count="1" selected="0">
            <x v="61"/>
          </reference>
          <reference field="1" count="1" selected="0">
            <x v="1089"/>
          </reference>
          <reference field="2" count="1">
            <x v="26"/>
          </reference>
        </references>
      </pivotArea>
    </format>
    <format dxfId="501">
      <pivotArea dataOnly="0" labelOnly="1" fieldPosition="0">
        <references count="3">
          <reference field="0" count="1" selected="0">
            <x v="61"/>
          </reference>
          <reference field="1" count="1" selected="0">
            <x v="1279"/>
          </reference>
          <reference field="2" count="1">
            <x v="16"/>
          </reference>
        </references>
      </pivotArea>
    </format>
    <format dxfId="500">
      <pivotArea dataOnly="0" labelOnly="1" fieldPosition="0">
        <references count="3">
          <reference field="0" count="1" selected="0">
            <x v="60"/>
          </reference>
          <reference field="1" count="1" selected="0">
            <x v="857"/>
          </reference>
          <reference field="2" count="1">
            <x v="3"/>
          </reference>
        </references>
      </pivotArea>
    </format>
    <format dxfId="499">
      <pivotArea dataOnly="0" labelOnly="1" fieldPosition="0">
        <references count="3">
          <reference field="0" count="1" selected="0">
            <x v="60"/>
          </reference>
          <reference field="1" count="1" selected="0">
            <x v="1019"/>
          </reference>
          <reference field="2" count="1">
            <x v="5"/>
          </reference>
        </references>
      </pivotArea>
    </format>
    <format dxfId="498">
      <pivotArea dataOnly="0" labelOnly="1" fieldPosition="0">
        <references count="3">
          <reference field="0" count="1" selected="0">
            <x v="59"/>
          </reference>
          <reference field="1" count="1" selected="0">
            <x v="291"/>
          </reference>
          <reference field="2" count="1">
            <x v="29"/>
          </reference>
        </references>
      </pivotArea>
    </format>
    <format dxfId="497">
      <pivotArea dataOnly="0" labelOnly="1" fieldPosition="0">
        <references count="3">
          <reference field="0" count="1" selected="0">
            <x v="59"/>
          </reference>
          <reference field="1" count="1" selected="0">
            <x v="763"/>
          </reference>
          <reference field="2" count="1">
            <x v="27"/>
          </reference>
        </references>
      </pivotArea>
    </format>
    <format dxfId="496">
      <pivotArea dataOnly="0" labelOnly="1" fieldPosition="0">
        <references count="3">
          <reference field="0" count="1" selected="0">
            <x v="59"/>
          </reference>
          <reference field="1" count="1" selected="0">
            <x v="1065"/>
          </reference>
          <reference field="2" count="1">
            <x v="22"/>
          </reference>
        </references>
      </pivotArea>
    </format>
    <format dxfId="495">
      <pivotArea dataOnly="0" labelOnly="1" fieldPosition="0">
        <references count="3">
          <reference field="0" count="1" selected="0">
            <x v="58"/>
          </reference>
          <reference field="1" count="1" selected="0">
            <x v="129"/>
          </reference>
          <reference field="2" count="1">
            <x v="23"/>
          </reference>
        </references>
      </pivotArea>
    </format>
    <format dxfId="494">
      <pivotArea dataOnly="0" labelOnly="1" fieldPosition="0">
        <references count="3">
          <reference field="0" count="1" selected="0">
            <x v="58"/>
          </reference>
          <reference field="1" count="1" selected="0">
            <x v="866"/>
          </reference>
          <reference field="2" count="1">
            <x v="5"/>
          </reference>
        </references>
      </pivotArea>
    </format>
    <format dxfId="493">
      <pivotArea dataOnly="0" labelOnly="1" fieldPosition="0">
        <references count="3">
          <reference field="0" count="1" selected="0">
            <x v="58"/>
          </reference>
          <reference field="1" count="1" selected="0">
            <x v="939"/>
          </reference>
          <reference field="2" count="1">
            <x v="24"/>
          </reference>
        </references>
      </pivotArea>
    </format>
    <format dxfId="492">
      <pivotArea dataOnly="0" labelOnly="1" fieldPosition="0">
        <references count="3">
          <reference field="0" count="1" selected="0">
            <x v="58"/>
          </reference>
          <reference field="1" count="1" selected="0">
            <x v="1088"/>
          </reference>
          <reference field="2" count="1">
            <x v="26"/>
          </reference>
        </references>
      </pivotArea>
    </format>
    <format dxfId="491">
      <pivotArea dataOnly="0" labelOnly="1" fieldPosition="0">
        <references count="3">
          <reference field="0" count="1" selected="0">
            <x v="57"/>
          </reference>
          <reference field="1" count="1" selected="0">
            <x v="154"/>
          </reference>
          <reference field="2" count="1">
            <x v="0"/>
          </reference>
        </references>
      </pivotArea>
    </format>
    <format dxfId="490">
      <pivotArea dataOnly="0" labelOnly="1" fieldPosition="0">
        <references count="3">
          <reference field="0" count="1" selected="0">
            <x v="57"/>
          </reference>
          <reference field="1" count="1" selected="0">
            <x v="694"/>
          </reference>
          <reference field="2" count="1">
            <x v="15"/>
          </reference>
        </references>
      </pivotArea>
    </format>
    <format dxfId="489">
      <pivotArea dataOnly="0" labelOnly="1" fieldPosition="0">
        <references count="3">
          <reference field="0" count="1" selected="0">
            <x v="57"/>
          </reference>
          <reference field="1" count="1" selected="0">
            <x v="1201"/>
          </reference>
          <reference field="2" count="1">
            <x v="11"/>
          </reference>
        </references>
      </pivotArea>
    </format>
    <format dxfId="488">
      <pivotArea dataOnly="0" labelOnly="1" fieldPosition="0">
        <references count="3">
          <reference field="0" count="1" selected="0">
            <x v="56"/>
          </reference>
          <reference field="1" count="1" selected="0">
            <x v="116"/>
          </reference>
          <reference field="2" count="1">
            <x v="14"/>
          </reference>
        </references>
      </pivotArea>
    </format>
    <format dxfId="487">
      <pivotArea dataOnly="0" labelOnly="1" fieldPosition="0">
        <references count="3">
          <reference field="0" count="1" selected="0">
            <x v="56"/>
          </reference>
          <reference field="1" count="1" selected="0">
            <x v="289"/>
          </reference>
          <reference field="2" count="1">
            <x v="28"/>
          </reference>
        </references>
      </pivotArea>
    </format>
    <format dxfId="486">
      <pivotArea dataOnly="0" labelOnly="1" fieldPosition="0">
        <references count="3">
          <reference field="0" count="1" selected="0">
            <x v="56"/>
          </reference>
          <reference field="1" count="1" selected="0">
            <x v="290"/>
          </reference>
          <reference field="2" count="1">
            <x v="27"/>
          </reference>
        </references>
      </pivotArea>
    </format>
    <format dxfId="485">
      <pivotArea dataOnly="0" labelOnly="1" fieldPosition="0">
        <references count="3">
          <reference field="0" count="1" selected="0">
            <x v="56"/>
          </reference>
          <reference field="1" count="1" selected="0">
            <x v="1161"/>
          </reference>
          <reference field="2" count="1">
            <x v="9"/>
          </reference>
        </references>
      </pivotArea>
    </format>
    <format dxfId="484">
      <pivotArea dataOnly="0" labelOnly="1" fieldPosition="0">
        <references count="3">
          <reference field="0" count="1" selected="0">
            <x v="55"/>
          </reference>
          <reference field="1" count="1" selected="0">
            <x v="147"/>
          </reference>
          <reference field="2" count="1">
            <x v="0"/>
          </reference>
        </references>
      </pivotArea>
    </format>
    <format dxfId="483">
      <pivotArea dataOnly="0" labelOnly="1" fieldPosition="0">
        <references count="3">
          <reference field="0" count="1" selected="0">
            <x v="55"/>
          </reference>
          <reference field="1" count="1" selected="0">
            <x v="251"/>
          </reference>
          <reference field="2" count="1">
            <x v="4"/>
          </reference>
        </references>
      </pivotArea>
    </format>
    <format dxfId="482">
      <pivotArea dataOnly="0" labelOnly="1" fieldPosition="0">
        <references count="3">
          <reference field="0" count="1" selected="0">
            <x v="55"/>
          </reference>
          <reference field="1" count="1" selected="0">
            <x v="328"/>
          </reference>
          <reference field="2" count="1">
            <x v="1"/>
          </reference>
        </references>
      </pivotArea>
    </format>
    <format dxfId="481">
      <pivotArea dataOnly="0" labelOnly="1" fieldPosition="0">
        <references count="3">
          <reference field="0" count="1" selected="0">
            <x v="55"/>
          </reference>
          <reference field="1" count="1" selected="0">
            <x v="598"/>
          </reference>
          <reference field="2" count="1">
            <x v="21"/>
          </reference>
        </references>
      </pivotArea>
    </format>
    <format dxfId="480">
      <pivotArea dataOnly="0" labelOnly="1" fieldPosition="0">
        <references count="3">
          <reference field="0" count="1" selected="0">
            <x v="55"/>
          </reference>
          <reference field="1" count="1" selected="0">
            <x v="663"/>
          </reference>
          <reference field="2" count="1">
            <x v="3"/>
          </reference>
        </references>
      </pivotArea>
    </format>
    <format dxfId="479">
      <pivotArea dataOnly="0" labelOnly="1" fieldPosition="0">
        <references count="3">
          <reference field="0" count="1" selected="0">
            <x v="55"/>
          </reference>
          <reference field="1" count="1" selected="0">
            <x v="668"/>
          </reference>
          <reference field="2" count="1">
            <x v="6"/>
          </reference>
        </references>
      </pivotArea>
    </format>
    <format dxfId="478">
      <pivotArea dataOnly="0" labelOnly="1" fieldPosition="0">
        <references count="3">
          <reference field="0" count="1" selected="0">
            <x v="55"/>
          </reference>
          <reference field="1" count="1" selected="0">
            <x v="1070"/>
          </reference>
          <reference field="2" count="1">
            <x v="18"/>
          </reference>
        </references>
      </pivotArea>
    </format>
    <format dxfId="477">
      <pivotArea dataOnly="0" labelOnly="1" fieldPosition="0">
        <references count="3">
          <reference field="0" count="1" selected="0">
            <x v="55"/>
          </reference>
          <reference field="1" count="1" selected="0">
            <x v="1210"/>
          </reference>
          <reference field="2" count="1">
            <x v="27"/>
          </reference>
        </references>
      </pivotArea>
    </format>
    <format dxfId="476">
      <pivotArea dataOnly="0" labelOnly="1" fieldPosition="0">
        <references count="3">
          <reference field="0" count="1" selected="0">
            <x v="55"/>
          </reference>
          <reference field="1" count="1" selected="0">
            <x v="1232"/>
          </reference>
          <reference field="2" count="1">
            <x v="28"/>
          </reference>
        </references>
      </pivotArea>
    </format>
    <format dxfId="475">
      <pivotArea dataOnly="0" labelOnly="1" fieldPosition="0">
        <references count="3">
          <reference field="0" count="1" selected="0">
            <x v="54"/>
          </reference>
          <reference field="1" count="1" selected="0">
            <x v="132"/>
          </reference>
          <reference field="2" count="1">
            <x v="0"/>
          </reference>
        </references>
      </pivotArea>
    </format>
    <format dxfId="474">
      <pivotArea dataOnly="0" labelOnly="1" fieldPosition="0">
        <references count="3">
          <reference field="0" count="1" selected="0">
            <x v="54"/>
          </reference>
          <reference field="1" count="1" selected="0">
            <x v="237"/>
          </reference>
          <reference field="2" count="1">
            <x v="7"/>
          </reference>
        </references>
      </pivotArea>
    </format>
    <format dxfId="473">
      <pivotArea dataOnly="0" labelOnly="1" fieldPosition="0">
        <references count="3">
          <reference field="0" count="1" selected="0">
            <x v="54"/>
          </reference>
          <reference field="1" count="1" selected="0">
            <x v="238"/>
          </reference>
          <reference field="2" count="1">
            <x v="28"/>
          </reference>
        </references>
      </pivotArea>
    </format>
    <format dxfId="472">
      <pivotArea dataOnly="0" labelOnly="1" fieldPosition="0">
        <references count="3">
          <reference field="0" count="1" selected="0">
            <x v="54"/>
          </reference>
          <reference field="1" count="1" selected="0">
            <x v="239"/>
          </reference>
          <reference field="2" count="1">
            <x v="7"/>
          </reference>
        </references>
      </pivotArea>
    </format>
    <format dxfId="471">
      <pivotArea dataOnly="0" labelOnly="1" fieldPosition="0">
        <references count="3">
          <reference field="0" count="1" selected="0">
            <x v="54"/>
          </reference>
          <reference field="1" count="1" selected="0">
            <x v="243"/>
          </reference>
          <reference field="2" count="1">
            <x v="19"/>
          </reference>
        </references>
      </pivotArea>
    </format>
    <format dxfId="470">
      <pivotArea dataOnly="0" labelOnly="1" fieldPosition="0">
        <references count="3">
          <reference field="0" count="1" selected="0">
            <x v="54"/>
          </reference>
          <reference field="1" count="1" selected="0">
            <x v="247"/>
          </reference>
          <reference field="2" count="1">
            <x v="24"/>
          </reference>
        </references>
      </pivotArea>
    </format>
    <format dxfId="469">
      <pivotArea dataOnly="0" labelOnly="1" fieldPosition="0">
        <references count="3">
          <reference field="0" count="1" selected="0">
            <x v="54"/>
          </reference>
          <reference field="1" count="1" selected="0">
            <x v="253"/>
          </reference>
          <reference field="2" count="1">
            <x v="7"/>
          </reference>
        </references>
      </pivotArea>
    </format>
    <format dxfId="468">
      <pivotArea dataOnly="0" labelOnly="1" fieldPosition="0">
        <references count="3">
          <reference field="0" count="1" selected="0">
            <x v="54"/>
          </reference>
          <reference field="1" count="1" selected="0">
            <x v="254"/>
          </reference>
          <reference field="2" count="1">
            <x v="24"/>
          </reference>
        </references>
      </pivotArea>
    </format>
    <format dxfId="467">
      <pivotArea dataOnly="0" labelOnly="1" fieldPosition="0">
        <references count="3">
          <reference field="0" count="1" selected="0">
            <x v="54"/>
          </reference>
          <reference field="1" count="1" selected="0">
            <x v="288"/>
          </reference>
          <reference field="2" count="1">
            <x v="6"/>
          </reference>
        </references>
      </pivotArea>
    </format>
    <format dxfId="466">
      <pivotArea dataOnly="0" labelOnly="1" fieldPosition="0">
        <references count="3">
          <reference field="0" count="1" selected="0">
            <x v="54"/>
          </reference>
          <reference field="1" count="1" selected="0">
            <x v="321"/>
          </reference>
          <reference field="2" count="1">
            <x v="1"/>
          </reference>
        </references>
      </pivotArea>
    </format>
    <format dxfId="465">
      <pivotArea dataOnly="0" labelOnly="1" fieldPosition="0">
        <references count="3">
          <reference field="0" count="1" selected="0">
            <x v="54"/>
          </reference>
          <reference field="1" count="1" selected="0">
            <x v="322"/>
          </reference>
          <reference field="2" count="1">
            <x v="1"/>
          </reference>
        </references>
      </pivotArea>
    </format>
    <format dxfId="464">
      <pivotArea dataOnly="0" labelOnly="1" fieldPosition="0">
        <references count="3">
          <reference field="0" count="1" selected="0">
            <x v="54"/>
          </reference>
          <reference field="1" count="1" selected="0">
            <x v="323"/>
          </reference>
          <reference field="2" count="1">
            <x v="1"/>
          </reference>
        </references>
      </pivotArea>
    </format>
    <format dxfId="463">
      <pivotArea dataOnly="0" labelOnly="1" fieldPosition="0">
        <references count="3">
          <reference field="0" count="1" selected="0">
            <x v="54"/>
          </reference>
          <reference field="1" count="1" selected="0">
            <x v="325"/>
          </reference>
          <reference field="2" count="1">
            <x v="1"/>
          </reference>
        </references>
      </pivotArea>
    </format>
    <format dxfId="462">
      <pivotArea dataOnly="0" labelOnly="1" fieldPosition="0">
        <references count="3">
          <reference field="0" count="1" selected="0">
            <x v="54"/>
          </reference>
          <reference field="1" count="1" selected="0">
            <x v="662"/>
          </reference>
          <reference field="2" count="1">
            <x v="23"/>
          </reference>
        </references>
      </pivotArea>
    </format>
    <format dxfId="461">
      <pivotArea dataOnly="0" labelOnly="1" fieldPosition="0">
        <references count="3">
          <reference field="0" count="1" selected="0">
            <x v="54"/>
          </reference>
          <reference field="1" count="1" selected="0">
            <x v="664"/>
          </reference>
          <reference field="2" count="1">
            <x v="23"/>
          </reference>
        </references>
      </pivotArea>
    </format>
    <format dxfId="460">
      <pivotArea dataOnly="0" labelOnly="1" fieldPosition="0">
        <references count="3">
          <reference field="0" count="1" selected="0">
            <x v="54"/>
          </reference>
          <reference field="1" count="1" selected="0">
            <x v="669"/>
          </reference>
          <reference field="2" count="1">
            <x v="3"/>
          </reference>
        </references>
      </pivotArea>
    </format>
    <format dxfId="459">
      <pivotArea dataOnly="0" labelOnly="1" fieldPosition="0">
        <references count="3">
          <reference field="0" count="1" selected="0">
            <x v="54"/>
          </reference>
          <reference field="1" count="1" selected="0">
            <x v="1209"/>
          </reference>
          <reference field="2" count="1">
            <x v="19"/>
          </reference>
        </references>
      </pivotArea>
    </format>
    <format dxfId="458">
      <pivotArea dataOnly="0" labelOnly="1" fieldPosition="0">
        <references count="3">
          <reference field="0" count="1" selected="0">
            <x v="54"/>
          </reference>
          <reference field="1" count="1" selected="0">
            <x v="1211"/>
          </reference>
          <reference field="2" count="1">
            <x v="7"/>
          </reference>
        </references>
      </pivotArea>
    </format>
    <format dxfId="457">
      <pivotArea dataOnly="0" labelOnly="1" fieldPosition="0">
        <references count="3">
          <reference field="0" count="1" selected="0">
            <x v="54"/>
          </reference>
          <reference field="1" count="1" selected="0">
            <x v="1215"/>
          </reference>
          <reference field="2" count="1">
            <x v="19"/>
          </reference>
        </references>
      </pivotArea>
    </format>
    <format dxfId="456">
      <pivotArea dataOnly="0" labelOnly="1" fieldPosition="0">
        <references count="3">
          <reference field="0" count="1" selected="0">
            <x v="54"/>
          </reference>
          <reference field="1" count="1" selected="0">
            <x v="1217"/>
          </reference>
          <reference field="2" count="1">
            <x v="23"/>
          </reference>
        </references>
      </pivotArea>
    </format>
    <format dxfId="455">
      <pivotArea dataOnly="0" labelOnly="1" fieldPosition="0">
        <references count="3">
          <reference field="0" count="1" selected="0">
            <x v="54"/>
          </reference>
          <reference field="1" count="1" selected="0">
            <x v="1218"/>
          </reference>
          <reference field="2" count="1">
            <x v="23"/>
          </reference>
        </references>
      </pivotArea>
    </format>
    <format dxfId="454">
      <pivotArea dataOnly="0" labelOnly="1" fieldPosition="0">
        <references count="3">
          <reference field="0" count="1" selected="0">
            <x v="54"/>
          </reference>
          <reference field="1" count="1" selected="0">
            <x v="1233"/>
          </reference>
          <reference field="2" count="1">
            <x v="2"/>
          </reference>
        </references>
      </pivotArea>
    </format>
    <format dxfId="453">
      <pivotArea dataOnly="0" labelOnly="1" fieldPosition="0">
        <references count="3">
          <reference field="0" count="1" selected="0">
            <x v="54"/>
          </reference>
          <reference field="1" count="1" selected="0">
            <x v="1309"/>
          </reference>
          <reference field="2" count="1">
            <x v="20"/>
          </reference>
        </references>
      </pivotArea>
    </format>
    <format dxfId="452">
      <pivotArea dataOnly="0" labelOnly="1" fieldPosition="0">
        <references count="3">
          <reference field="0" count="1" selected="0">
            <x v="53"/>
          </reference>
          <reference field="1" count="1" selected="0">
            <x v="1"/>
          </reference>
          <reference field="2" count="1">
            <x v="6"/>
          </reference>
        </references>
      </pivotArea>
    </format>
    <format dxfId="451">
      <pivotArea dataOnly="0" labelOnly="1" fieldPosition="0">
        <references count="3">
          <reference field="0" count="1" selected="0">
            <x v="53"/>
          </reference>
          <reference field="1" count="1" selected="0">
            <x v="102"/>
          </reference>
          <reference field="2" count="1">
            <x v="19"/>
          </reference>
        </references>
      </pivotArea>
    </format>
    <format dxfId="450">
      <pivotArea dataOnly="0" labelOnly="1" fieldPosition="0">
        <references count="3">
          <reference field="0" count="1" selected="0">
            <x v="53"/>
          </reference>
          <reference field="1" count="1" selected="0">
            <x v="108"/>
          </reference>
          <reference field="2" count="1">
            <x v="12"/>
          </reference>
        </references>
      </pivotArea>
    </format>
    <format dxfId="449">
      <pivotArea dataOnly="0" labelOnly="1" fieldPosition="0">
        <references count="3">
          <reference field="0" count="1" selected="0">
            <x v="53"/>
          </reference>
          <reference field="1" count="1" selected="0">
            <x v="233"/>
          </reference>
          <reference field="2" count="1">
            <x v="7"/>
          </reference>
        </references>
      </pivotArea>
    </format>
    <format dxfId="448">
      <pivotArea dataOnly="0" labelOnly="1" fieldPosition="0">
        <references count="3">
          <reference field="0" count="1" selected="0">
            <x v="53"/>
          </reference>
          <reference field="1" count="1" selected="0">
            <x v="234"/>
          </reference>
          <reference field="2" count="1">
            <x v="19"/>
          </reference>
        </references>
      </pivotArea>
    </format>
    <format dxfId="447">
      <pivotArea dataOnly="0" labelOnly="1" fieldPosition="0">
        <references count="3">
          <reference field="0" count="1" selected="0">
            <x v="53"/>
          </reference>
          <reference field="1" count="1" selected="0">
            <x v="235"/>
          </reference>
          <reference field="2" count="1">
            <x v="19"/>
          </reference>
        </references>
      </pivotArea>
    </format>
    <format dxfId="446">
      <pivotArea dataOnly="0" labelOnly="1" fieldPosition="0">
        <references count="3">
          <reference field="0" count="1" selected="0">
            <x v="53"/>
          </reference>
          <reference field="1" count="1" selected="0">
            <x v="236"/>
          </reference>
          <reference field="2" count="1">
            <x v="4"/>
          </reference>
        </references>
      </pivotArea>
    </format>
    <format dxfId="445">
      <pivotArea dataOnly="0" labelOnly="1" fieldPosition="0">
        <references count="3">
          <reference field="0" count="1" selected="0">
            <x v="53"/>
          </reference>
          <reference field="1" count="1" selected="0">
            <x v="240"/>
          </reference>
          <reference field="2" count="1">
            <x v="4"/>
          </reference>
        </references>
      </pivotArea>
    </format>
    <format dxfId="444">
      <pivotArea dataOnly="0" labelOnly="1" fieldPosition="0">
        <references count="3">
          <reference field="0" count="1" selected="0">
            <x v="53"/>
          </reference>
          <reference field="1" count="1" selected="0">
            <x v="241"/>
          </reference>
          <reference field="2" count="1">
            <x v="7"/>
          </reference>
        </references>
      </pivotArea>
    </format>
    <format dxfId="443">
      <pivotArea dataOnly="0" labelOnly="1" fieldPosition="0">
        <references count="3">
          <reference field="0" count="1" selected="0">
            <x v="53"/>
          </reference>
          <reference field="1" count="1" selected="0">
            <x v="242"/>
          </reference>
          <reference field="2" count="1">
            <x v="7"/>
          </reference>
        </references>
      </pivotArea>
    </format>
    <format dxfId="442">
      <pivotArea dataOnly="0" labelOnly="1" fieldPosition="0">
        <references count="3">
          <reference field="0" count="1" selected="0">
            <x v="53"/>
          </reference>
          <reference field="1" count="1" selected="0">
            <x v="244"/>
          </reference>
          <reference field="2" count="1">
            <x v="7"/>
          </reference>
        </references>
      </pivotArea>
    </format>
    <format dxfId="441">
      <pivotArea dataOnly="0" labelOnly="1" fieldPosition="0">
        <references count="3">
          <reference field="0" count="1" selected="0">
            <x v="53"/>
          </reference>
          <reference field="1" count="1" selected="0">
            <x v="245"/>
          </reference>
          <reference field="2" count="1">
            <x v="4"/>
          </reference>
        </references>
      </pivotArea>
    </format>
    <format dxfId="440">
      <pivotArea dataOnly="0" labelOnly="1" fieldPosition="0">
        <references count="3">
          <reference field="0" count="1" selected="0">
            <x v="53"/>
          </reference>
          <reference field="1" count="1" selected="0">
            <x v="246"/>
          </reference>
          <reference field="2" count="1">
            <x v="4"/>
          </reference>
        </references>
      </pivotArea>
    </format>
    <format dxfId="439">
      <pivotArea dataOnly="0" labelOnly="1" fieldPosition="0">
        <references count="3">
          <reference field="0" count="1" selected="0">
            <x v="53"/>
          </reference>
          <reference field="1" count="1" selected="0">
            <x v="248"/>
          </reference>
          <reference field="2" count="1">
            <x v="4"/>
          </reference>
        </references>
      </pivotArea>
    </format>
    <format dxfId="438">
      <pivotArea dataOnly="0" labelOnly="1" fieldPosition="0">
        <references count="3">
          <reference field="0" count="1" selected="0">
            <x v="53"/>
          </reference>
          <reference field="1" count="1" selected="0">
            <x v="249"/>
          </reference>
          <reference field="2" count="1">
            <x v="28"/>
          </reference>
        </references>
      </pivotArea>
    </format>
    <format dxfId="437">
      <pivotArea dataOnly="0" labelOnly="1" fieldPosition="0">
        <references count="3">
          <reference field="0" count="1" selected="0">
            <x v="53"/>
          </reference>
          <reference field="1" count="1" selected="0">
            <x v="250"/>
          </reference>
          <reference field="2" count="1">
            <x v="7"/>
          </reference>
        </references>
      </pivotArea>
    </format>
    <format dxfId="436">
      <pivotArea dataOnly="0" labelOnly="1" fieldPosition="0">
        <references count="3">
          <reference field="0" count="1" selected="0">
            <x v="53"/>
          </reference>
          <reference field="1" count="1" selected="0">
            <x v="252"/>
          </reference>
          <reference field="2" count="1">
            <x v="24"/>
          </reference>
        </references>
      </pivotArea>
    </format>
    <format dxfId="435">
      <pivotArea dataOnly="0" labelOnly="1" fieldPosition="0">
        <references count="3">
          <reference field="0" count="1" selected="0">
            <x v="53"/>
          </reference>
          <reference field="1" count="1" selected="0">
            <x v="255"/>
          </reference>
          <reference field="2" count="1">
            <x v="7"/>
          </reference>
        </references>
      </pivotArea>
    </format>
    <format dxfId="434">
      <pivotArea dataOnly="0" labelOnly="1" fieldPosition="0">
        <references count="3">
          <reference field="0" count="1" selected="0">
            <x v="53"/>
          </reference>
          <reference field="1" count="1" selected="0">
            <x v="286"/>
          </reference>
          <reference field="2" count="1">
            <x v="12"/>
          </reference>
        </references>
      </pivotArea>
    </format>
    <format dxfId="433">
      <pivotArea dataOnly="0" labelOnly="1" fieldPosition="0">
        <references count="3">
          <reference field="0" count="1" selected="0">
            <x v="53"/>
          </reference>
          <reference field="1" count="1" selected="0">
            <x v="324"/>
          </reference>
          <reference field="2" count="1">
            <x v="1"/>
          </reference>
        </references>
      </pivotArea>
    </format>
    <format dxfId="432">
      <pivotArea dataOnly="0" labelOnly="1" fieldPosition="0">
        <references count="3">
          <reference field="0" count="1" selected="0">
            <x v="53"/>
          </reference>
          <reference field="1" count="1" selected="0">
            <x v="326"/>
          </reference>
          <reference field="2" count="1">
            <x v="1"/>
          </reference>
        </references>
      </pivotArea>
    </format>
    <format dxfId="431">
      <pivotArea dataOnly="0" labelOnly="1" fieldPosition="0">
        <references count="3">
          <reference field="0" count="1" selected="0">
            <x v="53"/>
          </reference>
          <reference field="1" count="1" selected="0">
            <x v="327"/>
          </reference>
          <reference field="2" count="1">
            <x v="1"/>
          </reference>
        </references>
      </pivotArea>
    </format>
    <format dxfId="430">
      <pivotArea dataOnly="0" labelOnly="1" fieldPosition="0">
        <references count="3">
          <reference field="0" count="1" selected="0">
            <x v="53"/>
          </reference>
          <reference field="1" count="1" selected="0">
            <x v="537"/>
          </reference>
          <reference field="2" count="1">
            <x v="4"/>
          </reference>
        </references>
      </pivotArea>
    </format>
    <format dxfId="429">
      <pivotArea dataOnly="0" labelOnly="1" fieldPosition="0">
        <references count="3">
          <reference field="0" count="1" selected="0">
            <x v="53"/>
          </reference>
          <reference field="1" count="1" selected="0">
            <x v="538"/>
          </reference>
          <reference field="2" count="1">
            <x v="19"/>
          </reference>
        </references>
      </pivotArea>
    </format>
    <format dxfId="428">
      <pivotArea dataOnly="0" labelOnly="1" fieldPosition="0">
        <references count="3">
          <reference field="0" count="1" selected="0">
            <x v="53"/>
          </reference>
          <reference field="1" count="1" selected="0">
            <x v="539"/>
          </reference>
          <reference field="2" count="1">
            <x v="4"/>
          </reference>
        </references>
      </pivotArea>
    </format>
    <format dxfId="427">
      <pivotArea dataOnly="0" labelOnly="1" fieldPosition="0">
        <references count="3">
          <reference field="0" count="1" selected="0">
            <x v="53"/>
          </reference>
          <reference field="1" count="1" selected="0">
            <x v="665"/>
          </reference>
          <reference field="2" count="1">
            <x v="27"/>
          </reference>
        </references>
      </pivotArea>
    </format>
    <format dxfId="426">
      <pivotArea dataOnly="0" labelOnly="1" fieldPosition="0">
        <references count="3">
          <reference field="0" count="1" selected="0">
            <x v="53"/>
          </reference>
          <reference field="1" count="1" selected="0">
            <x v="666"/>
          </reference>
          <reference field="2" count="1">
            <x v="23"/>
          </reference>
        </references>
      </pivotArea>
    </format>
    <format dxfId="425">
      <pivotArea dataOnly="0" labelOnly="1" fieldPosition="0">
        <references count="3">
          <reference field="0" count="1" selected="0">
            <x v="53"/>
          </reference>
          <reference field="1" count="1" selected="0">
            <x v="667"/>
          </reference>
          <reference field="2" count="1">
            <x v="23"/>
          </reference>
        </references>
      </pivotArea>
    </format>
    <format dxfId="424">
      <pivotArea dataOnly="0" labelOnly="1" fieldPosition="0">
        <references count="3">
          <reference field="0" count="1" selected="0">
            <x v="53"/>
          </reference>
          <reference field="1" count="1" selected="0">
            <x v="670"/>
          </reference>
          <reference field="2" count="1">
            <x v="23"/>
          </reference>
        </references>
      </pivotArea>
    </format>
    <format dxfId="423">
      <pivotArea dataOnly="0" labelOnly="1" fieldPosition="0">
        <references count="3">
          <reference field="0" count="1" selected="0">
            <x v="53"/>
          </reference>
          <reference field="1" count="1" selected="0">
            <x v="672"/>
          </reference>
          <reference field="2" count="1">
            <x v="3"/>
          </reference>
        </references>
      </pivotArea>
    </format>
    <format dxfId="422">
      <pivotArea dataOnly="0" labelOnly="1" fieldPosition="0">
        <references count="3">
          <reference field="0" count="1" selected="0">
            <x v="53"/>
          </reference>
          <reference field="1" count="1" selected="0">
            <x v="1212"/>
          </reference>
          <reference field="2" count="1">
            <x v="7"/>
          </reference>
        </references>
      </pivotArea>
    </format>
    <format dxfId="421">
      <pivotArea dataOnly="0" labelOnly="1" fieldPosition="0">
        <references count="3">
          <reference field="0" count="1" selected="0">
            <x v="53"/>
          </reference>
          <reference field="1" count="1" selected="0">
            <x v="1216"/>
          </reference>
          <reference field="2" count="1">
            <x v="23"/>
          </reference>
        </references>
      </pivotArea>
    </format>
    <format dxfId="420">
      <pivotArea dataOnly="0" labelOnly="1" fieldPosition="0">
        <references count="3">
          <reference field="0" count="1" selected="0">
            <x v="53"/>
          </reference>
          <reference field="1" count="1" selected="0">
            <x v="1219"/>
          </reference>
          <reference field="2" count="1">
            <x v="23"/>
          </reference>
        </references>
      </pivotArea>
    </format>
    <format dxfId="419">
      <pivotArea dataOnly="0" labelOnly="1" fieldPosition="0">
        <references count="3">
          <reference field="0" count="1" selected="0">
            <x v="53"/>
          </reference>
          <reference field="1" count="1" selected="0">
            <x v="1221"/>
          </reference>
          <reference field="2" count="1">
            <x v="7"/>
          </reference>
        </references>
      </pivotArea>
    </format>
    <format dxfId="418">
      <pivotArea dataOnly="0" labelOnly="1" fieldPosition="0">
        <references count="3">
          <reference field="0" count="1" selected="0">
            <x v="53"/>
          </reference>
          <reference field="1" count="1" selected="0">
            <x v="1222"/>
          </reference>
          <reference field="2" count="1">
            <x v="19"/>
          </reference>
        </references>
      </pivotArea>
    </format>
    <format dxfId="417">
      <pivotArea dataOnly="0" labelOnly="1" fieldPosition="0">
        <references count="3">
          <reference field="0" count="1" selected="0">
            <x v="53"/>
          </reference>
          <reference field="1" count="1" selected="0">
            <x v="1226"/>
          </reference>
          <reference field="2" count="1">
            <x v="19"/>
          </reference>
        </references>
      </pivotArea>
    </format>
    <format dxfId="416">
      <pivotArea dataOnly="0" labelOnly="1" fieldPosition="0">
        <references count="3">
          <reference field="0" count="1" selected="0">
            <x v="53"/>
          </reference>
          <reference field="1" count="1" selected="0">
            <x v="1229"/>
          </reference>
          <reference field="2" count="1">
            <x v="15"/>
          </reference>
        </references>
      </pivotArea>
    </format>
    <format dxfId="415">
      <pivotArea dataOnly="0" labelOnly="1" fieldPosition="0">
        <references count="3">
          <reference field="0" count="1" selected="0">
            <x v="53"/>
          </reference>
          <reference field="1" count="1" selected="0">
            <x v="1230"/>
          </reference>
          <reference field="2" count="1">
            <x v="19"/>
          </reference>
        </references>
      </pivotArea>
    </format>
    <format dxfId="414">
      <pivotArea dataOnly="0" labelOnly="1" fieldPosition="0">
        <references count="3">
          <reference field="0" count="1" selected="0">
            <x v="52"/>
          </reference>
          <reference field="1" count="1" selected="0">
            <x v="100"/>
          </reference>
          <reference field="2" count="1">
            <x v="24"/>
          </reference>
        </references>
      </pivotArea>
    </format>
    <format dxfId="413">
      <pivotArea dataOnly="0" labelOnly="1" fieldPosition="0">
        <references count="3">
          <reference field="0" count="1" selected="0">
            <x v="52"/>
          </reference>
          <reference field="1" count="1" selected="0">
            <x v="103"/>
          </reference>
          <reference field="2" count="1">
            <x v="20"/>
          </reference>
        </references>
      </pivotArea>
    </format>
    <format dxfId="412">
      <pivotArea dataOnly="0" labelOnly="1" fieldPosition="0">
        <references count="3">
          <reference field="0" count="1" selected="0">
            <x v="52"/>
          </reference>
          <reference field="1" count="1" selected="0">
            <x v="577"/>
          </reference>
          <reference field="2" count="1">
            <x v="5"/>
          </reference>
        </references>
      </pivotArea>
    </format>
    <format dxfId="411">
      <pivotArea dataOnly="0" labelOnly="1" fieldPosition="0">
        <references count="3">
          <reference field="0" count="1" selected="0">
            <x v="52"/>
          </reference>
          <reference field="1" count="1" selected="0">
            <x v="671"/>
          </reference>
          <reference field="2" count="1">
            <x v="27"/>
          </reference>
        </references>
      </pivotArea>
    </format>
    <format dxfId="410">
      <pivotArea dataOnly="0" labelOnly="1" fieldPosition="0">
        <references count="3">
          <reference field="0" count="1" selected="0">
            <x v="51"/>
          </reference>
          <reference field="1" count="1" selected="0">
            <x v="131"/>
          </reference>
          <reference field="2" count="1">
            <x v="13"/>
          </reference>
        </references>
      </pivotArea>
    </format>
    <format dxfId="409">
      <pivotArea dataOnly="0" labelOnly="1" fieldPosition="0">
        <references count="3">
          <reference field="0" count="1" selected="0">
            <x v="51"/>
          </reference>
          <reference field="1" count="1" selected="0">
            <x v="139"/>
          </reference>
          <reference field="2" count="1">
            <x v="0"/>
          </reference>
        </references>
      </pivotArea>
    </format>
    <format dxfId="408">
      <pivotArea dataOnly="0" labelOnly="1" fieldPosition="0">
        <references count="3">
          <reference field="0" count="1" selected="0">
            <x v="51"/>
          </reference>
          <reference field="1" count="1" selected="0">
            <x v="157"/>
          </reference>
          <reference field="2" count="1">
            <x v="0"/>
          </reference>
        </references>
      </pivotArea>
    </format>
    <format dxfId="407">
      <pivotArea dataOnly="0" labelOnly="1" fieldPosition="0">
        <references count="3">
          <reference field="0" count="1" selected="0">
            <x v="51"/>
          </reference>
          <reference field="1" count="1" selected="0">
            <x v="301"/>
          </reference>
          <reference field="2" count="1">
            <x v="1"/>
          </reference>
        </references>
      </pivotArea>
    </format>
    <format dxfId="406">
      <pivotArea dataOnly="0" labelOnly="1" fieldPosition="0">
        <references count="3">
          <reference field="0" count="1" selected="0">
            <x v="51"/>
          </reference>
          <reference field="1" count="1" selected="0">
            <x v="302"/>
          </reference>
          <reference field="2" count="1">
            <x v="1"/>
          </reference>
        </references>
      </pivotArea>
    </format>
    <format dxfId="405">
      <pivotArea dataOnly="0" labelOnly="1" fieldPosition="0">
        <references count="3">
          <reference field="0" count="1" selected="0">
            <x v="51"/>
          </reference>
          <reference field="1" count="1" selected="0">
            <x v="307"/>
          </reference>
          <reference field="2" count="1">
            <x v="1"/>
          </reference>
        </references>
      </pivotArea>
    </format>
    <format dxfId="404">
      <pivotArea dataOnly="0" labelOnly="1" fieldPosition="0">
        <references count="3">
          <reference field="0" count="1" selected="0">
            <x v="51"/>
          </reference>
          <reference field="1" count="1" selected="0">
            <x v="308"/>
          </reference>
          <reference field="2" count="1">
            <x v="1"/>
          </reference>
        </references>
      </pivotArea>
    </format>
    <format dxfId="403">
      <pivotArea dataOnly="0" labelOnly="1" fieldPosition="0">
        <references count="3">
          <reference field="0" count="1" selected="0">
            <x v="51"/>
          </reference>
          <reference field="1" count="1" selected="0">
            <x v="309"/>
          </reference>
          <reference field="2" count="1">
            <x v="1"/>
          </reference>
        </references>
      </pivotArea>
    </format>
    <format dxfId="402">
      <pivotArea dataOnly="0" labelOnly="1" fieldPosition="0">
        <references count="3">
          <reference field="0" count="1" selected="0">
            <x v="51"/>
          </reference>
          <reference field="1" count="1" selected="0">
            <x v="329"/>
          </reference>
          <reference field="2" count="1">
            <x v="1"/>
          </reference>
        </references>
      </pivotArea>
    </format>
    <format dxfId="401">
      <pivotArea dataOnly="0" labelOnly="1" fieldPosition="0">
        <references count="3">
          <reference field="0" count="1" selected="0">
            <x v="51"/>
          </reference>
          <reference field="1" count="1" selected="0">
            <x v="416"/>
          </reference>
          <reference field="2" count="1">
            <x v="14"/>
          </reference>
        </references>
      </pivotArea>
    </format>
    <format dxfId="400">
      <pivotArea dataOnly="0" labelOnly="1" fieldPosition="0">
        <references count="3">
          <reference field="0" count="1" selected="0">
            <x v="51"/>
          </reference>
          <reference field="1" count="1" selected="0">
            <x v="436"/>
          </reference>
          <reference field="2" count="1">
            <x v="0"/>
          </reference>
        </references>
      </pivotArea>
    </format>
    <format dxfId="399">
      <pivotArea dataOnly="0" labelOnly="1" fieldPosition="0">
        <references count="3">
          <reference field="0" count="1" selected="0">
            <x v="51"/>
          </reference>
          <reference field="1" count="1" selected="0">
            <x v="527"/>
          </reference>
          <reference field="2" count="1">
            <x v="10"/>
          </reference>
        </references>
      </pivotArea>
    </format>
    <format dxfId="398">
      <pivotArea dataOnly="0" labelOnly="1" fieldPosition="0">
        <references count="3">
          <reference field="0" count="1" selected="0">
            <x v="51"/>
          </reference>
          <reference field="1" count="1" selected="0">
            <x v="628"/>
          </reference>
          <reference field="2" count="1">
            <x v="6"/>
          </reference>
        </references>
      </pivotArea>
    </format>
    <format dxfId="397">
      <pivotArea dataOnly="0" labelOnly="1" fieldPosition="0">
        <references count="3">
          <reference field="0" count="1" selected="0">
            <x v="51"/>
          </reference>
          <reference field="1" count="1" selected="0">
            <x v="720"/>
          </reference>
          <reference field="2" count="1">
            <x v="29"/>
          </reference>
        </references>
      </pivotArea>
    </format>
    <format dxfId="396">
      <pivotArea dataOnly="0" labelOnly="1" fieldPosition="0">
        <references count="3">
          <reference field="0" count="1" selected="0">
            <x v="51"/>
          </reference>
          <reference field="1" count="1" selected="0">
            <x v="790"/>
          </reference>
          <reference field="2" count="1">
            <x v="19"/>
          </reference>
        </references>
      </pivotArea>
    </format>
    <format dxfId="395">
      <pivotArea dataOnly="0" labelOnly="1" fieldPosition="0">
        <references count="3">
          <reference field="0" count="1" selected="0">
            <x v="51"/>
          </reference>
          <reference field="1" count="1" selected="0">
            <x v="988"/>
          </reference>
          <reference field="2" count="1">
            <x v="7"/>
          </reference>
        </references>
      </pivotArea>
    </format>
    <format dxfId="394">
      <pivotArea dataOnly="0" labelOnly="1" fieldPosition="0">
        <references count="3">
          <reference field="0" count="1" selected="0">
            <x v="51"/>
          </reference>
          <reference field="1" count="1" selected="0">
            <x v="1103"/>
          </reference>
          <reference field="2" count="1">
            <x v="26"/>
          </reference>
        </references>
      </pivotArea>
    </format>
    <format dxfId="393">
      <pivotArea dataOnly="0" labelOnly="1" fieldPosition="0">
        <references count="3">
          <reference field="0" count="1" selected="0">
            <x v="51"/>
          </reference>
          <reference field="1" count="1" selected="0">
            <x v="1195"/>
          </reference>
          <reference field="2" count="1">
            <x v="11"/>
          </reference>
        </references>
      </pivotArea>
    </format>
    <format dxfId="392">
      <pivotArea dataOnly="0" labelOnly="1" fieldPosition="0">
        <references count="3">
          <reference field="0" count="1" selected="0">
            <x v="51"/>
          </reference>
          <reference field="1" count="1" selected="0">
            <x v="1254"/>
          </reference>
          <reference field="2" count="1">
            <x v="7"/>
          </reference>
        </references>
      </pivotArea>
    </format>
    <format dxfId="391">
      <pivotArea dataOnly="0" labelOnly="1" fieldPosition="0">
        <references count="3">
          <reference field="0" count="1" selected="0">
            <x v="51"/>
          </reference>
          <reference field="1" count="1" selected="0">
            <x v="1273"/>
          </reference>
          <reference field="2" count="1">
            <x v="28"/>
          </reference>
        </references>
      </pivotArea>
    </format>
    <format dxfId="390">
      <pivotArea dataOnly="0" labelOnly="1" fieldPosition="0">
        <references count="3">
          <reference field="0" count="1" selected="0">
            <x v="50"/>
          </reference>
          <reference field="1" count="1" selected="0">
            <x v="189"/>
          </reference>
          <reference field="2" count="1">
            <x v="14"/>
          </reference>
        </references>
      </pivotArea>
    </format>
    <format dxfId="389">
      <pivotArea dataOnly="0" labelOnly="1" fieldPosition="0">
        <references count="3">
          <reference field="0" count="1" selected="0">
            <x v="50"/>
          </reference>
          <reference field="1" count="1" selected="0">
            <x v="200"/>
          </reference>
          <reference field="2" count="1">
            <x v="29"/>
          </reference>
        </references>
      </pivotArea>
    </format>
    <format dxfId="388">
      <pivotArea dataOnly="0" labelOnly="1" fieldPosition="0">
        <references count="3">
          <reference field="0" count="1" selected="0">
            <x v="50"/>
          </reference>
          <reference field="1" count="1" selected="0">
            <x v="214"/>
          </reference>
          <reference field="2" count="1">
            <x v="4"/>
          </reference>
        </references>
      </pivotArea>
    </format>
    <format dxfId="387">
      <pivotArea dataOnly="0" labelOnly="1" fieldPosition="0">
        <references count="3">
          <reference field="0" count="1" selected="0">
            <x v="50"/>
          </reference>
          <reference field="1" count="1" selected="0">
            <x v="550"/>
          </reference>
          <reference field="2" count="1">
            <x v="25"/>
          </reference>
        </references>
      </pivotArea>
    </format>
    <format dxfId="386">
      <pivotArea dataOnly="0" labelOnly="1" fieldPosition="0">
        <references count="3">
          <reference field="0" count="1" selected="0">
            <x v="50"/>
          </reference>
          <reference field="1" count="1" selected="0">
            <x v="578"/>
          </reference>
          <reference field="2" count="1">
            <x v="21"/>
          </reference>
        </references>
      </pivotArea>
    </format>
    <format dxfId="385">
      <pivotArea dataOnly="0" labelOnly="1" fieldPosition="0">
        <references count="3">
          <reference field="0" count="1" selected="0">
            <x v="50"/>
          </reference>
          <reference field="1" count="1" selected="0">
            <x v="929"/>
          </reference>
          <reference field="2" count="1">
            <x v="24"/>
          </reference>
        </references>
      </pivotArea>
    </format>
    <format dxfId="384">
      <pivotArea dataOnly="0" labelOnly="1" fieldPosition="0">
        <references count="3">
          <reference field="0" count="1" selected="0">
            <x v="50"/>
          </reference>
          <reference field="1" count="1" selected="0">
            <x v="942"/>
          </reference>
          <reference field="2" count="1">
            <x v="20"/>
          </reference>
        </references>
      </pivotArea>
    </format>
    <format dxfId="383">
      <pivotArea dataOnly="0" labelOnly="1" fieldPosition="0">
        <references count="3">
          <reference field="0" count="1" selected="0">
            <x v="50"/>
          </reference>
          <reference field="1" count="1" selected="0">
            <x v="1010"/>
          </reference>
          <reference field="2" count="1">
            <x v="23"/>
          </reference>
        </references>
      </pivotArea>
    </format>
    <format dxfId="382">
      <pivotArea dataOnly="0" labelOnly="1" fieldPosition="0">
        <references count="3">
          <reference field="0" count="1" selected="0">
            <x v="50"/>
          </reference>
          <reference field="1" count="1" selected="0">
            <x v="1168"/>
          </reference>
          <reference field="2" count="1">
            <x v="6"/>
          </reference>
        </references>
      </pivotArea>
    </format>
    <format dxfId="381">
      <pivotArea dataOnly="0" labelOnly="1" fieldPosition="0">
        <references count="3">
          <reference field="0" count="1" selected="0">
            <x v="50"/>
          </reference>
          <reference field="1" count="1" selected="0">
            <x v="1203"/>
          </reference>
          <reference field="2" count="1">
            <x v="11"/>
          </reference>
        </references>
      </pivotArea>
    </format>
    <format dxfId="380">
      <pivotArea dataOnly="0" labelOnly="1" fieldPosition="0">
        <references count="3">
          <reference field="0" count="1" selected="0">
            <x v="49"/>
          </reference>
          <reference field="1" count="1" selected="0">
            <x v="66"/>
          </reference>
          <reference field="2" count="1">
            <x v="13"/>
          </reference>
        </references>
      </pivotArea>
    </format>
    <format dxfId="379">
      <pivotArea dataOnly="0" labelOnly="1" fieldPosition="0">
        <references count="3">
          <reference field="0" count="1" selected="0">
            <x v="49"/>
          </reference>
          <reference field="1" count="1" selected="0">
            <x v="197"/>
          </reference>
          <reference field="2" count="1">
            <x v="5"/>
          </reference>
        </references>
      </pivotArea>
    </format>
    <format dxfId="378">
      <pivotArea dataOnly="0" labelOnly="1" fieldPosition="0">
        <references count="3">
          <reference field="0" count="1" selected="0">
            <x v="49"/>
          </reference>
          <reference field="1" count="1" selected="0">
            <x v="1055"/>
          </reference>
          <reference field="2" count="1">
            <x v="29"/>
          </reference>
        </references>
      </pivotArea>
    </format>
    <format dxfId="377">
      <pivotArea dataOnly="0" labelOnly="1" fieldPosition="0">
        <references count="3">
          <reference field="0" count="1" selected="0">
            <x v="49"/>
          </reference>
          <reference field="1" count="1" selected="0">
            <x v="1187"/>
          </reference>
          <reference field="2" count="1">
            <x v="11"/>
          </reference>
        </references>
      </pivotArea>
    </format>
    <format dxfId="376">
      <pivotArea dataOnly="0" labelOnly="1" fieldPosition="0">
        <references count="3">
          <reference field="0" count="1" selected="0">
            <x v="49"/>
          </reference>
          <reference field="1" count="1" selected="0">
            <x v="1238"/>
          </reference>
          <reference field="2" count="1">
            <x v="23"/>
          </reference>
        </references>
      </pivotArea>
    </format>
    <format dxfId="375">
      <pivotArea dataOnly="0" labelOnly="1" fieldPosition="0">
        <references count="3">
          <reference field="0" count="1" selected="0">
            <x v="49"/>
          </reference>
          <reference field="1" count="1" selected="0">
            <x v="1253"/>
          </reference>
          <reference field="2" count="1">
            <x v="4"/>
          </reference>
        </references>
      </pivotArea>
    </format>
    <format dxfId="374">
      <pivotArea dataOnly="0" labelOnly="1" fieldPosition="0">
        <references count="3">
          <reference field="0" count="1" selected="0">
            <x v="49"/>
          </reference>
          <reference field="1" count="1" selected="0">
            <x v="1280"/>
          </reference>
          <reference field="2" count="1">
            <x v="16"/>
          </reference>
        </references>
      </pivotArea>
    </format>
    <format dxfId="373">
      <pivotArea dataOnly="0" labelOnly="1" fieldPosition="0">
        <references count="3">
          <reference field="0" count="1" selected="0">
            <x v="48"/>
          </reference>
          <reference field="1" count="1" selected="0">
            <x v="101"/>
          </reference>
          <reference field="2" count="1">
            <x v="19"/>
          </reference>
        </references>
      </pivotArea>
    </format>
    <format dxfId="372">
      <pivotArea dataOnly="0" labelOnly="1" fieldPosition="0">
        <references count="3">
          <reference field="0" count="1" selected="0">
            <x v="48"/>
          </reference>
          <reference field="1" count="1" selected="0">
            <x v="375"/>
          </reference>
          <reference field="2" count="1">
            <x v="14"/>
          </reference>
        </references>
      </pivotArea>
    </format>
    <format dxfId="371">
      <pivotArea dataOnly="0" labelOnly="1" fieldPosition="0">
        <references count="3">
          <reference field="0" count="1" selected="0">
            <x v="48"/>
          </reference>
          <reference field="1" count="1" selected="0">
            <x v="565"/>
          </reference>
          <reference field="2" count="1">
            <x v="21"/>
          </reference>
        </references>
      </pivotArea>
    </format>
    <format dxfId="370">
      <pivotArea dataOnly="0" labelOnly="1" fieldPosition="0">
        <references count="3">
          <reference field="0" count="1" selected="0">
            <x v="48"/>
          </reference>
          <reference field="1" count="1" selected="0">
            <x v="699"/>
          </reference>
          <reference field="2" count="1">
            <x v="15"/>
          </reference>
        </references>
      </pivotArea>
    </format>
    <format dxfId="369">
      <pivotArea dataOnly="0" labelOnly="1" fieldPosition="0">
        <references count="3">
          <reference field="0" count="1" selected="0">
            <x v="48"/>
          </reference>
          <reference field="1" count="1" selected="0">
            <x v="979"/>
          </reference>
          <reference field="2" count="1">
            <x v="23"/>
          </reference>
        </references>
      </pivotArea>
    </format>
    <format dxfId="368">
      <pivotArea dataOnly="0" labelOnly="1" fieldPosition="0">
        <references count="3">
          <reference field="0" count="1" selected="0">
            <x v="48"/>
          </reference>
          <reference field="1" count="1" selected="0">
            <x v="1268"/>
          </reference>
          <reference field="2" count="1">
            <x v="17"/>
          </reference>
        </references>
      </pivotArea>
    </format>
    <format dxfId="367">
      <pivotArea dataOnly="0" labelOnly="1" fieldPosition="0">
        <references count="3">
          <reference field="0" count="1" selected="0">
            <x v="47"/>
          </reference>
          <reference field="1" count="1" selected="0">
            <x v="73"/>
          </reference>
          <reference field="2" count="1">
            <x v="4"/>
          </reference>
        </references>
      </pivotArea>
    </format>
    <format dxfId="366">
      <pivotArea dataOnly="0" labelOnly="1" fieldPosition="0">
        <references count="3">
          <reference field="0" count="1" selected="0">
            <x v="47"/>
          </reference>
          <reference field="1" count="1" selected="0">
            <x v="407"/>
          </reference>
          <reference field="2" count="1">
            <x v="10"/>
          </reference>
        </references>
      </pivotArea>
    </format>
    <format dxfId="365">
      <pivotArea dataOnly="0" labelOnly="1" fieldPosition="0">
        <references count="3">
          <reference field="0" count="1" selected="0">
            <x v="47"/>
          </reference>
          <reference field="1" count="1" selected="0">
            <x v="680"/>
          </reference>
          <reference field="2" count="1">
            <x v="2"/>
          </reference>
        </references>
      </pivotArea>
    </format>
    <format dxfId="364">
      <pivotArea dataOnly="0" labelOnly="1" fieldPosition="0">
        <references count="3">
          <reference field="0" count="1" selected="0">
            <x v="47"/>
          </reference>
          <reference field="1" count="1" selected="0">
            <x v="830"/>
          </reference>
          <reference field="2" count="1">
            <x v="5"/>
          </reference>
        </references>
      </pivotArea>
    </format>
    <format dxfId="363">
      <pivotArea dataOnly="0" labelOnly="1" fieldPosition="0">
        <references count="3">
          <reference field="0" count="1" selected="0">
            <x v="47"/>
          </reference>
          <reference field="1" count="1" selected="0">
            <x v="863"/>
          </reference>
          <reference field="2" count="1">
            <x v="5"/>
          </reference>
        </references>
      </pivotArea>
    </format>
    <format dxfId="362">
      <pivotArea dataOnly="0" labelOnly="1" fieldPosition="0">
        <references count="3">
          <reference field="0" count="1" selected="0">
            <x v="47"/>
          </reference>
          <reference field="1" count="1" selected="0">
            <x v="900"/>
          </reference>
          <reference field="2" count="1">
            <x v="29"/>
          </reference>
        </references>
      </pivotArea>
    </format>
    <format dxfId="361">
      <pivotArea dataOnly="0" labelOnly="1" fieldPosition="0">
        <references count="3">
          <reference field="0" count="1" selected="0">
            <x v="47"/>
          </reference>
          <reference field="1" count="1" selected="0">
            <x v="932"/>
          </reference>
          <reference field="2" count="1">
            <x v="25"/>
          </reference>
        </references>
      </pivotArea>
    </format>
    <format dxfId="360">
      <pivotArea dataOnly="0" labelOnly="1" fieldPosition="0">
        <references count="3">
          <reference field="0" count="1" selected="0">
            <x v="47"/>
          </reference>
          <reference field="1" count="1" selected="0">
            <x v="976"/>
          </reference>
          <reference field="2" count="1">
            <x v="23"/>
          </reference>
        </references>
      </pivotArea>
    </format>
    <format dxfId="359">
      <pivotArea dataOnly="0" labelOnly="1" fieldPosition="0">
        <references count="3">
          <reference field="0" count="1" selected="0">
            <x v="47"/>
          </reference>
          <reference field="1" count="1" selected="0">
            <x v="978"/>
          </reference>
          <reference field="2" count="1">
            <x v="14"/>
          </reference>
        </references>
      </pivotArea>
    </format>
    <format dxfId="358">
      <pivotArea dataOnly="0" labelOnly="1" fieldPosition="0">
        <references count="3">
          <reference field="0" count="1" selected="0">
            <x v="47"/>
          </reference>
          <reference field="1" count="1" selected="0">
            <x v="1261"/>
          </reference>
          <reference field="2" count="1">
            <x v="5"/>
          </reference>
        </references>
      </pivotArea>
    </format>
    <format dxfId="357">
      <pivotArea dataOnly="0" labelOnly="1" fieldPosition="0">
        <references count="3">
          <reference field="0" count="1" selected="0">
            <x v="46"/>
          </reference>
          <reference field="1" count="1" selected="0">
            <x v="182"/>
          </reference>
          <reference field="2" count="1">
            <x v="22"/>
          </reference>
        </references>
      </pivotArea>
    </format>
    <format dxfId="356">
      <pivotArea dataOnly="0" labelOnly="1" fieldPosition="0">
        <references count="3">
          <reference field="0" count="1" selected="0">
            <x v="46"/>
          </reference>
          <reference field="1" count="1" selected="0">
            <x v="402"/>
          </reference>
          <reference field="2" count="1">
            <x v="10"/>
          </reference>
        </references>
      </pivotArea>
    </format>
    <format dxfId="355">
      <pivotArea dataOnly="0" labelOnly="1" fieldPosition="0">
        <references count="3">
          <reference field="0" count="1" selected="0">
            <x v="46"/>
          </reference>
          <reference field="1" count="1" selected="0">
            <x v="787"/>
          </reference>
          <reference field="2" count="1">
            <x v="21"/>
          </reference>
        </references>
      </pivotArea>
    </format>
    <format dxfId="354">
      <pivotArea dataOnly="0" labelOnly="1" fieldPosition="0">
        <references count="3">
          <reference field="0" count="1" selected="0">
            <x v="46"/>
          </reference>
          <reference field="1" count="1" selected="0">
            <x v="798"/>
          </reference>
          <reference field="2" count="1">
            <x v="28"/>
          </reference>
        </references>
      </pivotArea>
    </format>
    <format dxfId="353">
      <pivotArea dataOnly="0" labelOnly="1" fieldPosition="0">
        <references count="3">
          <reference field="0" count="1" selected="0">
            <x v="46"/>
          </reference>
          <reference field="1" count="1" selected="0">
            <x v="826"/>
          </reference>
          <reference field="2" count="1">
            <x v="5"/>
          </reference>
        </references>
      </pivotArea>
    </format>
    <format dxfId="352">
      <pivotArea dataOnly="0" labelOnly="1" fieldPosition="0">
        <references count="3">
          <reference field="0" count="1" selected="0">
            <x v="46"/>
          </reference>
          <reference field="1" count="1" selected="0">
            <x v="833"/>
          </reference>
          <reference field="2" count="1">
            <x v="17"/>
          </reference>
        </references>
      </pivotArea>
    </format>
    <format dxfId="351">
      <pivotArea dataOnly="0" labelOnly="1" fieldPosition="0">
        <references count="3">
          <reference field="0" count="1" selected="0">
            <x v="46"/>
          </reference>
          <reference field="1" count="1" selected="0">
            <x v="1255"/>
          </reference>
          <reference field="2" count="1">
            <x v="5"/>
          </reference>
        </references>
      </pivotArea>
    </format>
    <format dxfId="350">
      <pivotArea dataOnly="0" labelOnly="1" fieldPosition="0">
        <references count="3">
          <reference field="0" count="1" selected="0">
            <x v="45"/>
          </reference>
          <reference field="1" count="1" selected="0">
            <x v="88"/>
          </reference>
          <reference field="2" count="1">
            <x v="4"/>
          </reference>
        </references>
      </pivotArea>
    </format>
    <format dxfId="349">
      <pivotArea dataOnly="0" labelOnly="1" fieldPosition="0">
        <references count="3">
          <reference field="0" count="1" selected="0">
            <x v="45"/>
          </reference>
          <reference field="1" count="1" selected="0">
            <x v="99"/>
          </reference>
          <reference field="2" count="1">
            <x v="4"/>
          </reference>
        </references>
      </pivotArea>
    </format>
    <format dxfId="348">
      <pivotArea dataOnly="0" labelOnly="1" fieldPosition="0">
        <references count="3">
          <reference field="0" count="1" selected="0">
            <x v="45"/>
          </reference>
          <reference field="1" count="1" selected="0">
            <x v="149"/>
          </reference>
          <reference field="2" count="1">
            <x v="0"/>
          </reference>
        </references>
      </pivotArea>
    </format>
    <format dxfId="347">
      <pivotArea dataOnly="0" labelOnly="1" fieldPosition="0">
        <references count="3">
          <reference field="0" count="1" selected="0">
            <x v="45"/>
          </reference>
          <reference field="1" count="1" selected="0">
            <x v="190"/>
          </reference>
          <reference field="2" count="1">
            <x v="14"/>
          </reference>
        </references>
      </pivotArea>
    </format>
    <format dxfId="346">
      <pivotArea dataOnly="0" labelOnly="1" fieldPosition="0">
        <references count="3">
          <reference field="0" count="1" selected="0">
            <x v="45"/>
          </reference>
          <reference field="1" count="1" selected="0">
            <x v="219"/>
          </reference>
          <reference field="2" count="1">
            <x v="12"/>
          </reference>
        </references>
      </pivotArea>
    </format>
    <format dxfId="345">
      <pivotArea dataOnly="0" labelOnly="1" fieldPosition="0">
        <references count="3">
          <reference field="0" count="1" selected="0">
            <x v="45"/>
          </reference>
          <reference field="1" count="1" selected="0">
            <x v="405"/>
          </reference>
          <reference field="2" count="1">
            <x v="22"/>
          </reference>
        </references>
      </pivotArea>
    </format>
    <format dxfId="344">
      <pivotArea dataOnly="0" labelOnly="1" fieldPosition="0">
        <references count="3">
          <reference field="0" count="1" selected="0">
            <x v="45"/>
          </reference>
          <reference field="1" count="1" selected="0">
            <x v="918"/>
          </reference>
          <reference field="2" count="1">
            <x v="2"/>
          </reference>
        </references>
      </pivotArea>
    </format>
    <format dxfId="343">
      <pivotArea dataOnly="0" labelOnly="1" fieldPosition="0">
        <references count="3">
          <reference field="0" count="1" selected="0">
            <x v="45"/>
          </reference>
          <reference field="1" count="1" selected="0">
            <x v="926"/>
          </reference>
          <reference field="2" count="1">
            <x v="18"/>
          </reference>
        </references>
      </pivotArea>
    </format>
    <format dxfId="342">
      <pivotArea dataOnly="0" labelOnly="1" fieldPosition="0">
        <references count="3">
          <reference field="0" count="1" selected="0">
            <x v="45"/>
          </reference>
          <reference field="1" count="1" selected="0">
            <x v="1162"/>
          </reference>
          <reference field="2" count="1">
            <x v="9"/>
          </reference>
        </references>
      </pivotArea>
    </format>
    <format dxfId="341">
      <pivotArea dataOnly="0" labelOnly="1" fieldPosition="0">
        <references count="3">
          <reference field="0" count="1" selected="0">
            <x v="45"/>
          </reference>
          <reference field="1" count="1" selected="0">
            <x v="1165"/>
          </reference>
          <reference field="2" count="1">
            <x v="9"/>
          </reference>
        </references>
      </pivotArea>
    </format>
    <format dxfId="340">
      <pivotArea dataOnly="0" labelOnly="1" fieldPosition="0">
        <references count="3">
          <reference field="0" count="1" selected="0">
            <x v="45"/>
          </reference>
          <reference field="1" count="1" selected="0">
            <x v="1188"/>
          </reference>
          <reference field="2" count="1">
            <x v="11"/>
          </reference>
        </references>
      </pivotArea>
    </format>
    <format dxfId="339">
      <pivotArea dataOnly="0" labelOnly="1" fieldPosition="0">
        <references count="3">
          <reference field="0" count="1" selected="0">
            <x v="45"/>
          </reference>
          <reference field="1" count="1" selected="0">
            <x v="1259"/>
          </reference>
          <reference field="2" count="1">
            <x v="24"/>
          </reference>
        </references>
      </pivotArea>
    </format>
    <format dxfId="338">
      <pivotArea dataOnly="0" labelOnly="1" fieldPosition="0">
        <references count="3">
          <reference field="0" count="1" selected="0">
            <x v="44"/>
          </reference>
          <reference field="1" count="1" selected="0">
            <x v="195"/>
          </reference>
          <reference field="2" count="1">
            <x v="21"/>
          </reference>
        </references>
      </pivotArea>
    </format>
    <format dxfId="337">
      <pivotArea dataOnly="0" labelOnly="1" fieldPosition="0">
        <references count="3">
          <reference field="0" count="1" selected="0">
            <x v="44"/>
          </reference>
          <reference field="1" count="1" selected="0">
            <x v="196"/>
          </reference>
          <reference field="2" count="1">
            <x v="5"/>
          </reference>
        </references>
      </pivotArea>
    </format>
    <format dxfId="336">
      <pivotArea dataOnly="0" labelOnly="1" fieldPosition="0">
        <references count="3">
          <reference field="0" count="1" selected="0">
            <x v="44"/>
          </reference>
          <reference field="1" count="1" selected="0">
            <x v="263"/>
          </reference>
          <reference field="2" count="1">
            <x v="13"/>
          </reference>
        </references>
      </pivotArea>
    </format>
    <format dxfId="335">
      <pivotArea dataOnly="0" labelOnly="1" fieldPosition="0">
        <references count="3">
          <reference field="0" count="1" selected="0">
            <x v="44"/>
          </reference>
          <reference field="1" count="1" selected="0">
            <x v="383"/>
          </reference>
          <reference field="2" count="1">
            <x v="13"/>
          </reference>
        </references>
      </pivotArea>
    </format>
    <format dxfId="334">
      <pivotArea dataOnly="0" labelOnly="1" fieldPosition="0">
        <references count="3">
          <reference field="0" count="1" selected="0">
            <x v="44"/>
          </reference>
          <reference field="1" count="1" selected="0">
            <x v="427"/>
          </reference>
          <reference field="2" count="1">
            <x v="13"/>
          </reference>
        </references>
      </pivotArea>
    </format>
    <format dxfId="333">
      <pivotArea dataOnly="0" labelOnly="1" fieldPosition="0">
        <references count="3">
          <reference field="0" count="1" selected="0">
            <x v="44"/>
          </reference>
          <reference field="1" count="1" selected="0">
            <x v="896"/>
          </reference>
          <reference field="2" count="1">
            <x v="5"/>
          </reference>
        </references>
      </pivotArea>
    </format>
    <format dxfId="332">
      <pivotArea dataOnly="0" labelOnly="1" fieldPosition="0">
        <references count="3">
          <reference field="0" count="1" selected="0">
            <x v="44"/>
          </reference>
          <reference field="1" count="1" selected="0">
            <x v="1163"/>
          </reference>
          <reference field="2" count="1">
            <x v="9"/>
          </reference>
        </references>
      </pivotArea>
    </format>
    <format dxfId="331">
      <pivotArea dataOnly="0" labelOnly="1" fieldPosition="0">
        <references count="3">
          <reference field="0" count="1" selected="0">
            <x v="44"/>
          </reference>
          <reference field="1" count="1" selected="0">
            <x v="1186"/>
          </reference>
          <reference field="2" count="1">
            <x v="11"/>
          </reference>
        </references>
      </pivotArea>
    </format>
    <format dxfId="330">
      <pivotArea dataOnly="0" labelOnly="1" fieldPosition="0">
        <references count="3">
          <reference field="0" count="1" selected="0">
            <x v="44"/>
          </reference>
          <reference field="1" count="1" selected="0">
            <x v="1245"/>
          </reference>
          <reference field="2" count="1">
            <x v="4"/>
          </reference>
        </references>
      </pivotArea>
    </format>
    <format dxfId="329">
      <pivotArea dataOnly="0" labelOnly="1" fieldPosition="0">
        <references count="3">
          <reference field="0" count="1" selected="0">
            <x v="44"/>
          </reference>
          <reference field="1" count="1" selected="0">
            <x v="1247"/>
          </reference>
          <reference field="2" count="1">
            <x v="20"/>
          </reference>
        </references>
      </pivotArea>
    </format>
    <format dxfId="328">
      <pivotArea dataOnly="0" labelOnly="1" fieldPosition="0">
        <references count="3">
          <reference field="0" count="1" selected="0">
            <x v="44"/>
          </reference>
          <reference field="1" count="1" selected="0">
            <x v="1266"/>
          </reference>
          <reference field="2" count="1">
            <x v="5"/>
          </reference>
        </references>
      </pivotArea>
    </format>
    <format dxfId="327">
      <pivotArea dataOnly="0" labelOnly="1" fieldPosition="0">
        <references count="3">
          <reference field="0" count="1" selected="0">
            <x v="44"/>
          </reference>
          <reference field="1" count="1" selected="0">
            <x v="1274"/>
          </reference>
          <reference field="2" count="1">
            <x v="5"/>
          </reference>
        </references>
      </pivotArea>
    </format>
    <format dxfId="326">
      <pivotArea dataOnly="0" labelOnly="1" fieldPosition="0">
        <references count="3">
          <reference field="0" count="1" selected="0">
            <x v="43"/>
          </reference>
          <reference field="1" count="1" selected="0">
            <x v="174"/>
          </reference>
          <reference field="2" count="1">
            <x v="0"/>
          </reference>
        </references>
      </pivotArea>
    </format>
    <format dxfId="325">
      <pivotArea dataOnly="0" labelOnly="1" fieldPosition="0">
        <references count="3">
          <reference field="0" count="1" selected="0">
            <x v="43"/>
          </reference>
          <reference field="1" count="1" selected="0">
            <x v="345"/>
          </reference>
          <reference field="2" count="1">
            <x v="1"/>
          </reference>
        </references>
      </pivotArea>
    </format>
    <format dxfId="324">
      <pivotArea dataOnly="0" labelOnly="1" fieldPosition="0">
        <references count="3">
          <reference field="0" count="1" selected="0">
            <x v="43"/>
          </reference>
          <reference field="1" count="1" selected="0">
            <x v="347"/>
          </reference>
          <reference field="2" count="1">
            <x v="1"/>
          </reference>
        </references>
      </pivotArea>
    </format>
    <format dxfId="323">
      <pivotArea dataOnly="0" labelOnly="1" fieldPosition="0">
        <references count="3">
          <reference field="0" count="1" selected="0">
            <x v="43"/>
          </reference>
          <reference field="1" count="1" selected="0">
            <x v="348"/>
          </reference>
          <reference field="2" count="1">
            <x v="1"/>
          </reference>
        </references>
      </pivotArea>
    </format>
    <format dxfId="322">
      <pivotArea dataOnly="0" labelOnly="1" fieldPosition="0">
        <references count="3">
          <reference field="0" count="1" selected="0">
            <x v="43"/>
          </reference>
          <reference field="1" count="1" selected="0">
            <x v="362"/>
          </reference>
          <reference field="2" count="1">
            <x v="1"/>
          </reference>
        </references>
      </pivotArea>
    </format>
    <format dxfId="321">
      <pivotArea dataOnly="0" labelOnly="1" fieldPosition="0">
        <references count="3">
          <reference field="0" count="1" selected="0">
            <x v="43"/>
          </reference>
          <reference field="1" count="1" selected="0">
            <x v="688"/>
          </reference>
          <reference field="2" count="1">
            <x v="27"/>
          </reference>
        </references>
      </pivotArea>
    </format>
    <format dxfId="320">
      <pivotArea dataOnly="0" labelOnly="1" fieldPosition="0">
        <references count="3">
          <reference field="0" count="1" selected="0">
            <x v="43"/>
          </reference>
          <reference field="1" count="1" selected="0">
            <x v="713"/>
          </reference>
          <reference field="2" count="1">
            <x v="7"/>
          </reference>
        </references>
      </pivotArea>
    </format>
    <format dxfId="319">
      <pivotArea dataOnly="0" labelOnly="1" fieldPosition="0">
        <references count="3">
          <reference field="0" count="1" selected="0">
            <x v="43"/>
          </reference>
          <reference field="1" count="1" selected="0">
            <x v="795"/>
          </reference>
          <reference field="2" count="1">
            <x v="28"/>
          </reference>
        </references>
      </pivotArea>
    </format>
    <format dxfId="318">
      <pivotArea dataOnly="0" labelOnly="1" fieldPosition="0">
        <references count="3">
          <reference field="0" count="1" selected="0">
            <x v="43"/>
          </reference>
          <reference field="1" count="1" selected="0">
            <x v="807"/>
          </reference>
          <reference field="2" count="1">
            <x v="17"/>
          </reference>
        </references>
      </pivotArea>
    </format>
    <format dxfId="317">
      <pivotArea dataOnly="0" labelOnly="1" fieldPosition="0">
        <references count="3">
          <reference field="0" count="1" selected="0">
            <x v="43"/>
          </reference>
          <reference field="1" count="1" selected="0">
            <x v="934"/>
          </reference>
          <reference field="2" count="1">
            <x v="19"/>
          </reference>
        </references>
      </pivotArea>
    </format>
    <format dxfId="316">
      <pivotArea dataOnly="0" labelOnly="1" fieldPosition="0">
        <references count="3">
          <reference field="0" count="1" selected="0">
            <x v="43"/>
          </reference>
          <reference field="1" count="1" selected="0">
            <x v="946"/>
          </reference>
          <reference field="2" count="1">
            <x v="3"/>
          </reference>
        </references>
      </pivotArea>
    </format>
    <format dxfId="315">
      <pivotArea dataOnly="0" labelOnly="1" fieldPosition="0">
        <references count="3">
          <reference field="0" count="1" selected="0">
            <x v="43"/>
          </reference>
          <reference field="1" count="1" selected="0">
            <x v="1018"/>
          </reference>
          <reference field="2" count="1">
            <x v="5"/>
          </reference>
        </references>
      </pivotArea>
    </format>
    <format dxfId="314">
      <pivotArea dataOnly="0" labelOnly="1" fieldPosition="0">
        <references count="3">
          <reference field="0" count="1" selected="0">
            <x v="43"/>
          </reference>
          <reference field="1" count="1" selected="0">
            <x v="1064"/>
          </reference>
          <reference field="2" count="1">
            <x v="10"/>
          </reference>
        </references>
      </pivotArea>
    </format>
    <format dxfId="313">
      <pivotArea dataOnly="0" labelOnly="1" fieldPosition="0">
        <references count="3">
          <reference field="0" count="1" selected="0">
            <x v="43"/>
          </reference>
          <reference field="1" count="1" selected="0">
            <x v="1164"/>
          </reference>
          <reference field="2" count="1">
            <x v="9"/>
          </reference>
        </references>
      </pivotArea>
    </format>
    <format dxfId="312">
      <pivotArea dataOnly="0" labelOnly="1" fieldPosition="0">
        <references count="3">
          <reference field="0" count="1" selected="0">
            <x v="43"/>
          </reference>
          <reference field="1" count="1" selected="0">
            <x v="1275"/>
          </reference>
          <reference field="2" count="1">
            <x v="5"/>
          </reference>
        </references>
      </pivotArea>
    </format>
    <format dxfId="311">
      <pivotArea dataOnly="0" labelOnly="1" fieldPosition="0">
        <references count="3">
          <reference field="0" count="1" selected="0">
            <x v="42"/>
          </reference>
          <reference field="1" count="1" selected="0">
            <x v="5"/>
          </reference>
          <reference field="2" count="1">
            <x v="17"/>
          </reference>
        </references>
      </pivotArea>
    </format>
    <format dxfId="310">
      <pivotArea dataOnly="0" labelOnly="1" fieldPosition="0">
        <references count="3">
          <reference field="0" count="1" selected="0">
            <x v="42"/>
          </reference>
          <reference field="1" count="1" selected="0">
            <x v="163"/>
          </reference>
          <reference field="2" count="1">
            <x v="0"/>
          </reference>
        </references>
      </pivotArea>
    </format>
    <format dxfId="309">
      <pivotArea dataOnly="0" labelOnly="1" fieldPosition="0">
        <references count="3">
          <reference field="0" count="1" selected="0">
            <x v="42"/>
          </reference>
          <reference field="1" count="1" selected="0">
            <x v="220"/>
          </reference>
          <reference field="2" count="1">
            <x v="13"/>
          </reference>
        </references>
      </pivotArea>
    </format>
    <format dxfId="308">
      <pivotArea dataOnly="0" labelOnly="1" fieldPosition="0">
        <references count="3">
          <reference field="0" count="1" selected="0">
            <x v="42"/>
          </reference>
          <reference field="1" count="1" selected="0">
            <x v="287"/>
          </reference>
          <reference field="2" count="1">
            <x v="12"/>
          </reference>
        </references>
      </pivotArea>
    </format>
    <format dxfId="307">
      <pivotArea dataOnly="0" labelOnly="1" fieldPosition="0">
        <references count="3">
          <reference field="0" count="1" selected="0">
            <x v="42"/>
          </reference>
          <reference field="1" count="1" selected="0">
            <x v="381"/>
          </reference>
          <reference field="2" count="1">
            <x v="12"/>
          </reference>
        </references>
      </pivotArea>
    </format>
    <format dxfId="306">
      <pivotArea dataOnly="0" labelOnly="1" fieldPosition="0">
        <references count="3">
          <reference field="0" count="1" selected="0">
            <x v="42"/>
          </reference>
          <reference field="1" count="1" selected="0">
            <x v="384"/>
          </reference>
          <reference field="2" count="1">
            <x v="13"/>
          </reference>
        </references>
      </pivotArea>
    </format>
    <format dxfId="305">
      <pivotArea dataOnly="0" labelOnly="1" fieldPosition="0">
        <references count="3">
          <reference field="0" count="1" selected="0">
            <x v="42"/>
          </reference>
          <reference field="1" count="1" selected="0">
            <x v="437"/>
          </reference>
          <reference field="2" count="1">
            <x v="12"/>
          </reference>
        </references>
      </pivotArea>
    </format>
    <format dxfId="304">
      <pivotArea dataOnly="0" labelOnly="1" fieldPosition="0">
        <references count="3">
          <reference field="0" count="1" selected="0">
            <x v="42"/>
          </reference>
          <reference field="1" count="1" selected="0">
            <x v="530"/>
          </reference>
          <reference field="2" count="1">
            <x v="22"/>
          </reference>
        </references>
      </pivotArea>
    </format>
    <format dxfId="303">
      <pivotArea dataOnly="0" labelOnly="1" fieldPosition="0">
        <references count="3">
          <reference field="0" count="1" selected="0">
            <x v="42"/>
          </reference>
          <reference field="1" count="1" selected="0">
            <x v="543"/>
          </reference>
          <reference field="2" count="1">
            <x v="25"/>
          </reference>
        </references>
      </pivotArea>
    </format>
    <format dxfId="302">
      <pivotArea dataOnly="0" labelOnly="1" fieldPosition="0">
        <references count="3">
          <reference field="0" count="1" selected="0">
            <x v="42"/>
          </reference>
          <reference field="1" count="1" selected="0">
            <x v="733"/>
          </reference>
          <reference field="2" count="1">
            <x v="21"/>
          </reference>
        </references>
      </pivotArea>
    </format>
    <format dxfId="301">
      <pivotArea dataOnly="0" labelOnly="1" fieldPosition="0">
        <references count="3">
          <reference field="0" count="1" selected="0">
            <x v="42"/>
          </reference>
          <reference field="1" count="1" selected="0">
            <x v="871"/>
          </reference>
          <reference field="2" count="1">
            <x v="24"/>
          </reference>
        </references>
      </pivotArea>
    </format>
    <format dxfId="300">
      <pivotArea dataOnly="0" labelOnly="1" fieldPosition="0">
        <references count="3">
          <reference field="0" count="1" selected="0">
            <x v="42"/>
          </reference>
          <reference field="1" count="1" selected="0">
            <x v="879"/>
          </reference>
          <reference field="2" count="1">
            <x v="18"/>
          </reference>
        </references>
      </pivotArea>
    </format>
    <format dxfId="299">
      <pivotArea dataOnly="0" labelOnly="1" fieldPosition="0">
        <references count="3">
          <reference field="0" count="1" selected="0">
            <x v="42"/>
          </reference>
          <reference field="1" count="1" selected="0">
            <x v="977"/>
          </reference>
          <reference field="2" count="1">
            <x v="6"/>
          </reference>
        </references>
      </pivotArea>
    </format>
    <format dxfId="298">
      <pivotArea dataOnly="0" labelOnly="1" fieldPosition="0">
        <references count="3">
          <reference field="0" count="1" selected="0">
            <x v="42"/>
          </reference>
          <reference field="1" count="1" selected="0">
            <x v="983"/>
          </reference>
          <reference field="2" count="1">
            <x v="28"/>
          </reference>
        </references>
      </pivotArea>
    </format>
    <format dxfId="297">
      <pivotArea dataOnly="0" labelOnly="1" fieldPosition="0">
        <references count="3">
          <reference field="0" count="1" selected="0">
            <x v="42"/>
          </reference>
          <reference field="1" count="1" selected="0">
            <x v="986"/>
          </reference>
          <reference field="2" count="1">
            <x v="27"/>
          </reference>
        </references>
      </pivotArea>
    </format>
    <format dxfId="296">
      <pivotArea dataOnly="0" labelOnly="1" fieldPosition="0">
        <references count="3">
          <reference field="0" count="1" selected="0">
            <x v="42"/>
          </reference>
          <reference field="1" count="1" selected="0">
            <x v="989"/>
          </reference>
          <reference field="2" count="1">
            <x v="7"/>
          </reference>
        </references>
      </pivotArea>
    </format>
    <format dxfId="295">
      <pivotArea dataOnly="0" labelOnly="1" fieldPosition="0">
        <references count="3">
          <reference field="0" count="1" selected="0">
            <x v="42"/>
          </reference>
          <reference field="1" count="1" selected="0">
            <x v="1016"/>
          </reference>
          <reference field="2" count="1">
            <x v="20"/>
          </reference>
        </references>
      </pivotArea>
    </format>
    <format dxfId="294">
      <pivotArea dataOnly="0" labelOnly="1" fieldPosition="0">
        <references count="3">
          <reference field="0" count="1" selected="0">
            <x v="42"/>
          </reference>
          <reference field="1" count="1" selected="0">
            <x v="1027"/>
          </reference>
          <reference field="2" count="1">
            <x v="24"/>
          </reference>
        </references>
      </pivotArea>
    </format>
    <format dxfId="293">
      <pivotArea dataOnly="0" labelOnly="1" fieldPosition="0">
        <references count="3">
          <reference field="0" count="1" selected="0">
            <x v="42"/>
          </reference>
          <reference field="1" count="1" selected="0">
            <x v="1050"/>
          </reference>
          <reference field="2" count="1">
            <x v="15"/>
          </reference>
        </references>
      </pivotArea>
    </format>
    <format dxfId="292">
      <pivotArea dataOnly="0" labelOnly="1" fieldPosition="0">
        <references count="3">
          <reference field="0" count="1" selected="0">
            <x v="42"/>
          </reference>
          <reference field="1" count="1" selected="0">
            <x v="1060"/>
          </reference>
          <reference field="2" count="1">
            <x v="22"/>
          </reference>
        </references>
      </pivotArea>
    </format>
    <format dxfId="291">
      <pivotArea dataOnly="0" labelOnly="1" fieldPosition="0">
        <references count="3">
          <reference field="0" count="1" selected="0">
            <x v="42"/>
          </reference>
          <reference field="1" count="1" selected="0">
            <x v="1069"/>
          </reference>
          <reference field="2" count="1">
            <x v="16"/>
          </reference>
        </references>
      </pivotArea>
    </format>
    <format dxfId="290">
      <pivotArea dataOnly="0" labelOnly="1" fieldPosition="0">
        <references count="3">
          <reference field="0" count="1" selected="0">
            <x v="42"/>
          </reference>
          <reference field="1" count="1" selected="0">
            <x v="1106"/>
          </reference>
          <reference field="2" count="1">
            <x v="26"/>
          </reference>
        </references>
      </pivotArea>
    </format>
    <format dxfId="289">
      <pivotArea dataOnly="0" labelOnly="1" fieldPosition="0">
        <references count="3">
          <reference field="0" count="1" selected="0">
            <x v="42"/>
          </reference>
          <reference field="1" count="1" selected="0">
            <x v="1125"/>
          </reference>
          <reference field="2" count="1">
            <x v="6"/>
          </reference>
        </references>
      </pivotArea>
    </format>
    <format dxfId="288">
      <pivotArea dataOnly="0" labelOnly="1" fieldPosition="0">
        <references count="3">
          <reference field="0" count="1" selected="0">
            <x v="42"/>
          </reference>
          <reference field="1" count="1" selected="0">
            <x v="1145"/>
          </reference>
          <reference field="2" count="1">
            <x v="9"/>
          </reference>
        </references>
      </pivotArea>
    </format>
    <format dxfId="287">
      <pivotArea dataOnly="0" labelOnly="1" fieldPosition="0">
        <references count="3">
          <reference field="0" count="1" selected="0">
            <x v="42"/>
          </reference>
          <reference field="1" count="1" selected="0">
            <x v="1152"/>
          </reference>
          <reference field="2" count="1">
            <x v="9"/>
          </reference>
        </references>
      </pivotArea>
    </format>
    <format dxfId="286">
      <pivotArea dataOnly="0" labelOnly="1" fieldPosition="0">
        <references count="3">
          <reference field="0" count="1" selected="0">
            <x v="42"/>
          </reference>
          <reference field="1" count="1" selected="0">
            <x v="1205"/>
          </reference>
          <reference field="2" count="1">
            <x v="11"/>
          </reference>
        </references>
      </pivotArea>
    </format>
    <format dxfId="285">
      <pivotArea dataOnly="0" labelOnly="1" fieldPosition="0">
        <references count="3">
          <reference field="0" count="1" selected="0">
            <x v="42"/>
          </reference>
          <reference field="1" count="1" selected="0">
            <x v="1227"/>
          </reference>
          <reference field="2" count="1">
            <x v="21"/>
          </reference>
        </references>
      </pivotArea>
    </format>
    <format dxfId="284">
      <pivotArea dataOnly="0" labelOnly="1" fieldPosition="0">
        <references count="3">
          <reference field="0" count="1" selected="0">
            <x v="42"/>
          </reference>
          <reference field="1" count="1" selected="0">
            <x v="1235"/>
          </reference>
          <reference field="2" count="1">
            <x v="13"/>
          </reference>
        </references>
      </pivotArea>
    </format>
    <format dxfId="283">
      <pivotArea dataOnly="0" labelOnly="1" fieldPosition="0">
        <references count="3">
          <reference field="0" count="1" selected="0">
            <x v="42"/>
          </reference>
          <reference field="1" count="1" selected="0">
            <x v="1267"/>
          </reference>
          <reference field="2" count="1">
            <x v="7"/>
          </reference>
        </references>
      </pivotArea>
    </format>
    <format dxfId="282">
      <pivotArea dataOnly="0" labelOnly="1" fieldPosition="0">
        <references count="3">
          <reference field="0" count="1" selected="0">
            <x v="41"/>
          </reference>
          <reference field="1" count="1" selected="0">
            <x v="217"/>
          </reference>
          <reference field="2" count="1">
            <x v="22"/>
          </reference>
        </references>
      </pivotArea>
    </format>
    <format dxfId="281">
      <pivotArea dataOnly="0" labelOnly="1" fieldPosition="0">
        <references count="3">
          <reference field="0" count="1" selected="0">
            <x v="41"/>
          </reference>
          <reference field="1" count="1" selected="0">
            <x v="293"/>
          </reference>
          <reference field="2" count="1">
            <x v="1"/>
          </reference>
        </references>
      </pivotArea>
    </format>
    <format dxfId="280">
      <pivotArea dataOnly="0" labelOnly="1" fieldPosition="0">
        <references count="3">
          <reference field="0" count="1" selected="0">
            <x v="41"/>
          </reference>
          <reference field="1" count="1" selected="0">
            <x v="303"/>
          </reference>
          <reference field="2" count="1">
            <x v="1"/>
          </reference>
        </references>
      </pivotArea>
    </format>
    <format dxfId="279">
      <pivotArea dataOnly="0" labelOnly="1" fieldPosition="0">
        <references count="3">
          <reference field="0" count="1" selected="0">
            <x v="41"/>
          </reference>
          <reference field="1" count="1" selected="0">
            <x v="445"/>
          </reference>
          <reference field="2" count="1">
            <x v="22"/>
          </reference>
        </references>
      </pivotArea>
    </format>
    <format dxfId="278">
      <pivotArea dataOnly="0" labelOnly="1" fieldPosition="0">
        <references count="3">
          <reference field="0" count="1" selected="0">
            <x v="41"/>
          </reference>
          <reference field="1" count="1" selected="0">
            <x v="975"/>
          </reference>
          <reference field="2" count="1">
            <x v="24"/>
          </reference>
        </references>
      </pivotArea>
    </format>
    <format dxfId="277">
      <pivotArea dataOnly="0" labelOnly="1" fieldPosition="0">
        <references count="3">
          <reference field="0" count="1" selected="0">
            <x v="41"/>
          </reference>
          <reference field="1" count="1" selected="0">
            <x v="1270"/>
          </reference>
          <reference field="2" count="1">
            <x v="4"/>
          </reference>
        </references>
      </pivotArea>
    </format>
    <format dxfId="276">
      <pivotArea dataOnly="0" labelOnly="1" fieldPosition="0">
        <references count="3">
          <reference field="0" count="1" selected="0">
            <x v="41"/>
          </reference>
          <reference field="1" count="1" selected="0">
            <x v="1278"/>
          </reference>
          <reference field="2" count="1">
            <x v="18"/>
          </reference>
        </references>
      </pivotArea>
    </format>
    <format dxfId="275">
      <pivotArea dataOnly="0" labelOnly="1" fieldPosition="0">
        <references count="3">
          <reference field="0" count="1" selected="0">
            <x v="40"/>
          </reference>
          <reference field="1" count="1" selected="0">
            <x v="1034"/>
          </reference>
          <reference field="2" count="1">
            <x v="20"/>
          </reference>
        </references>
      </pivotArea>
    </format>
    <format dxfId="274">
      <pivotArea dataOnly="0" labelOnly="1" fieldPosition="0">
        <references count="3">
          <reference field="0" count="1" selected="0">
            <x v="39"/>
          </reference>
          <reference field="1" count="1" selected="0">
            <x v="175"/>
          </reference>
          <reference field="2" count="1">
            <x v="0"/>
          </reference>
        </references>
      </pivotArea>
    </format>
    <format dxfId="273">
      <pivotArea dataOnly="0" labelOnly="1" fieldPosition="0">
        <references count="3">
          <reference field="0" count="1" selected="0">
            <x v="39"/>
          </reference>
          <reference field="1" count="1" selected="0">
            <x v="313"/>
          </reference>
          <reference field="2" count="1">
            <x v="1"/>
          </reference>
        </references>
      </pivotArea>
    </format>
    <format dxfId="272">
      <pivotArea dataOnly="0" labelOnly="1" fieldPosition="0">
        <references count="3">
          <reference field="0" count="1" selected="0">
            <x v="39"/>
          </reference>
          <reference field="1" count="1" selected="0">
            <x v="365"/>
          </reference>
          <reference field="2" count="1">
            <x v="1"/>
          </reference>
        </references>
      </pivotArea>
    </format>
    <format dxfId="271">
      <pivotArea dataOnly="0" labelOnly="1" fieldPosition="0">
        <references count="3">
          <reference field="0" count="1" selected="0">
            <x v="39"/>
          </reference>
          <reference field="1" count="1" selected="0">
            <x v="435"/>
          </reference>
          <reference field="2" count="1">
            <x v="13"/>
          </reference>
        </references>
      </pivotArea>
    </format>
    <format dxfId="270">
      <pivotArea dataOnly="0" labelOnly="1" fieldPosition="0">
        <references count="3">
          <reference field="0" count="1" selected="0">
            <x v="39"/>
          </reference>
          <reference field="1" count="1" selected="0">
            <x v="498"/>
          </reference>
          <reference field="2" count="1">
            <x v="28"/>
          </reference>
        </references>
      </pivotArea>
    </format>
    <format dxfId="269">
      <pivotArea dataOnly="0" labelOnly="1" fieldPosition="0">
        <references count="3">
          <reference field="0" count="1" selected="0">
            <x v="39"/>
          </reference>
          <reference field="1" count="1" selected="0">
            <x v="687"/>
          </reference>
          <reference field="2" count="1">
            <x v="21"/>
          </reference>
        </references>
      </pivotArea>
    </format>
    <format dxfId="268">
      <pivotArea dataOnly="0" labelOnly="1" fieldPosition="0">
        <references count="3">
          <reference field="0" count="1" selected="0">
            <x v="39"/>
          </reference>
          <reference field="1" count="1" selected="0">
            <x v="705"/>
          </reference>
          <reference field="2" count="1">
            <x v="25"/>
          </reference>
        </references>
      </pivotArea>
    </format>
    <format dxfId="267">
      <pivotArea dataOnly="0" labelOnly="1" fieldPosition="0">
        <references count="3">
          <reference field="0" count="1" selected="0">
            <x v="39"/>
          </reference>
          <reference field="1" count="1" selected="0">
            <x v="772"/>
          </reference>
          <reference field="2" count="1">
            <x v="3"/>
          </reference>
        </references>
      </pivotArea>
    </format>
    <format dxfId="266">
      <pivotArea dataOnly="0" labelOnly="1" fieldPosition="0">
        <references count="3">
          <reference field="0" count="1" selected="0">
            <x v="39"/>
          </reference>
          <reference field="1" count="1" selected="0">
            <x v="783"/>
          </reference>
          <reference field="2" count="1">
            <x v="24"/>
          </reference>
        </references>
      </pivotArea>
    </format>
    <format dxfId="265">
      <pivotArea dataOnly="0" labelOnly="1" fieldPosition="0">
        <references count="3">
          <reference field="0" count="1" selected="0">
            <x v="39"/>
          </reference>
          <reference field="1" count="1" selected="0">
            <x v="837"/>
          </reference>
          <reference field="2" count="1">
            <x v="23"/>
          </reference>
        </references>
      </pivotArea>
    </format>
    <format dxfId="264">
      <pivotArea dataOnly="0" labelOnly="1" fieldPosition="0">
        <references count="3">
          <reference field="0" count="1" selected="0">
            <x v="39"/>
          </reference>
          <reference field="1" count="1" selected="0">
            <x v="873"/>
          </reference>
          <reference field="2" count="1">
            <x v="5"/>
          </reference>
        </references>
      </pivotArea>
    </format>
    <format dxfId="263">
      <pivotArea dataOnly="0" labelOnly="1" fieldPosition="0">
        <references count="3">
          <reference field="0" count="1" selected="0">
            <x v="39"/>
          </reference>
          <reference field="1" count="1" selected="0">
            <x v="950"/>
          </reference>
          <reference field="2" count="1">
            <x v="29"/>
          </reference>
        </references>
      </pivotArea>
    </format>
    <format dxfId="262">
      <pivotArea dataOnly="0" labelOnly="1" fieldPosition="0">
        <references count="3">
          <reference field="0" count="1" selected="0">
            <x v="39"/>
          </reference>
          <reference field="1" count="1" selected="0">
            <x v="954"/>
          </reference>
          <reference field="2" count="1">
            <x v="4"/>
          </reference>
        </references>
      </pivotArea>
    </format>
    <format dxfId="261">
      <pivotArea dataOnly="0" labelOnly="1" fieldPosition="0">
        <references count="3">
          <reference field="0" count="1" selected="0">
            <x v="39"/>
          </reference>
          <reference field="1" count="1" selected="0">
            <x v="959"/>
          </reference>
          <reference field="2" count="1">
            <x v="4"/>
          </reference>
        </references>
      </pivotArea>
    </format>
    <format dxfId="260">
      <pivotArea dataOnly="0" labelOnly="1" fieldPosition="0">
        <references count="3">
          <reference field="0" count="1" selected="0">
            <x v="39"/>
          </reference>
          <reference field="1" count="1" selected="0">
            <x v="972"/>
          </reference>
          <reference field="2" count="1">
            <x v="17"/>
          </reference>
        </references>
      </pivotArea>
    </format>
    <format dxfId="259">
      <pivotArea dataOnly="0" labelOnly="1" fieldPosition="0">
        <references count="3">
          <reference field="0" count="1" selected="0">
            <x v="39"/>
          </reference>
          <reference field="1" count="1" selected="0">
            <x v="987"/>
          </reference>
          <reference field="2" count="1">
            <x v="27"/>
          </reference>
        </references>
      </pivotArea>
    </format>
    <format dxfId="258">
      <pivotArea dataOnly="0" labelOnly="1" fieldPosition="0">
        <references count="3">
          <reference field="0" count="1" selected="0">
            <x v="39"/>
          </reference>
          <reference field="1" count="1" selected="0">
            <x v="1042"/>
          </reference>
          <reference field="2" count="1">
            <x v="23"/>
          </reference>
        </references>
      </pivotArea>
    </format>
    <format dxfId="257">
      <pivotArea dataOnly="0" labelOnly="1" fieldPosition="0">
        <references count="3">
          <reference field="0" count="1" selected="0">
            <x v="39"/>
          </reference>
          <reference field="1" count="1" selected="0">
            <x v="1086"/>
          </reference>
          <reference field="2" count="1">
            <x v="13"/>
          </reference>
        </references>
      </pivotArea>
    </format>
    <format dxfId="256">
      <pivotArea dataOnly="0" labelOnly="1" fieldPosition="0">
        <references count="3">
          <reference field="0" count="1" selected="0">
            <x v="39"/>
          </reference>
          <reference field="1" count="1" selected="0">
            <x v="1151"/>
          </reference>
          <reference field="2" count="1">
            <x v="9"/>
          </reference>
        </references>
      </pivotArea>
    </format>
    <format dxfId="255">
      <pivotArea dataOnly="0" labelOnly="1" fieldPosition="0">
        <references count="3">
          <reference field="0" count="1" selected="0">
            <x v="39"/>
          </reference>
          <reference field="1" count="1" selected="0">
            <x v="1181"/>
          </reference>
          <reference field="2" count="1">
            <x v="11"/>
          </reference>
        </references>
      </pivotArea>
    </format>
    <format dxfId="254">
      <pivotArea dataOnly="0" labelOnly="1" fieldPosition="0">
        <references count="3">
          <reference field="0" count="1" selected="0">
            <x v="39"/>
          </reference>
          <reference field="1" count="1" selected="0">
            <x v="1237"/>
          </reference>
          <reference field="2" count="1">
            <x v="14"/>
          </reference>
        </references>
      </pivotArea>
    </format>
    <format dxfId="253">
      <pivotArea dataOnly="0" labelOnly="1" fieldPosition="0">
        <references count="3">
          <reference field="0" count="1" selected="0">
            <x v="39"/>
          </reference>
          <reference field="1" count="1" selected="0">
            <x v="1243"/>
          </reference>
          <reference field="2" count="1">
            <x v="4"/>
          </reference>
        </references>
      </pivotArea>
    </format>
    <format dxfId="252">
      <pivotArea dataOnly="0" labelOnly="1" fieldPosition="0">
        <references count="3">
          <reference field="0" count="1" selected="0">
            <x v="39"/>
          </reference>
          <reference field="1" count="1" selected="0">
            <x v="1256"/>
          </reference>
          <reference field="2" count="1">
            <x v="19"/>
          </reference>
        </references>
      </pivotArea>
    </format>
    <format dxfId="251">
      <pivotArea dataOnly="0" labelOnly="1" fieldPosition="0">
        <references count="3">
          <reference field="0" count="1" selected="0">
            <x v="38"/>
          </reference>
          <reference field="1" count="1" selected="0">
            <x v="142"/>
          </reference>
          <reference field="2" count="1">
            <x v="0"/>
          </reference>
        </references>
      </pivotArea>
    </format>
    <format dxfId="250">
      <pivotArea dataOnly="0" labelOnly="1" fieldPosition="0">
        <references count="3">
          <reference field="0" count="1" selected="0">
            <x v="38"/>
          </reference>
          <reference field="1" count="1" selected="0">
            <x v="170"/>
          </reference>
          <reference field="2" count="1">
            <x v="0"/>
          </reference>
        </references>
      </pivotArea>
    </format>
    <format dxfId="249">
      <pivotArea dataOnly="0" labelOnly="1" fieldPosition="0">
        <references count="3">
          <reference field="0" count="1" selected="0">
            <x v="38"/>
          </reference>
          <reference field="1" count="1" selected="0">
            <x v="193"/>
          </reference>
          <reference field="2" count="1">
            <x v="7"/>
          </reference>
        </references>
      </pivotArea>
    </format>
    <format dxfId="248">
      <pivotArea dataOnly="0" labelOnly="1" fieldPosition="0">
        <references count="3">
          <reference field="0" count="1" selected="0">
            <x v="38"/>
          </reference>
          <reference field="1" count="1" selected="0">
            <x v="194"/>
          </reference>
          <reference field="2" count="1">
            <x v="15"/>
          </reference>
        </references>
      </pivotArea>
    </format>
    <format dxfId="247">
      <pivotArea dataOnly="0" labelOnly="1" fieldPosition="0">
        <references count="3">
          <reference field="0" count="1" selected="0">
            <x v="38"/>
          </reference>
          <reference field="1" count="1" selected="0">
            <x v="198"/>
          </reference>
          <reference field="2" count="1">
            <x v="23"/>
          </reference>
        </references>
      </pivotArea>
    </format>
    <format dxfId="246">
      <pivotArea dataOnly="0" labelOnly="1" fieldPosition="0">
        <references count="3">
          <reference field="0" count="1" selected="0">
            <x v="38"/>
          </reference>
          <reference field="1" count="1" selected="0">
            <x v="870"/>
          </reference>
          <reference field="2" count="1">
            <x v="5"/>
          </reference>
        </references>
      </pivotArea>
    </format>
    <format dxfId="245">
      <pivotArea dataOnly="0" labelOnly="1" fieldPosition="0">
        <references count="3">
          <reference field="0" count="1" selected="0">
            <x v="38"/>
          </reference>
          <reference field="1" count="1" selected="0">
            <x v="910"/>
          </reference>
          <reference field="2" count="1">
            <x v="20"/>
          </reference>
        </references>
      </pivotArea>
    </format>
    <format dxfId="244">
      <pivotArea dataOnly="0" labelOnly="1" fieldPosition="0">
        <references count="3">
          <reference field="0" count="1" selected="0">
            <x v="38"/>
          </reference>
          <reference field="1" count="1" selected="0">
            <x v="1053"/>
          </reference>
          <reference field="2" count="1">
            <x v="5"/>
          </reference>
        </references>
      </pivotArea>
    </format>
    <format dxfId="243">
      <pivotArea dataOnly="0" labelOnly="1" fieldPosition="0">
        <references count="3">
          <reference field="0" count="1" selected="0">
            <x v="38"/>
          </reference>
          <reference field="1" count="1" selected="0">
            <x v="1118"/>
          </reference>
          <reference field="2" count="1">
            <x v="26"/>
          </reference>
        </references>
      </pivotArea>
    </format>
    <format dxfId="242">
      <pivotArea dataOnly="0" labelOnly="1" fieldPosition="0">
        <references count="3">
          <reference field="0" count="1" selected="0">
            <x v="38"/>
          </reference>
          <reference field="1" count="1" selected="0">
            <x v="1169"/>
          </reference>
          <reference field="2" count="1">
            <x v="11"/>
          </reference>
        </references>
      </pivotArea>
    </format>
    <format dxfId="241">
      <pivotArea dataOnly="0" labelOnly="1" fieldPosition="0">
        <references count="3">
          <reference field="0" count="1" selected="0">
            <x v="38"/>
          </reference>
          <reference field="1" count="1" selected="0">
            <x v="1240"/>
          </reference>
          <reference field="2" count="1">
            <x v="7"/>
          </reference>
        </references>
      </pivotArea>
    </format>
    <format dxfId="240">
      <pivotArea dataOnly="0" labelOnly="1" fieldPosition="0">
        <references count="3">
          <reference field="0" count="1" selected="0">
            <x v="38"/>
          </reference>
          <reference field="1" count="1" selected="0">
            <x v="1284"/>
          </reference>
          <reference field="2" count="1">
            <x v="16"/>
          </reference>
        </references>
      </pivotArea>
    </format>
    <format dxfId="239">
      <pivotArea dataOnly="0" labelOnly="1" fieldPosition="0">
        <references count="3">
          <reference field="0" count="1" selected="0">
            <x v="37"/>
          </reference>
          <reference field="1" count="1" selected="0">
            <x v="72"/>
          </reference>
          <reference field="2" count="1">
            <x v="23"/>
          </reference>
        </references>
      </pivotArea>
    </format>
    <format dxfId="238">
      <pivotArea dataOnly="0" labelOnly="1" fieldPosition="0">
        <references count="3">
          <reference field="0" count="1" selected="0">
            <x v="37"/>
          </reference>
          <reference field="1" count="1" selected="0">
            <x v="173"/>
          </reference>
          <reference field="2" count="1">
            <x v="0"/>
          </reference>
        </references>
      </pivotArea>
    </format>
    <format dxfId="237">
      <pivotArea dataOnly="0" labelOnly="1" fieldPosition="0">
        <references count="3">
          <reference field="0" count="1" selected="0">
            <x v="37"/>
          </reference>
          <reference field="1" count="1" selected="0">
            <x v="181"/>
          </reference>
          <reference field="2" count="1">
            <x v="10"/>
          </reference>
        </references>
      </pivotArea>
    </format>
    <format dxfId="236">
      <pivotArea dataOnly="0" labelOnly="1" fieldPosition="0">
        <references count="3">
          <reference field="0" count="1" selected="0">
            <x v="37"/>
          </reference>
          <reference field="1" count="1" selected="0">
            <x v="206"/>
          </reference>
          <reference field="2" count="1">
            <x v="22"/>
          </reference>
        </references>
      </pivotArea>
    </format>
    <format dxfId="235">
      <pivotArea dataOnly="0" labelOnly="1" fieldPosition="0">
        <references count="3">
          <reference field="0" count="1" selected="0">
            <x v="37"/>
          </reference>
          <reference field="1" count="1" selected="0">
            <x v="209"/>
          </reference>
          <reference field="2" count="1">
            <x v="22"/>
          </reference>
        </references>
      </pivotArea>
    </format>
    <format dxfId="234">
      <pivotArea dataOnly="0" labelOnly="1" fieldPosition="0">
        <references count="3">
          <reference field="0" count="1" selected="0">
            <x v="37"/>
          </reference>
          <reference field="1" count="1" selected="0">
            <x v="216"/>
          </reference>
          <reference field="2" count="1">
            <x v="22"/>
          </reference>
        </references>
      </pivotArea>
    </format>
    <format dxfId="233">
      <pivotArea dataOnly="0" labelOnly="1" fieldPosition="0">
        <references count="3">
          <reference field="0" count="1" selected="0">
            <x v="37"/>
          </reference>
          <reference field="1" count="1" selected="0">
            <x v="410"/>
          </reference>
          <reference field="2" count="1">
            <x v="22"/>
          </reference>
        </references>
      </pivotArea>
    </format>
    <format dxfId="232">
      <pivotArea dataOnly="0" labelOnly="1" fieldPosition="0">
        <references count="3">
          <reference field="0" count="1" selected="0">
            <x v="37"/>
          </reference>
          <reference field="1" count="1" selected="0">
            <x v="417"/>
          </reference>
          <reference field="2" count="1">
            <x v="10"/>
          </reference>
        </references>
      </pivotArea>
    </format>
    <format dxfId="231">
      <pivotArea dataOnly="0" labelOnly="1" fieldPosition="0">
        <references count="3">
          <reference field="0" count="1" selected="0">
            <x v="37"/>
          </reference>
          <reference field="1" count="1" selected="0">
            <x v="458"/>
          </reference>
          <reference field="2" count="1">
            <x v="12"/>
          </reference>
        </references>
      </pivotArea>
    </format>
    <format dxfId="230">
      <pivotArea dataOnly="0" labelOnly="1" fieldPosition="0">
        <references count="3">
          <reference field="0" count="1" selected="0">
            <x v="37"/>
          </reference>
          <reference field="1" count="1" selected="0">
            <x v="573"/>
          </reference>
          <reference field="2" count="1">
            <x v="29"/>
          </reference>
        </references>
      </pivotArea>
    </format>
    <format dxfId="229">
      <pivotArea dataOnly="0" labelOnly="1" fieldPosition="0">
        <references count="3">
          <reference field="0" count="1" selected="0">
            <x v="37"/>
          </reference>
          <reference field="1" count="1" selected="0">
            <x v="647"/>
          </reference>
          <reference field="2" count="1">
            <x v="16"/>
          </reference>
        </references>
      </pivotArea>
    </format>
    <format dxfId="228">
      <pivotArea dataOnly="0" labelOnly="1" fieldPosition="0">
        <references count="3">
          <reference field="0" count="1" selected="0">
            <x v="37"/>
          </reference>
          <reference field="1" count="1" selected="0">
            <x v="692"/>
          </reference>
          <reference field="2" count="1">
            <x v="20"/>
          </reference>
        </references>
      </pivotArea>
    </format>
    <format dxfId="227">
      <pivotArea dataOnly="0" labelOnly="1" fieldPosition="0">
        <references count="3">
          <reference field="0" count="1" selected="0">
            <x v="37"/>
          </reference>
          <reference field="1" count="1" selected="0">
            <x v="716"/>
          </reference>
          <reference field="2" count="1">
            <x v="7"/>
          </reference>
        </references>
      </pivotArea>
    </format>
    <format dxfId="226">
      <pivotArea dataOnly="0" labelOnly="1" fieldPosition="0">
        <references count="3">
          <reference field="0" count="1" selected="0">
            <x v="37"/>
          </reference>
          <reference field="1" count="1" selected="0">
            <x v="725"/>
          </reference>
          <reference field="2" count="1">
            <x v="6"/>
          </reference>
        </references>
      </pivotArea>
    </format>
    <format dxfId="225">
      <pivotArea dataOnly="0" labelOnly="1" fieldPosition="0">
        <references count="3">
          <reference field="0" count="1" selected="0">
            <x v="37"/>
          </reference>
          <reference field="1" count="1" selected="0">
            <x v="767"/>
          </reference>
          <reference field="2" count="1">
            <x v="15"/>
          </reference>
        </references>
      </pivotArea>
    </format>
    <format dxfId="224">
      <pivotArea dataOnly="0" labelOnly="1" fieldPosition="0">
        <references count="3">
          <reference field="0" count="1" selected="0">
            <x v="37"/>
          </reference>
          <reference field="1" count="1" selected="0">
            <x v="794"/>
          </reference>
          <reference field="2" count="1">
            <x v="28"/>
          </reference>
        </references>
      </pivotArea>
    </format>
    <format dxfId="223">
      <pivotArea dataOnly="0" labelOnly="1" fieldPosition="0">
        <references count="3">
          <reference field="0" count="1" selected="0">
            <x v="37"/>
          </reference>
          <reference field="1" count="1" selected="0">
            <x v="847"/>
          </reference>
          <reference field="2" count="1">
            <x v="18"/>
          </reference>
        </references>
      </pivotArea>
    </format>
    <format dxfId="222">
      <pivotArea dataOnly="0" labelOnly="1" fieldPosition="0">
        <references count="3">
          <reference field="0" count="1" selected="0">
            <x v="36"/>
          </reference>
          <reference field="1" count="1" selected="0">
            <x v="177"/>
          </reference>
          <reference field="2" count="1">
            <x v="22"/>
          </reference>
        </references>
      </pivotArea>
    </format>
    <format dxfId="221">
      <pivotArea dataOnly="0" labelOnly="1" fieldPosition="0">
        <references count="3">
          <reference field="0" count="1" selected="0">
            <x v="36"/>
          </reference>
          <reference field="1" count="1" selected="0">
            <x v="212"/>
          </reference>
          <reference field="2" count="1">
            <x v="22"/>
          </reference>
        </references>
      </pivotArea>
    </format>
    <format dxfId="220">
      <pivotArea dataOnly="0" labelOnly="1" fieldPosition="0">
        <references count="3">
          <reference field="0" count="1" selected="0">
            <x v="36"/>
          </reference>
          <reference field="1" count="1" selected="0">
            <x v="256"/>
          </reference>
          <reference field="2" count="1">
            <x v="22"/>
          </reference>
        </references>
      </pivotArea>
    </format>
    <format dxfId="219">
      <pivotArea dataOnly="0" labelOnly="1" fieldPosition="0">
        <references count="3">
          <reference field="0" count="1" selected="0">
            <x v="36"/>
          </reference>
          <reference field="1" count="1" selected="0">
            <x v="941"/>
          </reference>
          <reference field="2" count="1">
            <x v="6"/>
          </reference>
        </references>
      </pivotArea>
    </format>
    <format dxfId="218">
      <pivotArea dataOnly="0" labelOnly="1" fieldPosition="0">
        <references count="3">
          <reference field="0" count="1" selected="0">
            <x v="35"/>
          </reference>
          <reference field="1" count="1" selected="0">
            <x v="395"/>
          </reference>
          <reference field="2" count="1">
            <x v="10"/>
          </reference>
        </references>
      </pivotArea>
    </format>
    <format dxfId="217">
      <pivotArea dataOnly="0" labelOnly="1" fieldPosition="0">
        <references count="3">
          <reference field="0" count="1" selected="0">
            <x v="35"/>
          </reference>
          <reference field="1" count="1" selected="0">
            <x v="576"/>
          </reference>
          <reference field="2" count="1">
            <x v="25"/>
          </reference>
        </references>
      </pivotArea>
    </format>
    <format dxfId="216">
      <pivotArea dataOnly="0" labelOnly="1" fieldPosition="0">
        <references count="3">
          <reference field="0" count="1" selected="0">
            <x v="35"/>
          </reference>
          <reference field="1" count="1" selected="0">
            <x v="678"/>
          </reference>
          <reference field="2" count="1">
            <x v="2"/>
          </reference>
        </references>
      </pivotArea>
    </format>
    <format dxfId="215">
      <pivotArea dataOnly="0" labelOnly="1" fieldPosition="0">
        <references count="3">
          <reference field="0" count="1" selected="0">
            <x v="35"/>
          </reference>
          <reference field="1" count="1" selected="0">
            <x v="722"/>
          </reference>
          <reference field="2" count="1">
            <x v="6"/>
          </reference>
        </references>
      </pivotArea>
    </format>
    <format dxfId="214">
      <pivotArea dataOnly="0" labelOnly="1" fieldPosition="0">
        <references count="3">
          <reference field="0" count="1" selected="0">
            <x v="35"/>
          </reference>
          <reference field="1" count="1" selected="0">
            <x v="742"/>
          </reference>
          <reference field="2" count="1">
            <x v="24"/>
          </reference>
        </references>
      </pivotArea>
    </format>
    <format dxfId="213">
      <pivotArea dataOnly="0" labelOnly="1" fieldPosition="0">
        <references count="3">
          <reference field="0" count="1" selected="0">
            <x v="35"/>
          </reference>
          <reference field="1" count="1" selected="0">
            <x v="745"/>
          </reference>
          <reference field="2" count="1">
            <x v="6"/>
          </reference>
        </references>
      </pivotArea>
    </format>
    <format dxfId="212">
      <pivotArea dataOnly="0" labelOnly="1" fieldPosition="0">
        <references count="3">
          <reference field="0" count="1" selected="0">
            <x v="35"/>
          </reference>
          <reference field="1" count="1" selected="0">
            <x v="984"/>
          </reference>
          <reference field="2" count="1">
            <x v="28"/>
          </reference>
        </references>
      </pivotArea>
    </format>
    <format dxfId="211">
      <pivotArea dataOnly="0" labelOnly="1" fieldPosition="0">
        <references count="3">
          <reference field="0" count="1" selected="0">
            <x v="35"/>
          </reference>
          <reference field="1" count="1" selected="0">
            <x v="1039"/>
          </reference>
          <reference field="2" count="1">
            <x v="17"/>
          </reference>
        </references>
      </pivotArea>
    </format>
    <format dxfId="210">
      <pivotArea dataOnly="0" labelOnly="1" fieldPosition="0">
        <references count="3">
          <reference field="0" count="1" selected="0">
            <x v="34"/>
          </reference>
          <reference field="1" count="1" selected="0">
            <x v="1200"/>
          </reference>
          <reference field="2" count="1">
            <x v="11"/>
          </reference>
        </references>
      </pivotArea>
    </format>
    <format dxfId="209">
      <pivotArea dataOnly="0" labelOnly="1" fieldPosition="0">
        <references count="3">
          <reference field="0" count="1" selected="0">
            <x v="33"/>
          </reference>
          <reference field="1" count="1" selected="0">
            <x v="191"/>
          </reference>
          <reference field="2" count="1">
            <x v="23"/>
          </reference>
        </references>
      </pivotArea>
    </format>
    <format dxfId="208">
      <pivotArea dataOnly="0" labelOnly="1" fieldPosition="0">
        <references count="3">
          <reference field="0" count="1" selected="0">
            <x v="33"/>
          </reference>
          <reference field="1" count="1" selected="0">
            <x v="343"/>
          </reference>
          <reference field="2" count="1">
            <x v="1"/>
          </reference>
        </references>
      </pivotArea>
    </format>
    <format dxfId="207">
      <pivotArea dataOnly="0" labelOnly="1" fieldPosition="0">
        <references count="3">
          <reference field="0" count="1" selected="0">
            <x v="33"/>
          </reference>
          <reference field="1" count="1" selected="0">
            <x v="369"/>
          </reference>
          <reference field="2" count="1">
            <x v="22"/>
          </reference>
        </references>
      </pivotArea>
    </format>
    <format dxfId="206">
      <pivotArea dataOnly="0" labelOnly="1" fieldPosition="0">
        <references count="3">
          <reference field="0" count="1" selected="0">
            <x v="33"/>
          </reference>
          <reference field="1" count="1" selected="0">
            <x v="438"/>
          </reference>
          <reference field="2" count="1">
            <x v="12"/>
          </reference>
        </references>
      </pivotArea>
    </format>
    <format dxfId="205">
      <pivotArea dataOnly="0" labelOnly="1" fieldPosition="0">
        <references count="3">
          <reference field="0" count="1" selected="0">
            <x v="33"/>
          </reference>
          <reference field="1" count="1" selected="0">
            <x v="463"/>
          </reference>
          <reference field="2" count="1">
            <x v="17"/>
          </reference>
        </references>
      </pivotArea>
    </format>
    <format dxfId="204">
      <pivotArea dataOnly="0" labelOnly="1" fieldPosition="0">
        <references count="3">
          <reference field="0" count="1" selected="0">
            <x v="33"/>
          </reference>
          <reference field="1" count="1" selected="0">
            <x v="594"/>
          </reference>
          <reference field="2" count="1">
            <x v="16"/>
          </reference>
        </references>
      </pivotArea>
    </format>
    <format dxfId="203">
      <pivotArea dataOnly="0" labelOnly="1" fieldPosition="0">
        <references count="3">
          <reference field="0" count="1" selected="0">
            <x v="33"/>
          </reference>
          <reference field="1" count="1" selected="0">
            <x v="761"/>
          </reference>
          <reference field="2" count="1">
            <x v="2"/>
          </reference>
        </references>
      </pivotArea>
    </format>
    <format dxfId="202">
      <pivotArea dataOnly="0" labelOnly="1" fieldPosition="0">
        <references count="3">
          <reference field="0" count="1" selected="0">
            <x v="33"/>
          </reference>
          <reference field="1" count="1" selected="0">
            <x v="785"/>
          </reference>
          <reference field="2" count="1">
            <x v="6"/>
          </reference>
        </references>
      </pivotArea>
    </format>
    <format dxfId="201">
      <pivotArea dataOnly="0" labelOnly="1" fieldPosition="0">
        <references count="3">
          <reference field="0" count="1" selected="0">
            <x v="33"/>
          </reference>
          <reference field="1" count="1" selected="0">
            <x v="943"/>
          </reference>
          <reference field="2" count="1">
            <x v="29"/>
          </reference>
        </references>
      </pivotArea>
    </format>
    <format dxfId="200">
      <pivotArea dataOnly="0" labelOnly="1" fieldPosition="0">
        <references count="3">
          <reference field="0" count="1" selected="0">
            <x v="33"/>
          </reference>
          <reference field="1" count="1" selected="0">
            <x v="1045"/>
          </reference>
          <reference field="2" count="1">
            <x v="25"/>
          </reference>
        </references>
      </pivotArea>
    </format>
    <format dxfId="199">
      <pivotArea dataOnly="0" labelOnly="1" fieldPosition="0">
        <references count="3">
          <reference field="0" count="1" selected="0">
            <x v="33"/>
          </reference>
          <reference field="1" count="1" selected="0">
            <x v="1119"/>
          </reference>
          <reference field="2" count="1">
            <x v="26"/>
          </reference>
        </references>
      </pivotArea>
    </format>
    <format dxfId="198">
      <pivotArea dataOnly="0" labelOnly="1" fieldPosition="0">
        <references count="3">
          <reference field="0" count="1" selected="0">
            <x v="33"/>
          </reference>
          <reference field="1" count="1" selected="0">
            <x v="1184"/>
          </reference>
          <reference field="2" count="1">
            <x v="11"/>
          </reference>
        </references>
      </pivotArea>
    </format>
    <format dxfId="197">
      <pivotArea dataOnly="0" labelOnly="1" fieldPosition="0">
        <references count="3">
          <reference field="0" count="1" selected="0">
            <x v="33"/>
          </reference>
          <reference field="1" count="1" selected="0">
            <x v="1264"/>
          </reference>
          <reference field="2" count="1">
            <x v="7"/>
          </reference>
        </references>
      </pivotArea>
    </format>
    <format dxfId="196">
      <pivotArea dataOnly="0" labelOnly="1" fieldPosition="0">
        <references count="3">
          <reference field="0" count="1" selected="0">
            <x v="32"/>
          </reference>
          <reference field="1" count="1" selected="0">
            <x v="352"/>
          </reference>
          <reference field="2" count="1">
            <x v="1"/>
          </reference>
        </references>
      </pivotArea>
    </format>
    <format dxfId="195">
      <pivotArea dataOnly="0" labelOnly="1" fieldPosition="0">
        <references count="3">
          <reference field="0" count="1" selected="0">
            <x v="32"/>
          </reference>
          <reference field="1" count="1" selected="0">
            <x v="496"/>
          </reference>
          <reference field="2" count="1">
            <x v="17"/>
          </reference>
        </references>
      </pivotArea>
    </format>
    <format dxfId="194">
      <pivotArea dataOnly="0" labelOnly="1" fieldPosition="0">
        <references count="3">
          <reference field="0" count="1" selected="0">
            <x v="32"/>
          </reference>
          <reference field="1" count="1" selected="0">
            <x v="796"/>
          </reference>
          <reference field="2" count="1">
            <x v="28"/>
          </reference>
        </references>
      </pivotArea>
    </format>
    <format dxfId="193">
      <pivotArea dataOnly="0" labelOnly="1" fieldPosition="0">
        <references count="3">
          <reference field="0" count="1" selected="0">
            <x v="32"/>
          </reference>
          <reference field="1" count="1" selected="0">
            <x v="963"/>
          </reference>
          <reference field="2" count="1">
            <x v="7"/>
          </reference>
        </references>
      </pivotArea>
    </format>
    <format dxfId="192">
      <pivotArea dataOnly="0" labelOnly="1" fieldPosition="0">
        <references count="3">
          <reference field="0" count="1" selected="0">
            <x v="32"/>
          </reference>
          <reference field="1" count="1" selected="0">
            <x v="974"/>
          </reference>
          <reference field="2" count="1">
            <x v="20"/>
          </reference>
        </references>
      </pivotArea>
    </format>
    <format dxfId="191">
      <pivotArea dataOnly="0" labelOnly="1" fieldPosition="0">
        <references count="3">
          <reference field="0" count="1" selected="0">
            <x v="32"/>
          </reference>
          <reference field="1" count="1" selected="0">
            <x v="1236"/>
          </reference>
          <reference field="2" count="1">
            <x v="12"/>
          </reference>
        </references>
      </pivotArea>
    </format>
    <format dxfId="190">
      <pivotArea dataOnly="0" labelOnly="1" fieldPosition="0">
        <references count="3">
          <reference field="0" count="1" selected="0">
            <x v="32"/>
          </reference>
          <reference field="1" count="1" selected="0">
            <x v="1246"/>
          </reference>
          <reference field="2" count="1">
            <x v="4"/>
          </reference>
        </references>
      </pivotArea>
    </format>
    <format dxfId="189">
      <pivotArea dataOnly="0" labelOnly="1" fieldPosition="0">
        <references count="3">
          <reference field="0" count="1" selected="0">
            <x v="32"/>
          </reference>
          <reference field="1" count="1" selected="0">
            <x v="1269"/>
          </reference>
          <reference field="2" count="1">
            <x v="2"/>
          </reference>
        </references>
      </pivotArea>
    </format>
    <format dxfId="188">
      <pivotArea dataOnly="0" labelOnly="1" fieldPosition="0">
        <references count="3">
          <reference field="0" count="1" selected="0">
            <x v="31"/>
          </reference>
          <reference field="1" count="1" selected="0">
            <x v="172"/>
          </reference>
          <reference field="2" count="1">
            <x v="0"/>
          </reference>
        </references>
      </pivotArea>
    </format>
    <format dxfId="187">
      <pivotArea dataOnly="0" labelOnly="1" fieldPosition="0">
        <references count="3">
          <reference field="0" count="1" selected="0">
            <x v="31"/>
          </reference>
          <reference field="1" count="1" selected="0">
            <x v="188"/>
          </reference>
          <reference field="2" count="1">
            <x v="13"/>
          </reference>
        </references>
      </pivotArea>
    </format>
    <format dxfId="186">
      <pivotArea dataOnly="0" labelOnly="1" fieldPosition="0">
        <references count="3">
          <reference field="0" count="1" selected="0">
            <x v="31"/>
          </reference>
          <reference field="1" count="1" selected="0">
            <x v="227"/>
          </reference>
          <reference field="2" count="1">
            <x v="10"/>
          </reference>
        </references>
      </pivotArea>
    </format>
    <format dxfId="185">
      <pivotArea dataOnly="0" labelOnly="1" fieldPosition="0">
        <references count="3">
          <reference field="0" count="1" selected="0">
            <x v="31"/>
          </reference>
          <reference field="1" count="1" selected="0">
            <x v="596"/>
          </reference>
          <reference field="2" count="1">
            <x v="7"/>
          </reference>
        </references>
      </pivotArea>
    </format>
    <format dxfId="184">
      <pivotArea dataOnly="0" labelOnly="1" fieldPosition="0">
        <references count="3">
          <reference field="0" count="1" selected="0">
            <x v="31"/>
          </reference>
          <reference field="1" count="1" selected="0">
            <x v="769"/>
          </reference>
          <reference field="2" count="1">
            <x v="17"/>
          </reference>
        </references>
      </pivotArea>
    </format>
    <format dxfId="183">
      <pivotArea dataOnly="0" labelOnly="1" fieldPosition="0">
        <references count="3">
          <reference field="0" count="1" selected="0">
            <x v="31"/>
          </reference>
          <reference field="1" count="1" selected="0">
            <x v="846"/>
          </reference>
          <reference field="2" count="1">
            <x v="18"/>
          </reference>
        </references>
      </pivotArea>
    </format>
    <format dxfId="182">
      <pivotArea dataOnly="0" labelOnly="1" fieldPosition="0">
        <references count="3">
          <reference field="0" count="1" selected="0">
            <x v="31"/>
          </reference>
          <reference field="1" count="1" selected="0">
            <x v="944"/>
          </reference>
          <reference field="2" count="1">
            <x v="25"/>
          </reference>
        </references>
      </pivotArea>
    </format>
    <format dxfId="181">
      <pivotArea dataOnly="0" labelOnly="1" fieldPosition="0">
        <references count="3">
          <reference field="0" count="1" selected="0">
            <x v="31"/>
          </reference>
          <reference field="1" count="1" selected="0">
            <x v="1282"/>
          </reference>
          <reference field="2" count="1">
            <x v="16"/>
          </reference>
        </references>
      </pivotArea>
    </format>
    <format dxfId="180">
      <pivotArea dataOnly="0" labelOnly="1" fieldPosition="0">
        <references count="3">
          <reference field="0" count="1" selected="0">
            <x v="30"/>
          </reference>
          <reference field="1" count="1" selected="0">
            <x v="208"/>
          </reference>
          <reference field="2" count="1">
            <x v="22"/>
          </reference>
        </references>
      </pivotArea>
    </format>
    <format dxfId="179">
      <pivotArea dataOnly="0" labelOnly="1" fieldPosition="0">
        <references count="3">
          <reference field="0" count="1" selected="0">
            <x v="30"/>
          </reference>
          <reference field="1" count="1" selected="0">
            <x v="304"/>
          </reference>
          <reference field="2" count="1">
            <x v="1"/>
          </reference>
        </references>
      </pivotArea>
    </format>
    <format dxfId="178">
      <pivotArea dataOnly="0" labelOnly="1" fieldPosition="0">
        <references count="3">
          <reference field="0" count="1" selected="0">
            <x v="30"/>
          </reference>
          <reference field="1" count="1" selected="0">
            <x v="335"/>
          </reference>
          <reference field="2" count="1">
            <x v="1"/>
          </reference>
        </references>
      </pivotArea>
    </format>
    <format dxfId="177">
      <pivotArea dataOnly="0" labelOnly="1" fieldPosition="0">
        <references count="3">
          <reference field="0" count="1" selected="0">
            <x v="30"/>
          </reference>
          <reference field="1" count="1" selected="0">
            <x v="1304"/>
          </reference>
          <reference field="2" count="1">
            <x v="10"/>
          </reference>
        </references>
      </pivotArea>
    </format>
    <format dxfId="176">
      <pivotArea dataOnly="0" labelOnly="1" fieldPosition="0">
        <references count="3">
          <reference field="0" count="1" selected="0">
            <x v="29"/>
          </reference>
          <reference field="1" count="1" selected="0">
            <x v="169"/>
          </reference>
          <reference field="2" count="1">
            <x v="0"/>
          </reference>
        </references>
      </pivotArea>
    </format>
    <format dxfId="175">
      <pivotArea dataOnly="0" labelOnly="1" fieldPosition="0">
        <references count="3">
          <reference field="0" count="1" selected="0">
            <x v="29"/>
          </reference>
          <reference field="1" count="1" selected="0">
            <x v="710"/>
          </reference>
          <reference field="2" count="1">
            <x v="2"/>
          </reference>
        </references>
      </pivotArea>
    </format>
    <format dxfId="174">
      <pivotArea dataOnly="0" labelOnly="1" fieldPosition="0">
        <references count="3">
          <reference field="0" count="1" selected="0">
            <x v="29"/>
          </reference>
          <reference field="1" count="1" selected="0">
            <x v="813"/>
          </reference>
          <reference field="2" count="1">
            <x v="15"/>
          </reference>
        </references>
      </pivotArea>
    </format>
    <format dxfId="173">
      <pivotArea dataOnly="0" labelOnly="1" fieldPosition="0">
        <references count="3">
          <reference field="0" count="1" selected="0">
            <x v="29"/>
          </reference>
          <reference field="1" count="1" selected="0">
            <x v="1127"/>
          </reference>
          <reference field="2" count="1">
            <x v="9"/>
          </reference>
        </references>
      </pivotArea>
    </format>
    <format dxfId="172">
      <pivotArea dataOnly="0" labelOnly="1" fieldPosition="0">
        <references count="3">
          <reference field="0" count="1" selected="0">
            <x v="29"/>
          </reference>
          <reference field="1" count="1" selected="0">
            <x v="1130"/>
          </reference>
          <reference field="2" count="1">
            <x v="9"/>
          </reference>
        </references>
      </pivotArea>
    </format>
    <format dxfId="171">
      <pivotArea dataOnly="0" labelOnly="1" fieldPosition="0">
        <references count="3">
          <reference field="0" count="1" selected="0">
            <x v="29"/>
          </reference>
          <reference field="1" count="1" selected="0">
            <x v="1185"/>
          </reference>
          <reference field="2" count="1">
            <x v="11"/>
          </reference>
        </references>
      </pivotArea>
    </format>
    <format dxfId="170">
      <pivotArea dataOnly="0" labelOnly="1" fieldPosition="0">
        <references count="3">
          <reference field="0" count="1" selected="0">
            <x v="29"/>
          </reference>
          <reference field="1" count="1" selected="0">
            <x v="1241"/>
          </reference>
          <reference field="2" count="1">
            <x v="2"/>
          </reference>
        </references>
      </pivotArea>
    </format>
    <format dxfId="169">
      <pivotArea dataOnly="0" labelOnly="1" fieldPosition="0">
        <references count="3">
          <reference field="0" count="1" selected="0">
            <x v="29"/>
          </reference>
          <reference field="1" count="1" selected="0">
            <x v="1248"/>
          </reference>
          <reference field="2" count="1">
            <x v="24"/>
          </reference>
        </references>
      </pivotArea>
    </format>
    <format dxfId="168">
      <pivotArea dataOnly="0" labelOnly="1" fieldPosition="0">
        <references count="3">
          <reference field="0" count="1" selected="0">
            <x v="29"/>
          </reference>
          <reference field="1" count="1" selected="0">
            <x v="1277"/>
          </reference>
          <reference field="2" count="1">
            <x v="27"/>
          </reference>
        </references>
      </pivotArea>
    </format>
    <format dxfId="167">
      <pivotArea dataOnly="0" labelOnly="1" fieldPosition="0">
        <references count="3">
          <reference field="0" count="1" selected="0">
            <x v="28"/>
          </reference>
          <reference field="1" count="1" selected="0">
            <x v="218"/>
          </reference>
          <reference field="2" count="1">
            <x v="24"/>
          </reference>
        </references>
      </pivotArea>
    </format>
    <format dxfId="166">
      <pivotArea dataOnly="0" labelOnly="1" fieldPosition="0">
        <references count="3">
          <reference field="0" count="1" selected="0">
            <x v="28"/>
          </reference>
          <reference field="1" count="1" selected="0">
            <x v="643"/>
          </reference>
          <reference field="2" count="1">
            <x v="7"/>
          </reference>
        </references>
      </pivotArea>
    </format>
    <format dxfId="165">
      <pivotArea dataOnly="0" labelOnly="1" fieldPosition="0">
        <references count="3">
          <reference field="0" count="1" selected="0">
            <x v="28"/>
          </reference>
          <reference field="1" count="1" selected="0">
            <x v="744"/>
          </reference>
          <reference field="2" count="1">
            <x v="4"/>
          </reference>
        </references>
      </pivotArea>
    </format>
    <format dxfId="164">
      <pivotArea dataOnly="0" labelOnly="1" fieldPosition="0">
        <references count="3">
          <reference field="0" count="1" selected="0">
            <x v="28"/>
          </reference>
          <reference field="1" count="1" selected="0">
            <x v="758"/>
          </reference>
          <reference field="2" count="1">
            <x v="27"/>
          </reference>
        </references>
      </pivotArea>
    </format>
    <format dxfId="163">
      <pivotArea dataOnly="0" labelOnly="1" fieldPosition="0">
        <references count="3">
          <reference field="0" count="1" selected="0">
            <x v="28"/>
          </reference>
          <reference field="1" count="1" selected="0">
            <x v="1011"/>
          </reference>
          <reference field="2" count="1">
            <x v="19"/>
          </reference>
        </references>
      </pivotArea>
    </format>
    <format dxfId="162">
      <pivotArea dataOnly="0" labelOnly="1" fieldPosition="0">
        <references count="3">
          <reference field="0" count="1" selected="0">
            <x v="28"/>
          </reference>
          <reference field="1" count="1" selected="0">
            <x v="1083"/>
          </reference>
          <reference field="2" count="1">
            <x v="28"/>
          </reference>
        </references>
      </pivotArea>
    </format>
    <format dxfId="161">
      <pivotArea dataOnly="0" labelOnly="1" fieldPosition="0">
        <references count="3">
          <reference field="0" count="1" selected="0">
            <x v="27"/>
          </reference>
          <reference field="1" count="1" selected="0">
            <x v="676"/>
          </reference>
          <reference field="2" count="1">
            <x v="2"/>
          </reference>
        </references>
      </pivotArea>
    </format>
    <format dxfId="160">
      <pivotArea dataOnly="0" labelOnly="1" fieldPosition="0">
        <references count="3">
          <reference field="0" count="1" selected="0">
            <x v="27"/>
          </reference>
          <reference field="1" count="1" selected="0">
            <x v="764"/>
          </reference>
          <reference field="2" count="1">
            <x v="19"/>
          </reference>
        </references>
      </pivotArea>
    </format>
    <format dxfId="159">
      <pivotArea dataOnly="0" labelOnly="1" fieldPosition="0">
        <references count="3">
          <reference field="0" count="1" selected="0">
            <x v="27"/>
          </reference>
          <reference field="1" count="1" selected="0">
            <x v="815"/>
          </reference>
          <reference field="2" count="1">
            <x v="20"/>
          </reference>
        </references>
      </pivotArea>
    </format>
    <format dxfId="158">
      <pivotArea dataOnly="0" labelOnly="1" fieldPosition="0">
        <references count="3">
          <reference field="0" count="1" selected="0">
            <x v="27"/>
          </reference>
          <reference field="1" count="1" selected="0">
            <x v="842"/>
          </reference>
          <reference field="2" count="1">
            <x v="24"/>
          </reference>
        </references>
      </pivotArea>
    </format>
    <format dxfId="157">
      <pivotArea dataOnly="0" labelOnly="1" fieldPosition="0">
        <references count="3">
          <reference field="0" count="1" selected="0">
            <x v="27"/>
          </reference>
          <reference field="1" count="1" selected="0">
            <x v="949"/>
          </reference>
          <reference field="2" count="1">
            <x v="25"/>
          </reference>
        </references>
      </pivotArea>
    </format>
    <format dxfId="156">
      <pivotArea dataOnly="0" labelOnly="1" fieldPosition="0">
        <references count="3">
          <reference field="0" count="1" selected="0">
            <x v="27"/>
          </reference>
          <reference field="1" count="1" selected="0">
            <x v="1204"/>
          </reference>
          <reference field="2" count="1">
            <x v="11"/>
          </reference>
        </references>
      </pivotArea>
    </format>
    <format dxfId="155">
      <pivotArea dataOnly="0" labelOnly="1" fieldPosition="0">
        <references count="3">
          <reference field="0" count="1" selected="0">
            <x v="26"/>
          </reference>
          <reference field="1" count="1" selected="0">
            <x v="1098"/>
          </reference>
          <reference field="2" count="1">
            <x v="26"/>
          </reference>
        </references>
      </pivotArea>
    </format>
    <format dxfId="154">
      <pivotArea dataOnly="0" labelOnly="1" fieldPosition="0">
        <references count="3">
          <reference field="0" count="1" selected="0">
            <x v="26"/>
          </reference>
          <reference field="1" count="1" selected="0">
            <x v="1206"/>
          </reference>
          <reference field="2" count="1">
            <x v="11"/>
          </reference>
        </references>
      </pivotArea>
    </format>
    <format dxfId="153">
      <pivotArea dataOnly="0" labelOnly="1" fieldPosition="0">
        <references count="3">
          <reference field="0" count="1" selected="0">
            <x v="25"/>
          </reference>
          <reference field="1" count="1" selected="0">
            <x v="448"/>
          </reference>
          <reference field="2" count="1">
            <x v="16"/>
          </reference>
        </references>
      </pivotArea>
    </format>
    <format dxfId="152">
      <pivotArea dataOnly="0" labelOnly="1" fieldPosition="0">
        <references count="3">
          <reference field="0" count="1" selected="0">
            <x v="25"/>
          </reference>
          <reference field="1" count="1" selected="0">
            <x v="683"/>
          </reference>
          <reference field="2" count="1">
            <x v="2"/>
          </reference>
        </references>
      </pivotArea>
    </format>
    <format dxfId="151">
      <pivotArea dataOnly="0" labelOnly="1" fieldPosition="0">
        <references count="3">
          <reference field="0" count="1" selected="0">
            <x v="25"/>
          </reference>
          <reference field="1" count="1" selected="0">
            <x v="686"/>
          </reference>
          <reference field="2" count="1">
            <x v="27"/>
          </reference>
        </references>
      </pivotArea>
    </format>
    <format dxfId="150">
      <pivotArea dataOnly="0" labelOnly="1" fieldPosition="0">
        <references count="3">
          <reference field="0" count="1" selected="0">
            <x v="25"/>
          </reference>
          <reference field="1" count="1" selected="0">
            <x v="909"/>
          </reference>
          <reference field="2" count="1">
            <x v="7"/>
          </reference>
        </references>
      </pivotArea>
    </format>
    <format dxfId="149">
      <pivotArea dataOnly="0" labelOnly="1" fieldPosition="0">
        <references count="3">
          <reference field="0" count="1" selected="0">
            <x v="25"/>
          </reference>
          <reference field="1" count="1" selected="0">
            <x v="1015"/>
          </reference>
          <reference field="2" count="1">
            <x v="24"/>
          </reference>
        </references>
      </pivotArea>
    </format>
    <format dxfId="148">
      <pivotArea dataOnly="0" labelOnly="1" fieldPosition="0">
        <references count="3">
          <reference field="0" count="1" selected="0">
            <x v="25"/>
          </reference>
          <reference field="1" count="1" selected="0">
            <x v="1041"/>
          </reference>
          <reference field="2" count="1">
            <x v="4"/>
          </reference>
        </references>
      </pivotArea>
    </format>
    <format dxfId="147">
      <pivotArea dataOnly="0" labelOnly="1" fieldPosition="0">
        <references count="3">
          <reference field="0" count="1" selected="0">
            <x v="25"/>
          </reference>
          <reference field="1" count="1" selected="0">
            <x v="1191"/>
          </reference>
          <reference field="2" count="1">
            <x v="11"/>
          </reference>
        </references>
      </pivotArea>
    </format>
    <format dxfId="146">
      <pivotArea dataOnly="0" labelOnly="1" fieldPosition="0">
        <references count="3">
          <reference field="0" count="1" selected="0">
            <x v="25"/>
          </reference>
          <reference field="1" count="1" selected="0">
            <x v="1276"/>
          </reference>
          <reference field="2" count="1">
            <x v="4"/>
          </reference>
        </references>
      </pivotArea>
    </format>
    <format dxfId="145">
      <pivotArea dataOnly="0" labelOnly="1" fieldPosition="0">
        <references count="3">
          <reference field="0" count="1" selected="0">
            <x v="24"/>
          </reference>
          <reference field="1" count="1" selected="0">
            <x v="681"/>
          </reference>
          <reference field="2" count="1">
            <x v="2"/>
          </reference>
        </references>
      </pivotArea>
    </format>
    <format dxfId="144">
      <pivotArea dataOnly="0" labelOnly="1" fieldPosition="0">
        <references count="3">
          <reference field="0" count="1" selected="0">
            <x v="24"/>
          </reference>
          <reference field="1" count="1" selected="0">
            <x v="961"/>
          </reference>
          <reference field="2" count="1">
            <x v="17"/>
          </reference>
        </references>
      </pivotArea>
    </format>
    <format dxfId="143">
      <pivotArea dataOnly="0" labelOnly="1" fieldPosition="0">
        <references count="3">
          <reference field="0" count="1" selected="0">
            <x v="24"/>
          </reference>
          <reference field="1" count="1" selected="0">
            <x v="1260"/>
          </reference>
          <reference field="2" count="1">
            <x v="28"/>
          </reference>
        </references>
      </pivotArea>
    </format>
    <format dxfId="142">
      <pivotArea dataOnly="0" labelOnly="1" fieldPosition="0">
        <references count="3">
          <reference field="0" count="1" selected="0">
            <x v="23"/>
          </reference>
          <reference field="1" count="1" selected="0">
            <x v="848"/>
          </reference>
          <reference field="2" count="1">
            <x v="18"/>
          </reference>
        </references>
      </pivotArea>
    </format>
    <format dxfId="141">
      <pivotArea dataOnly="0" labelOnly="1" fieldPosition="0">
        <references count="3">
          <reference field="0" count="1" selected="0">
            <x v="23"/>
          </reference>
          <reference field="1" count="1" selected="0">
            <x v="921"/>
          </reference>
          <reference field="2" count="1">
            <x v="17"/>
          </reference>
        </references>
      </pivotArea>
    </format>
    <format dxfId="140">
      <pivotArea dataOnly="0" labelOnly="1" fieldPosition="0">
        <references count="3">
          <reference field="0" count="1" selected="0">
            <x v="23"/>
          </reference>
          <reference field="1" count="1" selected="0">
            <x v="1009"/>
          </reference>
          <reference field="2" count="1">
            <x v="18"/>
          </reference>
        </references>
      </pivotArea>
    </format>
    <format dxfId="139">
      <pivotArea dataOnly="0" labelOnly="1" fieldPosition="0">
        <references count="3">
          <reference field="0" count="1" selected="0">
            <x v="23"/>
          </reference>
          <reference field="1" count="1" selected="0">
            <x v="1129"/>
          </reference>
          <reference field="2" count="1">
            <x v="9"/>
          </reference>
        </references>
      </pivotArea>
    </format>
    <format dxfId="138">
      <pivotArea dataOnly="0" labelOnly="1" fieldPosition="0">
        <references count="3">
          <reference field="0" count="1" selected="0">
            <x v="23"/>
          </reference>
          <reference field="1" count="1" selected="0">
            <x v="1182"/>
          </reference>
          <reference field="2" count="1">
            <x v="11"/>
          </reference>
        </references>
      </pivotArea>
    </format>
    <format dxfId="137">
      <pivotArea dataOnly="0" labelOnly="1" fieldPosition="0">
        <references count="3">
          <reference field="0" count="1" selected="0">
            <x v="23"/>
          </reference>
          <reference field="1" count="1" selected="0">
            <x v="1283"/>
          </reference>
          <reference field="2" count="1">
            <x v="16"/>
          </reference>
        </references>
      </pivotArea>
    </format>
    <format dxfId="136">
      <pivotArea dataOnly="0" labelOnly="1" fieldPosition="0">
        <references count="3">
          <reference field="0" count="1" selected="0">
            <x v="22"/>
          </reference>
          <reference field="1" count="1" selected="0">
            <x v="130"/>
          </reference>
          <reference field="2" count="1">
            <x v="12"/>
          </reference>
        </references>
      </pivotArea>
    </format>
    <format dxfId="135">
      <pivotArea dataOnly="0" labelOnly="1" fieldPosition="0">
        <references count="3">
          <reference field="0" count="1" selected="0">
            <x v="22"/>
          </reference>
          <reference field="1" count="1" selected="0">
            <x v="682"/>
          </reference>
          <reference field="2" count="1">
            <x v="2"/>
          </reference>
        </references>
      </pivotArea>
    </format>
    <format dxfId="134">
      <pivotArea dataOnly="0" labelOnly="1" fieldPosition="0">
        <references count="3">
          <reference field="0" count="1" selected="0">
            <x v="22"/>
          </reference>
          <reference field="1" count="1" selected="0">
            <x v="684"/>
          </reference>
          <reference field="2" count="1">
            <x v="21"/>
          </reference>
        </references>
      </pivotArea>
    </format>
    <format dxfId="133">
      <pivotArea dataOnly="0" labelOnly="1" fieldPosition="0">
        <references count="3">
          <reference field="0" count="1" selected="0">
            <x v="22"/>
          </reference>
          <reference field="1" count="1" selected="0">
            <x v="685"/>
          </reference>
          <reference field="2" count="1">
            <x v="27"/>
          </reference>
        </references>
      </pivotArea>
    </format>
    <format dxfId="132">
      <pivotArea dataOnly="0" labelOnly="1" fieldPosition="0">
        <references count="3">
          <reference field="0" count="1" selected="0">
            <x v="21"/>
          </reference>
          <reference field="1" count="1" selected="0">
            <x v="127"/>
          </reference>
          <reference field="2" count="1">
            <x v="12"/>
          </reference>
        </references>
      </pivotArea>
    </format>
    <format dxfId="131">
      <pivotArea dataOnly="0" labelOnly="1" fieldPosition="0">
        <references count="3">
          <reference field="0" count="1" selected="0">
            <x v="21"/>
          </reference>
          <reference field="1" count="1" selected="0">
            <x v="408"/>
          </reference>
          <reference field="2" count="1">
            <x v="22"/>
          </reference>
        </references>
      </pivotArea>
    </format>
    <format dxfId="130">
      <pivotArea dataOnly="0" labelOnly="1" fieldPosition="0">
        <references count="3">
          <reference field="0" count="1" selected="0">
            <x v="21"/>
          </reference>
          <reference field="1" count="1" selected="0">
            <x v="821"/>
          </reference>
          <reference field="2" count="1">
            <x v="21"/>
          </reference>
        </references>
      </pivotArea>
    </format>
    <format dxfId="129">
      <pivotArea dataOnly="0" labelOnly="1" fieldPosition="0">
        <references count="3">
          <reference field="0" count="1" selected="0">
            <x v="21"/>
          </reference>
          <reference field="1" count="1" selected="0">
            <x v="912"/>
          </reference>
          <reference field="2" count="1">
            <x v="15"/>
          </reference>
        </references>
      </pivotArea>
    </format>
    <format dxfId="128">
      <pivotArea dataOnly="0" labelOnly="1" fieldPosition="0">
        <references count="3">
          <reference field="0" count="1" selected="0">
            <x v="21"/>
          </reference>
          <reference field="1" count="1" selected="0">
            <x v="1029"/>
          </reference>
          <reference field="2" count="1">
            <x v="17"/>
          </reference>
        </references>
      </pivotArea>
    </format>
    <format dxfId="127">
      <pivotArea dataOnly="0" labelOnly="1" fieldPosition="0">
        <references count="3">
          <reference field="0" count="1" selected="0">
            <x v="21"/>
          </reference>
          <reference field="1" count="1" selected="0">
            <x v="1177"/>
          </reference>
          <reference field="2" count="1">
            <x v="11"/>
          </reference>
        </references>
      </pivotArea>
    </format>
    <format dxfId="126">
      <pivotArea dataOnly="0" labelOnly="1" fieldPosition="0">
        <references count="3">
          <reference field="0" count="1" selected="0">
            <x v="21"/>
          </reference>
          <reference field="1" count="1" selected="0">
            <x v="1252"/>
          </reference>
          <reference field="2" count="1">
            <x v="19"/>
          </reference>
        </references>
      </pivotArea>
    </format>
    <format dxfId="125">
      <pivotArea dataOnly="0" labelOnly="1" fieldPosition="0">
        <references count="3">
          <reference field="0" count="1" selected="0">
            <x v="21"/>
          </reference>
          <reference field="1" count="1" selected="0">
            <x v="1298"/>
          </reference>
          <reference field="2" count="1">
            <x v="22"/>
          </reference>
        </references>
      </pivotArea>
    </format>
    <format dxfId="124">
      <pivotArea dataOnly="0" labelOnly="1" fieldPosition="0">
        <references count="3">
          <reference field="0" count="1" selected="0">
            <x v="20"/>
          </reference>
          <reference field="1" count="1" selected="0">
            <x v="562"/>
          </reference>
          <reference field="2" count="1">
            <x v="5"/>
          </reference>
        </references>
      </pivotArea>
    </format>
    <format dxfId="123">
      <pivotArea dataOnly="0" labelOnly="1" fieldPosition="0">
        <references count="3">
          <reference field="0" count="1" selected="0">
            <x v="20"/>
          </reference>
          <reference field="1" count="1" selected="0">
            <x v="679"/>
          </reference>
          <reference field="2" count="1">
            <x v="2"/>
          </reference>
        </references>
      </pivotArea>
    </format>
    <format dxfId="122">
      <pivotArea dataOnly="0" labelOnly="1" fieldPosition="0">
        <references count="3">
          <reference field="0" count="1" selected="0">
            <x v="20"/>
          </reference>
          <reference field="1" count="1" selected="0">
            <x v="702"/>
          </reference>
          <reference field="2" count="1">
            <x v="17"/>
          </reference>
        </references>
      </pivotArea>
    </format>
    <format dxfId="121">
      <pivotArea dataOnly="0" labelOnly="1" fieldPosition="0">
        <references count="3">
          <reference field="0" count="1" selected="0">
            <x v="20"/>
          </reference>
          <reference field="1" count="1" selected="0">
            <x v="766"/>
          </reference>
          <reference field="2" count="1">
            <x v="5"/>
          </reference>
        </references>
      </pivotArea>
    </format>
    <format dxfId="120">
      <pivotArea dataOnly="0" labelOnly="1" fieldPosition="0">
        <references count="3">
          <reference field="0" count="1" selected="0">
            <x v="20"/>
          </reference>
          <reference field="1" count="1" selected="0">
            <x v="874"/>
          </reference>
          <reference field="2" count="1">
            <x v="19"/>
          </reference>
        </references>
      </pivotArea>
    </format>
    <format dxfId="119">
      <pivotArea dataOnly="0" labelOnly="1" fieldPosition="0">
        <references count="3">
          <reference field="0" count="1" selected="0">
            <x v="20"/>
          </reference>
          <reference field="1" count="1" selected="0">
            <x v="933"/>
          </reference>
          <reference field="2" count="1">
            <x v="15"/>
          </reference>
        </references>
      </pivotArea>
    </format>
    <format dxfId="118">
      <pivotArea dataOnly="0" labelOnly="1" fieldPosition="0">
        <references count="3">
          <reference field="0" count="1" selected="0">
            <x v="20"/>
          </reference>
          <reference field="1" count="1" selected="0">
            <x v="1082"/>
          </reference>
          <reference field="2" count="1">
            <x v="28"/>
          </reference>
        </references>
      </pivotArea>
    </format>
    <format dxfId="117">
      <pivotArea dataOnly="0" labelOnly="1" fieldPosition="0">
        <references count="3">
          <reference field="0" count="1" selected="0">
            <x v="20"/>
          </reference>
          <reference field="1" count="1" selected="0">
            <x v="1251"/>
          </reference>
          <reference field="2" count="1">
            <x v="29"/>
          </reference>
        </references>
      </pivotArea>
    </format>
    <format dxfId="116">
      <pivotArea dataOnly="0" labelOnly="1" fieldPosition="0">
        <references count="3">
          <reference field="0" count="1" selected="0">
            <x v="19"/>
          </reference>
          <reference field="1" count="1" selected="0">
            <x v="388"/>
          </reference>
          <reference field="2" count="1">
            <x v="13"/>
          </reference>
        </references>
      </pivotArea>
    </format>
    <format dxfId="115">
      <pivotArea dataOnly="0" labelOnly="1" fieldPosition="0">
        <references count="3">
          <reference field="0" count="1" selected="0">
            <x v="19"/>
          </reference>
          <reference field="1" count="1" selected="0">
            <x v="394"/>
          </reference>
          <reference field="2" count="1">
            <x v="10"/>
          </reference>
        </references>
      </pivotArea>
    </format>
    <format dxfId="114">
      <pivotArea dataOnly="0" labelOnly="1" fieldPosition="0">
        <references count="3">
          <reference field="0" count="1" selected="0">
            <x v="19"/>
          </reference>
          <reference field="1" count="1" selected="0">
            <x v="617"/>
          </reference>
          <reference field="2" count="1">
            <x v="16"/>
          </reference>
        </references>
      </pivotArea>
    </format>
    <format dxfId="113">
      <pivotArea dataOnly="0" labelOnly="1" fieldPosition="0">
        <references count="3">
          <reference field="0" count="1" selected="0">
            <x v="19"/>
          </reference>
          <reference field="1" count="1" selected="0">
            <x v="778"/>
          </reference>
          <reference field="2" count="1">
            <x v="29"/>
          </reference>
        </references>
      </pivotArea>
    </format>
    <format dxfId="112">
      <pivotArea dataOnly="0" labelOnly="1" fieldPosition="0">
        <references count="3">
          <reference field="0" count="1" selected="0">
            <x v="19"/>
          </reference>
          <reference field="1" count="1" selected="0">
            <x v="814"/>
          </reference>
          <reference field="2" count="1">
            <x v="6"/>
          </reference>
        </references>
      </pivotArea>
    </format>
    <format dxfId="111">
      <pivotArea dataOnly="0" labelOnly="1" fieldPosition="0">
        <references count="3">
          <reference field="0" count="1" selected="0">
            <x v="19"/>
          </reference>
          <reference field="1" count="1" selected="0">
            <x v="1056"/>
          </reference>
          <reference field="2" count="1">
            <x v="14"/>
          </reference>
        </references>
      </pivotArea>
    </format>
    <format dxfId="110">
      <pivotArea dataOnly="0" labelOnly="1" fieldPosition="0">
        <references count="3">
          <reference field="0" count="1" selected="0">
            <x v="19"/>
          </reference>
          <reference field="1" count="1" selected="0">
            <x v="1080"/>
          </reference>
          <reference field="2" count="1">
            <x v="2"/>
          </reference>
        </references>
      </pivotArea>
    </format>
    <format dxfId="109">
      <pivotArea dataOnly="0" labelOnly="1" fieldPosition="0">
        <references count="3">
          <reference field="0" count="1" selected="0">
            <x v="19"/>
          </reference>
          <reference field="1" count="1" selected="0">
            <x v="1154"/>
          </reference>
          <reference field="2" count="1">
            <x v="9"/>
          </reference>
        </references>
      </pivotArea>
    </format>
    <format dxfId="108">
      <pivotArea dataOnly="0" labelOnly="1" fieldPosition="0">
        <references count="3">
          <reference field="0" count="1" selected="0">
            <x v="19"/>
          </reference>
          <reference field="1" count="1" selected="0">
            <x v="1310"/>
          </reference>
          <reference field="2" count="1">
            <x v="13"/>
          </reference>
        </references>
      </pivotArea>
    </format>
    <format dxfId="107">
      <pivotArea dataOnly="0" labelOnly="1" fieldPosition="0">
        <references count="3">
          <reference field="0" count="1" selected="0">
            <x v="18"/>
          </reference>
          <reference field="1" count="1" selected="0">
            <x v="380"/>
          </reference>
          <reference field="2" count="1">
            <x v="12"/>
          </reference>
        </references>
      </pivotArea>
    </format>
    <format dxfId="106">
      <pivotArea dataOnly="0" labelOnly="1" fieldPosition="0">
        <references count="3">
          <reference field="0" count="1" selected="0">
            <x v="18"/>
          </reference>
          <reference field="1" count="1" selected="0">
            <x v="545"/>
          </reference>
          <reference field="2" count="1">
            <x v="25"/>
          </reference>
        </references>
      </pivotArea>
    </format>
    <format dxfId="105">
      <pivotArea dataOnly="0" labelOnly="1" fieldPosition="0">
        <references count="3">
          <reference field="0" count="1" selected="0">
            <x v="18"/>
          </reference>
          <reference field="1" count="1" selected="0">
            <x v="937"/>
          </reference>
          <reference field="2" count="1">
            <x v="24"/>
          </reference>
        </references>
      </pivotArea>
    </format>
    <format dxfId="104">
      <pivotArea dataOnly="0" labelOnly="1" fieldPosition="0">
        <references count="3">
          <reference field="0" count="1" selected="0">
            <x v="18"/>
          </reference>
          <reference field="1" count="1" selected="0">
            <x v="958"/>
          </reference>
          <reference field="2" count="1">
            <x v="16"/>
          </reference>
        </references>
      </pivotArea>
    </format>
    <format dxfId="103">
      <pivotArea dataOnly="0" labelOnly="1" fieldPosition="0">
        <references count="3">
          <reference field="0" count="1" selected="0">
            <x v="17"/>
          </reference>
          <reference field="1" count="1" selected="0">
            <x v="161"/>
          </reference>
          <reference field="2" count="1">
            <x v="0"/>
          </reference>
        </references>
      </pivotArea>
    </format>
    <format dxfId="102">
      <pivotArea dataOnly="0" labelOnly="1" fieldPosition="0">
        <references count="3">
          <reference field="0" count="1" selected="0">
            <x v="17"/>
          </reference>
          <reference field="1" count="1" selected="0">
            <x v="312"/>
          </reference>
          <reference field="2" count="1">
            <x v="1"/>
          </reference>
        </references>
      </pivotArea>
    </format>
    <format dxfId="101">
      <pivotArea dataOnly="0" labelOnly="1" fieldPosition="0">
        <references count="3">
          <reference field="0" count="1" selected="0">
            <x v="17"/>
          </reference>
          <reference field="1" count="1" selected="0">
            <x v="357"/>
          </reference>
          <reference field="2" count="1">
            <x v="1"/>
          </reference>
        </references>
      </pivotArea>
    </format>
    <format dxfId="100">
      <pivotArea dataOnly="0" labelOnly="1" fieldPosition="0">
        <references count="3">
          <reference field="0" count="1" selected="0">
            <x v="17"/>
          </reference>
          <reference field="1" count="1" selected="0">
            <x v="816"/>
          </reference>
          <reference field="2" count="1">
            <x v="7"/>
          </reference>
        </references>
      </pivotArea>
    </format>
    <format dxfId="99">
      <pivotArea dataOnly="0" labelOnly="1" fieldPosition="0">
        <references count="3">
          <reference field="0" count="1" selected="0">
            <x v="17"/>
          </reference>
          <reference field="1" count="1" selected="0">
            <x v="924"/>
          </reference>
          <reference field="2" count="1">
            <x v="21"/>
          </reference>
        </references>
      </pivotArea>
    </format>
    <format dxfId="98">
      <pivotArea dataOnly="0" labelOnly="1" fieldPosition="0">
        <references count="3">
          <reference field="0" count="1" selected="0">
            <x v="17"/>
          </reference>
          <reference field="1" count="1" selected="0">
            <x v="1199"/>
          </reference>
          <reference field="2" count="1">
            <x v="11"/>
          </reference>
        </references>
      </pivotArea>
    </format>
    <format dxfId="97">
      <pivotArea dataOnly="0" labelOnly="1" fieldPosition="0">
        <references count="3">
          <reference field="0" count="1" selected="0">
            <x v="16"/>
          </reference>
          <reference field="1" count="1" selected="0">
            <x v="96"/>
          </reference>
          <reference field="2" count="1">
            <x v="23"/>
          </reference>
        </references>
      </pivotArea>
    </format>
    <format dxfId="96">
      <pivotArea dataOnly="0" labelOnly="1" fieldPosition="0">
        <references count="3">
          <reference field="0" count="1" selected="0">
            <x v="16"/>
          </reference>
          <reference field="1" count="1" selected="0">
            <x v="419"/>
          </reference>
          <reference field="2" count="1">
            <x v="14"/>
          </reference>
        </references>
      </pivotArea>
    </format>
    <format dxfId="95">
      <pivotArea dataOnly="0" labelOnly="1" fieldPosition="0">
        <references count="3">
          <reference field="0" count="1" selected="0">
            <x v="16"/>
          </reference>
          <reference field="1" count="1" selected="0">
            <x v="521"/>
          </reference>
          <reference field="2" count="1">
            <x v="10"/>
          </reference>
        </references>
      </pivotArea>
    </format>
    <format dxfId="94">
      <pivotArea dataOnly="0" labelOnly="1" fieldPosition="0">
        <references count="3">
          <reference field="0" count="1" selected="0">
            <x v="16"/>
          </reference>
          <reference field="1" count="1" selected="0">
            <x v="876"/>
          </reference>
          <reference field="2" count="1">
            <x v="2"/>
          </reference>
        </references>
      </pivotArea>
    </format>
    <format dxfId="93">
      <pivotArea dataOnly="0" labelOnly="1" fieldPosition="0">
        <references count="3">
          <reference field="0" count="1" selected="0">
            <x v="16"/>
          </reference>
          <reference field="1" count="1" selected="0">
            <x v="1147"/>
          </reference>
          <reference field="2" count="1">
            <x v="9"/>
          </reference>
        </references>
      </pivotArea>
    </format>
    <format dxfId="92">
      <pivotArea dataOnly="0" labelOnly="1" fieldPosition="0">
        <references count="3">
          <reference field="0" count="1" selected="0">
            <x v="15"/>
          </reference>
          <reference field="1" count="1" selected="0">
            <x v="487"/>
          </reference>
          <reference field="2" count="1">
            <x v="5"/>
          </reference>
        </references>
      </pivotArea>
    </format>
    <format dxfId="91">
      <pivotArea dataOnly="0" labelOnly="1" fieldPosition="0">
        <references count="3">
          <reference field="0" count="1" selected="0">
            <x v="15"/>
          </reference>
          <reference field="1" count="1" selected="0">
            <x v="730"/>
          </reference>
          <reference field="2" count="1">
            <x v="5"/>
          </reference>
        </references>
      </pivotArea>
    </format>
    <format dxfId="90">
      <pivotArea dataOnly="0" labelOnly="1" fieldPosition="0">
        <references count="3">
          <reference field="0" count="1" selected="0">
            <x v="15"/>
          </reference>
          <reference field="1" count="1" selected="0">
            <x v="779"/>
          </reference>
          <reference field="2" count="1">
            <x v="24"/>
          </reference>
        </references>
      </pivotArea>
    </format>
    <format dxfId="89">
      <pivotArea dataOnly="0" labelOnly="1" fieldPosition="0">
        <references count="3">
          <reference field="0" count="1" selected="0">
            <x v="15"/>
          </reference>
          <reference field="1" count="1" selected="0">
            <x v="827"/>
          </reference>
          <reference field="2" count="1">
            <x v="7"/>
          </reference>
        </references>
      </pivotArea>
    </format>
    <format dxfId="88">
      <pivotArea dataOnly="0" labelOnly="1" fieldPosition="0">
        <references count="3">
          <reference field="0" count="1" selected="0">
            <x v="15"/>
          </reference>
          <reference field="1" count="1" selected="0">
            <x v="853"/>
          </reference>
          <reference field="2" count="1">
            <x v="21"/>
          </reference>
        </references>
      </pivotArea>
    </format>
    <format dxfId="87">
      <pivotArea dataOnly="0" labelOnly="1" fieldPosition="0">
        <references count="3">
          <reference field="0" count="1" selected="0">
            <x v="14"/>
          </reference>
          <reference field="1" count="1" selected="0">
            <x v="553"/>
          </reference>
          <reference field="2" count="1">
            <x v="25"/>
          </reference>
        </references>
      </pivotArea>
    </format>
    <format dxfId="86">
      <pivotArea dataOnly="0" labelOnly="1" fieldPosition="0">
        <references count="3">
          <reference field="0" count="1" selected="0">
            <x v="14"/>
          </reference>
          <reference field="1" count="1" selected="0">
            <x v="574"/>
          </reference>
          <reference field="2" count="1">
            <x v="27"/>
          </reference>
        </references>
      </pivotArea>
    </format>
    <format dxfId="85">
      <pivotArea dataOnly="0" labelOnly="1" fieldPosition="0">
        <references count="3">
          <reference field="0" count="1" selected="0">
            <x v="14"/>
          </reference>
          <reference field="1" count="1" selected="0">
            <x v="695"/>
          </reference>
          <reference field="2" count="1">
            <x v="19"/>
          </reference>
        </references>
      </pivotArea>
    </format>
    <format dxfId="84">
      <pivotArea dataOnly="0" labelOnly="1" fieldPosition="0">
        <references count="3">
          <reference field="0" count="1" selected="0">
            <x v="13"/>
          </reference>
          <reference field="1" count="1" selected="0">
            <x v="893"/>
          </reference>
          <reference field="2" count="1">
            <x v="24"/>
          </reference>
        </references>
      </pivotArea>
    </format>
    <format dxfId="83">
      <pivotArea dataOnly="0" labelOnly="1" fieldPosition="0">
        <references count="3">
          <reference field="0" count="1" selected="0">
            <x v="12"/>
          </reference>
          <reference field="1" count="1" selected="0">
            <x v="731"/>
          </reference>
          <reference field="2" count="1">
            <x v="5"/>
          </reference>
        </references>
      </pivotArea>
    </format>
    <format dxfId="82">
      <pivotArea dataOnly="0" labelOnly="1" fieldPosition="0">
        <references count="3">
          <reference field="0" count="1" selected="0">
            <x v="11"/>
          </reference>
          <reference field="1" count="1" selected="0">
            <x v="332"/>
          </reference>
          <reference field="2" count="1">
            <x v="1"/>
          </reference>
        </references>
      </pivotArea>
    </format>
    <format dxfId="81">
      <pivotArea dataOnly="0" labelOnly="1" fieldPosition="0">
        <references count="3">
          <reference field="0" count="1" selected="0">
            <x v="11"/>
          </reference>
          <reference field="1" count="1" selected="0">
            <x v="691"/>
          </reference>
          <reference field="2" count="1">
            <x v="23"/>
          </reference>
        </references>
      </pivotArea>
    </format>
    <format dxfId="80">
      <pivotArea dataOnly="0" labelOnly="1" fieldPosition="0">
        <references count="3">
          <reference field="0" count="1" selected="0">
            <x v="10"/>
          </reference>
          <reference field="1" count="1" selected="0">
            <x v="310"/>
          </reference>
          <reference field="2" count="1">
            <x v="1"/>
          </reference>
        </references>
      </pivotArea>
    </format>
    <format dxfId="79">
      <pivotArea dataOnly="0" labelOnly="1" fieldPosition="0">
        <references count="3">
          <reference field="0" count="1" selected="0">
            <x v="10"/>
          </reference>
          <reference field="1" count="1" selected="0">
            <x v="330"/>
          </reference>
          <reference field="2" count="1">
            <x v="1"/>
          </reference>
        </references>
      </pivotArea>
    </format>
    <format dxfId="78">
      <pivotArea dataOnly="0" labelOnly="1" fieldPosition="0">
        <references count="3">
          <reference field="0" count="1" selected="0">
            <x v="9"/>
          </reference>
          <reference field="1" count="1" selected="0">
            <x v="1242"/>
          </reference>
          <reference field="2" count="1">
            <x v="17"/>
          </reference>
        </references>
      </pivotArea>
    </format>
    <format dxfId="77">
      <pivotArea dataOnly="0" labelOnly="1" fieldPosition="0">
        <references count="3">
          <reference field="0" count="1" selected="0">
            <x v="8"/>
          </reference>
          <reference field="1" count="1" selected="0">
            <x v="1063"/>
          </reference>
          <reference field="2" count="1">
            <x v="22"/>
          </reference>
        </references>
      </pivotArea>
    </format>
    <format dxfId="76">
      <pivotArea dataOnly="0" labelOnly="1" fieldPosition="0">
        <references count="3">
          <reference field="0" count="1" selected="0">
            <x v="7"/>
          </reference>
          <reference field="1" count="1" selected="0">
            <x v="3"/>
          </reference>
          <reference field="2" count="1">
            <x v="4"/>
          </reference>
        </references>
      </pivotArea>
    </format>
    <format dxfId="75">
      <pivotArea dataOnly="0" labelOnly="1" fieldPosition="0">
        <references count="3">
          <reference field="0" count="1" selected="0">
            <x v="7"/>
          </reference>
          <reference field="1" count="1" selected="0">
            <x v="626"/>
          </reference>
          <reference field="2" count="1">
            <x v="2"/>
          </reference>
        </references>
      </pivotArea>
    </format>
    <format dxfId="74">
      <pivotArea dataOnly="0" labelOnly="1" fieldPosition="0">
        <references count="3">
          <reference field="0" count="1" selected="0">
            <x v="7"/>
          </reference>
          <reference field="1" count="1" selected="0">
            <x v="1263"/>
          </reference>
          <reference field="2" count="1">
            <x v="4"/>
          </reference>
        </references>
      </pivotArea>
    </format>
    <format dxfId="73">
      <pivotArea dataOnly="0" labelOnly="1" fieldPosition="0">
        <references count="3">
          <reference field="0" count="1" selected="0">
            <x v="6"/>
          </reference>
          <reference field="1" count="1" selected="0">
            <x v="7"/>
          </reference>
          <reference field="2" count="1">
            <x v="5"/>
          </reference>
        </references>
      </pivotArea>
    </format>
    <format dxfId="72">
      <pivotArea dataOnly="0" labelOnly="1" fieldPosition="0">
        <references count="3">
          <reference field="0" count="1" selected="0">
            <x v="6"/>
          </reference>
          <reference field="1" count="1" selected="0">
            <x v="1234"/>
          </reference>
          <reference field="2" count="1">
            <x v="21"/>
          </reference>
        </references>
      </pivotArea>
    </format>
    <format dxfId="71">
      <pivotArea dataOnly="0" labelOnly="1" fieldPosition="0">
        <references count="3">
          <reference field="0" count="1" selected="0">
            <x v="6"/>
          </reference>
          <reference field="1" count="1" selected="0">
            <x v="1258"/>
          </reference>
          <reference field="2" count="1">
            <x v="5"/>
          </reference>
        </references>
      </pivotArea>
    </format>
    <format dxfId="70">
      <pivotArea dataOnly="0" labelOnly="1" fieldPosition="0">
        <references count="3">
          <reference field="0" count="1" selected="0">
            <x v="5"/>
          </reference>
          <reference field="1" count="1" selected="0">
            <x v="719"/>
          </reference>
          <reference field="2" count="1">
            <x v="29"/>
          </reference>
        </references>
      </pivotArea>
    </format>
    <format dxfId="69">
      <pivotArea dataOnly="0" labelOnly="1" fieldPosition="0">
        <references count="3">
          <reference field="0" count="1" selected="0">
            <x v="4"/>
          </reference>
          <reference field="1" count="1" selected="0">
            <x v="677"/>
          </reference>
          <reference field="2" count="1">
            <x v="2"/>
          </reference>
        </references>
      </pivotArea>
    </format>
    <format dxfId="68">
      <pivotArea dataOnly="0" labelOnly="1" fieldPosition="0">
        <references count="3">
          <reference field="0" count="1" selected="0">
            <x v="3"/>
          </reference>
          <reference field="1" count="1" selected="0">
            <x v="569"/>
          </reference>
          <reference field="2" count="1">
            <x v="21"/>
          </reference>
        </references>
      </pivotArea>
    </format>
    <format dxfId="67">
      <pivotArea dataOnly="0" labelOnly="1" fieldPosition="0">
        <references count="3">
          <reference field="0" count="1" selected="0">
            <x v="3"/>
          </reference>
          <reference field="1" count="1" selected="0">
            <x v="1306"/>
          </reference>
          <reference field="2" count="1">
            <x v="22"/>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2" xr16:uid="{CBE178C4-7397-4037-9F51-2CF5E774F75E}" autoFormatId="16" applyNumberFormats="0" applyBorderFormats="0" applyFontFormats="0" applyPatternFormats="0" applyAlignmentFormats="0" applyWidthHeightFormats="0">
  <queryTableRefresh nextId="4">
    <queryTableFields count="3">
      <queryTableField id="1" name="Date" tableColumnId="1"/>
      <queryTableField id="2" name="Transaction" tableColumnId="2"/>
      <queryTableField id="3" name="Team"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1" xr16:uid="{DDC8762C-DAE1-498A-9C90-F0A262F5087F}" autoFormatId="16" applyNumberFormats="0" applyBorderFormats="0" applyFontFormats="0" applyPatternFormats="0" applyAlignmentFormats="0" applyWidthHeightFormats="0">
  <queryTableRefresh nextId="12">
    <queryTableFields count="9">
      <queryTableField id="1" name="Player" tableColumnId="1"/>
      <queryTableField id="2" name="#" tableColumnId="2"/>
      <queryTableField id="3" name="Pos" tableColumnId="3"/>
      <queryTableField id="4" name="HT" tableColumnId="4"/>
      <queryTableField id="5" name="WT" tableColumnId="5"/>
      <queryTableField id="6" name="Age" tableColumnId="6"/>
      <queryTableField id="7" name="Exp" tableColumnId="7"/>
      <queryTableField id="8" name="College" tableColumnId="8"/>
      <queryTableField id="9" name="Team"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1" xr10:uid="{27CBC495-BC51-49BD-825E-E5BC142FF4B8}" sourceName="Team">
  <pivotTables>
    <pivotTable tabId="11" name="Tabela dinâmica1"/>
  </pivotTables>
  <data>
    <tabular pivotCacheId="137790170">
      <items count="30">
        <i x="2"/>
        <i x="1"/>
        <i x="3"/>
        <i x="6"/>
        <i x="21"/>
        <i x="8"/>
        <i x="4"/>
        <i x="10" s="1"/>
        <i x="13"/>
        <i x="14"/>
        <i x="20"/>
        <i x="16"/>
        <i x="11"/>
        <i x="17"/>
        <i x="9"/>
        <i x="7"/>
        <i x="28"/>
        <i x="24"/>
        <i x="18"/>
        <i x="29"/>
        <i x="19"/>
        <i x="22"/>
        <i x="15"/>
        <i x="23"/>
        <i x="26"/>
        <i x="25"/>
        <i x="0"/>
        <i x="5"/>
        <i x="27"/>
        <i x="12"/>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 xr10:uid="{C0C6B879-2B8A-4E5E-A57C-18C689A92C6A}" sourceName="Team">
  <pivotTables>
    <pivotTable tabId="7" name="Tabela dinâmica3"/>
    <pivotTable tabId="7" name="Tabela dinâmica4"/>
    <pivotTable tabId="7" name="Tabela dinâmica5"/>
    <pivotTable tabId="7" name="Tabela dinâmica6"/>
    <pivotTable tabId="7" name="Tabela dinâmica7"/>
    <pivotTable tabId="7" name="Tabela dinâmica8"/>
    <pivotTable tabId="7" name="Tabela dinâmica9"/>
    <pivotTable tabId="7" name="Tabela dinâmica10"/>
    <pivotTable tabId="7" name="Tabela dinâmica11"/>
    <pivotTable tabId="7" name="Tabela dinâmica12"/>
    <pivotTable tabId="7" name="Tabela dinâmica13"/>
    <pivotTable tabId="7" name="Tabela dinâmica14"/>
    <pivotTable tabId="7" name="Tabela dinâmica15"/>
    <pivotTable tabId="7" name="Tabela dinâmica16"/>
    <pivotTable tabId="7" name="Tabela dinâmica17"/>
    <pivotTable tabId="7" name="Tabela dinâmica18"/>
    <pivotTable tabId="7" name="Tabela dinâmica19"/>
    <pivotTable tabId="7" name="Tabela dinâmica20"/>
    <pivotTable tabId="7" name="Tabela dinâmica21"/>
    <pivotTable tabId="7" name="Tabela dinâmica22"/>
    <pivotTable tabId="7" name="Tabela dinâmica23"/>
    <pivotTable tabId="7" name="Tabela dinâmica24"/>
  </pivotTables>
  <data>
    <tabular pivotCacheId="949452248">
      <items count="32">
        <i x="2"/>
        <i x="1"/>
        <i x="3"/>
        <i x="6"/>
        <i x="23"/>
        <i x="8"/>
        <i x="4"/>
        <i x="10" s="1"/>
        <i x="13"/>
        <i x="14"/>
        <i x="15"/>
        <i x="22"/>
        <i x="17"/>
        <i x="11"/>
        <i x="18"/>
        <i x="9"/>
        <i x="7"/>
        <i x="30"/>
        <i x="26"/>
        <i x="19"/>
        <i x="31"/>
        <i x="20"/>
        <i x="24"/>
        <i x="16"/>
        <i x="21"/>
        <i x="25"/>
        <i x="28"/>
        <i x="27"/>
        <i x="0"/>
        <i x="5"/>
        <i x="29"/>
        <i x="12"/>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llege" xr10:uid="{7A2EA062-1FB3-4A5D-B3DA-E468ED3A5CBB}" sourceName="College">
  <pivotTables>
    <pivotTable tabId="13" name="Tabela dinâmica1"/>
  </pivotTables>
  <data>
    <tabular pivotCacheId="949452248">
      <items count="348">
        <i x="211"/>
        <i x="234"/>
        <i x="181" s="1"/>
        <i x="71"/>
        <i x="261"/>
        <i x="258"/>
        <i x="230"/>
        <i x="225"/>
        <i x="74"/>
        <i x="16"/>
        <i x="0"/>
        <i x="22"/>
        <i x="167"/>
        <i x="255"/>
        <i x="180"/>
        <i x="273"/>
        <i x="170"/>
        <i x="277"/>
        <i x="17"/>
        <i x="309"/>
        <i x="281"/>
        <i x="115"/>
        <i x="304"/>
        <i x="78"/>
        <i x="24"/>
        <i x="298"/>
        <i x="301"/>
        <i x="185"/>
        <i x="95"/>
        <i x="83"/>
        <i x="165"/>
        <i x="269"/>
        <i x="250"/>
        <i x="194"/>
        <i x="127"/>
        <i x="57"/>
        <i x="306"/>
        <i x="69"/>
        <i x="75"/>
        <i x="266"/>
        <i x="79"/>
        <i x="48"/>
        <i x="12"/>
        <i x="241"/>
        <i x="118"/>
        <i x="308"/>
        <i x="231"/>
        <i x="182"/>
        <i x="88"/>
        <i x="41"/>
        <i x="124"/>
        <i x="142"/>
        <i x="81"/>
        <i x="109"/>
        <i x="161"/>
        <i x="285"/>
        <i x="303"/>
        <i x="123"/>
        <i x="302"/>
        <i x="257"/>
        <i x="280"/>
        <i x="119"/>
        <i x="248"/>
        <i x="198"/>
        <i x="98"/>
        <i x="297"/>
        <i x="147"/>
        <i x="200"/>
        <i x="19"/>
        <i x="149"/>
        <i x="166"/>
        <i x="15"/>
        <i x="311"/>
        <i x="213"/>
        <i x="68"/>
        <i x="187"/>
        <i x="76"/>
        <i x="240"/>
        <i x="1"/>
        <i x="228"/>
        <i x="73"/>
        <i x="63"/>
        <i x="282"/>
        <i x="120"/>
        <i x="295"/>
        <i x="293"/>
        <i x="3"/>
        <i x="290"/>
        <i x="206"/>
        <i x="62"/>
        <i x="80"/>
        <i x="278"/>
        <i x="40"/>
        <i x="218"/>
        <i x="289"/>
        <i x="201"/>
        <i x="33"/>
        <i x="116"/>
        <i x="172"/>
        <i x="129"/>
        <i x="92"/>
        <i x="196"/>
        <i x="141"/>
        <i x="238"/>
        <i x="270"/>
        <i x="53"/>
        <i x="202"/>
        <i x="42"/>
        <i x="186"/>
        <i x="245"/>
        <i x="35"/>
        <i x="50"/>
        <i x="307"/>
        <i x="249"/>
        <i x="177"/>
        <i x="86"/>
        <i x="138"/>
        <i x="59"/>
        <i x="208"/>
        <i x="145"/>
        <i x="291"/>
        <i x="253"/>
        <i x="260"/>
        <i x="288"/>
        <i x="110"/>
        <i x="169"/>
        <i x="247"/>
        <i x="44"/>
        <i x="150"/>
        <i x="189"/>
        <i x="70"/>
        <i x="237"/>
        <i x="11"/>
        <i x="133"/>
        <i x="221"/>
        <i x="279"/>
        <i x="274"/>
        <i x="294"/>
        <i x="292"/>
        <i x="210"/>
        <i x="144"/>
        <i x="107"/>
        <i x="305"/>
        <i x="168"/>
        <i x="49"/>
        <i x="108"/>
        <i x="148"/>
        <i x="28"/>
        <i x="13"/>
        <i x="55"/>
        <i x="52"/>
        <i x="254"/>
        <i x="246"/>
        <i x="140"/>
        <i x="131"/>
        <i x="97"/>
        <i x="212"/>
        <i x="223"/>
        <i x="209"/>
        <i x="262"/>
        <i x="154"/>
        <i x="65"/>
        <i x="239"/>
        <i x="113"/>
        <i x="283"/>
        <i x="121"/>
        <i x="137"/>
        <i x="215"/>
        <i x="216"/>
        <i x="276"/>
        <i x="134"/>
        <i x="275"/>
        <i x="114"/>
        <i x="252"/>
        <i x="20"/>
        <i x="284"/>
        <i x="267"/>
        <i x="31"/>
        <i x="243"/>
        <i x="37"/>
        <i x="60"/>
        <i x="204"/>
        <i x="244"/>
        <i x="56"/>
        <i x="173"/>
        <i x="87"/>
        <i x="160"/>
        <i x="4"/>
        <i x="268"/>
        <i x="178"/>
        <i x="205"/>
        <i x="6"/>
        <i x="58"/>
        <i x="39"/>
        <i x="171"/>
        <i x="2"/>
        <i x="105"/>
        <i x="265"/>
        <i x="10"/>
        <i x="174"/>
        <i x="143"/>
        <i x="222"/>
        <i x="38"/>
        <i x="93"/>
        <i x="67"/>
        <i x="286"/>
        <i x="272"/>
        <i x="111"/>
        <i x="158"/>
        <i x="193"/>
        <i x="162"/>
        <i x="36"/>
        <i x="179"/>
        <i x="300"/>
        <i x="126"/>
        <i x="163"/>
        <i x="132"/>
        <i x="14"/>
        <i x="5"/>
        <i x="91"/>
        <i x="235"/>
        <i x="195"/>
        <i x="102"/>
        <i x="21"/>
        <i x="184"/>
        <i x="34"/>
        <i x="104"/>
        <i x="207"/>
        <i x="156"/>
        <i x="151"/>
        <i x="72"/>
        <i x="233"/>
        <i x="164"/>
        <i x="192"/>
        <i x="26"/>
        <i x="236"/>
        <i x="46"/>
        <i x="232"/>
        <i x="197"/>
        <i x="264"/>
        <i x="51"/>
        <i x="130"/>
        <i x="188"/>
        <i x="155"/>
        <i x="220"/>
        <i x="100"/>
        <i x="229"/>
        <i x="54"/>
        <i x="23"/>
        <i x="77"/>
        <i x="30"/>
        <i x="203"/>
        <i x="125"/>
        <i x="128"/>
        <i x="32"/>
        <i x="47"/>
        <i x="242"/>
        <i x="227"/>
        <i x="29"/>
        <i x="106"/>
        <i x="8"/>
        <i x="135"/>
        <i x="25"/>
        <i x="310"/>
        <i x="259"/>
        <i x="146"/>
        <i x="99"/>
        <i x="64"/>
        <i x="90"/>
        <i x="89"/>
        <i x="7"/>
        <i x="94"/>
        <i x="296"/>
        <i x="217"/>
        <i x="287"/>
        <i x="122"/>
        <i x="27"/>
        <i x="61"/>
        <i x="117"/>
        <i x="112"/>
        <i x="9"/>
        <i x="136"/>
        <i x="96"/>
        <i x="219"/>
        <i x="299"/>
        <i x="101"/>
        <i x="157"/>
        <i x="84"/>
        <i x="66"/>
        <i x="82"/>
        <i x="103"/>
        <i x="251"/>
        <i x="175"/>
        <i x="256"/>
        <i x="271"/>
        <i x="214"/>
        <i x="191"/>
        <i x="43"/>
        <i x="139"/>
        <i x="199"/>
        <i x="85"/>
        <i x="45"/>
        <i x="183"/>
        <i x="190"/>
        <i x="18"/>
        <i x="153"/>
        <i x="263"/>
        <i x="176"/>
        <i x="152"/>
        <i x="159"/>
        <i x="224"/>
        <i x="226"/>
        <i x="324" nd="1"/>
        <i x="314" nd="1"/>
        <i x="325" nd="1"/>
        <i x="320" nd="1"/>
        <i x="344" nd="1"/>
        <i x="335" nd="1"/>
        <i x="313" nd="1"/>
        <i x="312" nd="1"/>
        <i x="338" nd="1"/>
        <i x="317" nd="1"/>
        <i x="318" nd="1"/>
        <i x="329" nd="1"/>
        <i x="315" nd="1"/>
        <i x="328" nd="1"/>
        <i x="345" nd="1"/>
        <i x="337" nd="1"/>
        <i x="333" nd="1"/>
        <i x="346" nd="1"/>
        <i x="326" nd="1"/>
        <i x="323" nd="1"/>
        <i x="321" nd="1"/>
        <i x="347" nd="1"/>
        <i x="330" nd="1"/>
        <i x="334" nd="1"/>
        <i x="322" nd="1"/>
        <i x="331" nd="1"/>
        <i x="332" nd="1"/>
        <i x="316" nd="1"/>
        <i x="327" nd="1"/>
        <i x="342" nd="1"/>
        <i x="343" nd="1"/>
        <i x="340" nd="1"/>
        <i x="339" nd="1"/>
        <i x="336" nd="1"/>
        <i x="341" nd="1"/>
        <i x="319"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2" xr10:uid="{5CD2054C-0C85-4635-9D5E-8007A7990D08}" sourceName="Team">
  <pivotTables>
    <pivotTable tabId="13" name="Tabela dinâmica1"/>
  </pivotTables>
  <data>
    <tabular pivotCacheId="949452248">
      <items count="32">
        <i x="13" s="1"/>
        <i x="7" s="1"/>
        <i x="28" s="1"/>
        <i x="2" s="1" nd="1"/>
        <i x="1" s="1" nd="1"/>
        <i x="3" s="1" nd="1"/>
        <i x="6" s="1" nd="1"/>
        <i x="23" s="1" nd="1"/>
        <i x="8" s="1" nd="1"/>
        <i x="4" s="1" nd="1"/>
        <i x="10" s="1" nd="1"/>
        <i x="14" s="1" nd="1"/>
        <i x="15" s="1" nd="1"/>
        <i x="22" s="1" nd="1"/>
        <i x="17" s="1" nd="1"/>
        <i x="11" s="1" nd="1"/>
        <i x="18" s="1" nd="1"/>
        <i x="9" s="1" nd="1"/>
        <i x="30" s="1" nd="1"/>
        <i x="26" s="1" nd="1"/>
        <i x="19" s="1" nd="1"/>
        <i x="31" s="1" nd="1"/>
        <i x="20" s="1" nd="1"/>
        <i x="24" s="1" nd="1"/>
        <i x="16" s="1" nd="1"/>
        <i x="21" s="1" nd="1"/>
        <i x="25" s="1" nd="1"/>
        <i x="27" s="1" nd="1"/>
        <i x="0" s="1" nd="1"/>
        <i x="5" s="1" nd="1"/>
        <i x="29" s="1" nd="1"/>
        <i x="1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os" xr10:uid="{71087E43-DF5D-420D-B7B8-6CB28FC2B57F}" sourceName="Pos">
  <pivotTables>
    <pivotTable tabId="13" name="Tabela dinâmica1"/>
  </pivotTables>
  <data>
    <tabular pivotCacheId="949452248">
      <items count="43">
        <i x="4" s="1"/>
        <i x="19" s="1"/>
        <i x="17" s="1"/>
        <i x="15" s="1" nd="1"/>
        <i x="36" s="1" nd="1"/>
        <i x="40" s="1" nd="1"/>
        <i x="12" s="1" nd="1"/>
        <i x="18" s="1" nd="1"/>
        <i x="27" s="1" nd="1"/>
        <i x="2" s="1" nd="1"/>
        <i x="11" s="1" nd="1"/>
        <i x="30" s="1" nd="1"/>
        <i x="37" s="1" nd="1"/>
        <i x="10" s="1" nd="1"/>
        <i x="38" s="1" nd="1"/>
        <i x="28" s="1" nd="1"/>
        <i x="21" s="1" nd="1"/>
        <i x="20" s="1" nd="1"/>
        <i x="29" s="1" nd="1"/>
        <i x="26" s="1" nd="1"/>
        <i x="39" s="1" nd="1"/>
        <i x="31" s="1" nd="1"/>
        <i x="35" s="1" nd="1"/>
        <i x="8" s="1" nd="1"/>
        <i x="1" s="1" nd="1"/>
        <i x="14" s="1" nd="1"/>
        <i x="22" s="1" nd="1"/>
        <i x="34" s="1" nd="1"/>
        <i x="3" s="1" nd="1"/>
        <i x="25" s="1" nd="1"/>
        <i x="16" s="1" nd="1"/>
        <i x="7" s="1" nd="1"/>
        <i x="5" s="1" nd="1"/>
        <i x="9" s="1" nd="1"/>
        <i x="42" s="1" nd="1"/>
        <i x="23" s="1" nd="1"/>
        <i x="13" s="1" nd="1"/>
        <i x="24" s="1" nd="1"/>
        <i x="6" s="1" nd="1"/>
        <i x="33" s="1" nd="1"/>
        <i x="0" s="1" nd="1"/>
        <i x="32" s="1" nd="1"/>
        <i x="41"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xr10:uid="{33F5E952-1993-4056-9210-EDCAB50F3FA7}" cache="SegmentaçãodeDados_Team" caption="Team" columnCount="4" showCaption="0" style="SlicerStyleDark5"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ge" xr10:uid="{963D191A-8B8E-441F-A292-578FE30D459F}" cache="SegmentaçãodeDados_College" caption="College" columnCount="3" showCaption="0" style="SlicerStyleDark1" rowHeight="180000"/>
  <slicer name="Team 2" xr10:uid="{475A74F0-226B-4AD0-9534-3BC96C020517}" cache="SegmentaçãodeDados_Team2" caption="Team" style="SlicerStyleDark6" rowHeight="180000"/>
  <slicer name="Pos" xr10:uid="{17E82188-25F5-42B2-B9C9-119647B77DF8}" cache="SegmentaçãodeDados_Pos" caption="Pos"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C8AE82FB-D2C6-4D5A-A337-F0FDCA9A870B}" cache="SegmentaçãodeDados_Team1" caption="Team" columnCount="2" showCaption="0" style="SlicerStyleDark5" rowHeight="180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9A1936-9B00-4BF5-9F35-F9B7D5E97C7E}" name="Transactions" displayName="Transactions" ref="A1:C1334" tableType="queryTable" totalsRowShown="0">
  <autoFilter ref="A1:C1334" xr:uid="{794A99B8-9A7E-4EA8-ABC7-6D1E7C0D8D34}"/>
  <tableColumns count="3">
    <tableColumn id="1" xr3:uid="{77A884FD-3AC6-434B-A054-5B163790DC38}" uniqueName="1" name="Date" queryTableFieldId="1" dataDxfId="8"/>
    <tableColumn id="2" xr3:uid="{2F7CB256-4B47-498C-A76A-E716C9EF5624}" uniqueName="2" name="Transaction" queryTableFieldId="2" dataDxfId="7"/>
    <tableColumn id="3" xr3:uid="{D4063D17-6E59-44CA-BE5E-30874E424C6C}" uniqueName="3" name="Team" queryTableFieldId="3"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CB50DF-B9C8-4925-9504-30A05696E558}" name="Rosters_2" displayName="Rosters_2" ref="A1:I2888" tableType="queryTable" totalsRowShown="0">
  <autoFilter ref="A1:I2888" xr:uid="{8E644B58-5620-4449-8FB9-01043C49F99F}"/>
  <tableColumns count="9">
    <tableColumn id="1" xr3:uid="{A2685CA1-8CE7-43B7-A1BC-616556756996}" uniqueName="1" name="Player" queryTableFieldId="1" dataDxfId="5"/>
    <tableColumn id="2" xr3:uid="{57249E3C-8BDB-4377-BBB1-00EA26EB9599}" uniqueName="2" name="#" queryTableFieldId="2"/>
    <tableColumn id="3" xr3:uid="{63EE8E75-06D5-4056-80DC-B2E742BF19F4}" uniqueName="3" name="Pos" queryTableFieldId="3" dataDxfId="4"/>
    <tableColumn id="4" xr3:uid="{8AEB3112-7D73-43D7-8873-6B7F5B62757D}" uniqueName="4" name="HT" queryTableFieldId="4" dataDxfId="3"/>
    <tableColumn id="5" xr3:uid="{22F6CC14-C8E0-4118-BC12-849117E37D91}" uniqueName="5" name="WT" queryTableFieldId="5"/>
    <tableColumn id="6" xr3:uid="{6795E4C4-B4EF-4896-AB27-3AC9653CD369}" uniqueName="6" name="Age" queryTableFieldId="6"/>
    <tableColumn id="7" xr3:uid="{91AB0CF5-1F4E-47F7-A4FE-FA95D3C622B7}" uniqueName="7" name="Exp" queryTableFieldId="7" dataDxfId="2"/>
    <tableColumn id="8" xr3:uid="{7803259B-3F8F-4064-875C-B44C36CAADE6}" uniqueName="8" name="College" queryTableFieldId="8" dataDxfId="1"/>
    <tableColumn id="9" xr3:uid="{3A239CF0-A9E3-41C1-8D08-5C4F40BEB243}" uniqueName="9" name="Team" queryTableFieldId="9" dataDxfId="0"/>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1.bin"/><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AFCB5-A8C6-447E-BACA-901A18E7C7C5}">
  <sheetPr codeName="Planilha2"/>
  <dimension ref="A1:C1334"/>
  <sheetViews>
    <sheetView topLeftCell="A2" workbookViewId="0">
      <selection activeCell="B17" sqref="B17"/>
    </sheetView>
  </sheetViews>
  <sheetFormatPr defaultRowHeight="15" x14ac:dyDescent="0.25"/>
  <cols>
    <col min="1" max="1" width="7.42578125" bestFit="1" customWidth="1"/>
    <col min="2" max="2" width="81.140625" bestFit="1" customWidth="1"/>
    <col min="3" max="3" width="8.140625" bestFit="1" customWidth="1"/>
  </cols>
  <sheetData>
    <row r="1" spans="1:3" x14ac:dyDescent="0.25">
      <c r="A1" t="s">
        <v>3283</v>
      </c>
      <c r="B1" t="s">
        <v>3284</v>
      </c>
      <c r="C1" t="s">
        <v>2034</v>
      </c>
    </row>
    <row r="2" spans="1:3" x14ac:dyDescent="0.25">
      <c r="A2" s="21" t="s">
        <v>3285</v>
      </c>
      <c r="B2" s="21" t="s">
        <v>3286</v>
      </c>
      <c r="C2" s="21" t="s">
        <v>3287</v>
      </c>
    </row>
    <row r="3" spans="1:3" x14ac:dyDescent="0.25">
      <c r="A3" s="21" t="s">
        <v>3288</v>
      </c>
      <c r="B3" s="21" t="s">
        <v>3289</v>
      </c>
      <c r="C3" s="21" t="s">
        <v>3287</v>
      </c>
    </row>
    <row r="4" spans="1:3" x14ac:dyDescent="0.25">
      <c r="A4" s="21" t="s">
        <v>3290</v>
      </c>
      <c r="B4" s="21" t="s">
        <v>3291</v>
      </c>
      <c r="C4" s="21" t="s">
        <v>3287</v>
      </c>
    </row>
    <row r="5" spans="1:3" x14ac:dyDescent="0.25">
      <c r="A5" s="21" t="s">
        <v>3292</v>
      </c>
      <c r="B5" s="21" t="s">
        <v>3293</v>
      </c>
      <c r="C5" s="21" t="s">
        <v>3287</v>
      </c>
    </row>
    <row r="6" spans="1:3" x14ac:dyDescent="0.25">
      <c r="A6" s="21" t="s">
        <v>3294</v>
      </c>
      <c r="B6" s="21" t="s">
        <v>3295</v>
      </c>
      <c r="C6" s="21" t="s">
        <v>3287</v>
      </c>
    </row>
    <row r="7" spans="1:3" x14ac:dyDescent="0.25">
      <c r="A7" s="21" t="s">
        <v>3296</v>
      </c>
      <c r="B7" s="21" t="s">
        <v>3297</v>
      </c>
      <c r="C7" s="21" t="s">
        <v>3287</v>
      </c>
    </row>
    <row r="8" spans="1:3" x14ac:dyDescent="0.25">
      <c r="A8" s="21" t="s">
        <v>3298</v>
      </c>
      <c r="B8" s="21" t="s">
        <v>3299</v>
      </c>
      <c r="C8" s="21" t="s">
        <v>3287</v>
      </c>
    </row>
    <row r="9" spans="1:3" x14ac:dyDescent="0.25">
      <c r="A9" s="21" t="s">
        <v>3300</v>
      </c>
      <c r="B9" s="21" t="s">
        <v>3301</v>
      </c>
      <c r="C9" s="21" t="s">
        <v>3287</v>
      </c>
    </row>
    <row r="10" spans="1:3" x14ac:dyDescent="0.25">
      <c r="A10" s="21" t="s">
        <v>3302</v>
      </c>
      <c r="B10" s="21" t="s">
        <v>3303</v>
      </c>
      <c r="C10" s="21" t="s">
        <v>3287</v>
      </c>
    </row>
    <row r="11" spans="1:3" x14ac:dyDescent="0.25">
      <c r="A11" s="21" t="s">
        <v>3304</v>
      </c>
      <c r="B11" s="21" t="s">
        <v>3305</v>
      </c>
      <c r="C11" s="21" t="s">
        <v>3287</v>
      </c>
    </row>
    <row r="12" spans="1:3" x14ac:dyDescent="0.25">
      <c r="A12" s="21" t="s">
        <v>3306</v>
      </c>
      <c r="B12" s="21" t="s">
        <v>3307</v>
      </c>
      <c r="C12" s="21" t="s">
        <v>3287</v>
      </c>
    </row>
    <row r="13" spans="1:3" x14ac:dyDescent="0.25">
      <c r="A13" s="21" t="s">
        <v>3308</v>
      </c>
      <c r="B13" s="21" t="s">
        <v>3309</v>
      </c>
      <c r="C13" s="21" t="s">
        <v>3287</v>
      </c>
    </row>
    <row r="14" spans="1:3" x14ac:dyDescent="0.25">
      <c r="A14" s="21" t="s">
        <v>3310</v>
      </c>
      <c r="B14" s="21" t="s">
        <v>3311</v>
      </c>
      <c r="C14" s="21" t="s">
        <v>3287</v>
      </c>
    </row>
    <row r="15" spans="1:3" x14ac:dyDescent="0.25">
      <c r="A15" s="21" t="s">
        <v>3312</v>
      </c>
      <c r="B15" s="21" t="s">
        <v>3313</v>
      </c>
      <c r="C15" s="21" t="s">
        <v>3287</v>
      </c>
    </row>
    <row r="16" spans="1:3" x14ac:dyDescent="0.25">
      <c r="A16" s="21" t="s">
        <v>3314</v>
      </c>
      <c r="B16" s="21" t="s">
        <v>3315</v>
      </c>
      <c r="C16" s="21" t="s">
        <v>3287</v>
      </c>
    </row>
    <row r="17" spans="1:3" x14ac:dyDescent="0.25">
      <c r="A17" s="21" t="s">
        <v>3316</v>
      </c>
      <c r="B17" s="21" t="s">
        <v>3317</v>
      </c>
      <c r="C17" s="21" t="s">
        <v>3287</v>
      </c>
    </row>
    <row r="18" spans="1:3" x14ac:dyDescent="0.25">
      <c r="A18" s="21" t="s">
        <v>3318</v>
      </c>
      <c r="B18" s="21" t="s">
        <v>3319</v>
      </c>
      <c r="C18" s="21" t="s">
        <v>3287</v>
      </c>
    </row>
    <row r="19" spans="1:3" x14ac:dyDescent="0.25">
      <c r="A19" s="21" t="s">
        <v>3320</v>
      </c>
      <c r="B19" s="21" t="s">
        <v>3321</v>
      </c>
      <c r="C19" s="21" t="s">
        <v>3287</v>
      </c>
    </row>
    <row r="20" spans="1:3" x14ac:dyDescent="0.25">
      <c r="A20" s="21" t="s">
        <v>3322</v>
      </c>
      <c r="B20" s="21" t="s">
        <v>3323</v>
      </c>
      <c r="C20" s="21" t="s">
        <v>3287</v>
      </c>
    </row>
    <row r="21" spans="1:3" x14ac:dyDescent="0.25">
      <c r="A21" s="21" t="s">
        <v>3324</v>
      </c>
      <c r="B21" s="21" t="s">
        <v>3325</v>
      </c>
      <c r="C21" s="21" t="s">
        <v>3287</v>
      </c>
    </row>
    <row r="22" spans="1:3" x14ac:dyDescent="0.25">
      <c r="A22" s="21" t="s">
        <v>3326</v>
      </c>
      <c r="B22" s="21" t="s">
        <v>3327</v>
      </c>
      <c r="C22" s="21" t="s">
        <v>3287</v>
      </c>
    </row>
    <row r="23" spans="1:3" x14ac:dyDescent="0.25">
      <c r="A23" s="21" t="s">
        <v>3328</v>
      </c>
      <c r="B23" s="21" t="s">
        <v>3329</v>
      </c>
      <c r="C23" s="21" t="s">
        <v>3287</v>
      </c>
    </row>
    <row r="24" spans="1:3" x14ac:dyDescent="0.25">
      <c r="A24" s="21" t="s">
        <v>3330</v>
      </c>
      <c r="B24" s="21" t="s">
        <v>3331</v>
      </c>
      <c r="C24" s="21" t="s">
        <v>3287</v>
      </c>
    </row>
    <row r="25" spans="1:3" x14ac:dyDescent="0.25">
      <c r="A25" s="21" t="s">
        <v>3332</v>
      </c>
      <c r="B25" s="21" t="s">
        <v>3333</v>
      </c>
      <c r="C25" s="21" t="s">
        <v>3287</v>
      </c>
    </row>
    <row r="26" spans="1:3" x14ac:dyDescent="0.25">
      <c r="A26" s="21" t="s">
        <v>3334</v>
      </c>
      <c r="B26" s="21" t="s">
        <v>3335</v>
      </c>
      <c r="C26" s="21" t="s">
        <v>3287</v>
      </c>
    </row>
    <row r="27" spans="1:3" x14ac:dyDescent="0.25">
      <c r="A27" s="21" t="s">
        <v>3336</v>
      </c>
      <c r="B27" s="21" t="s">
        <v>3337</v>
      </c>
      <c r="C27" s="21" t="s">
        <v>3287</v>
      </c>
    </row>
    <row r="28" spans="1:3" x14ac:dyDescent="0.25">
      <c r="A28" s="21" t="s">
        <v>3338</v>
      </c>
      <c r="B28" s="21" t="s">
        <v>3339</v>
      </c>
      <c r="C28" s="21" t="s">
        <v>3287</v>
      </c>
    </row>
    <row r="29" spans="1:3" x14ac:dyDescent="0.25">
      <c r="A29" s="21" t="s">
        <v>3340</v>
      </c>
      <c r="B29" s="21" t="s">
        <v>3341</v>
      </c>
      <c r="C29" s="21" t="s">
        <v>3287</v>
      </c>
    </row>
    <row r="30" spans="1:3" x14ac:dyDescent="0.25">
      <c r="A30" s="21" t="s">
        <v>3342</v>
      </c>
      <c r="B30" s="21" t="s">
        <v>3343</v>
      </c>
      <c r="C30" s="21" t="s">
        <v>3287</v>
      </c>
    </row>
    <row r="31" spans="1:3" x14ac:dyDescent="0.25">
      <c r="A31" s="21" t="s">
        <v>3344</v>
      </c>
      <c r="B31" s="21" t="s">
        <v>3345</v>
      </c>
      <c r="C31" s="21" t="s">
        <v>3287</v>
      </c>
    </row>
    <row r="32" spans="1:3" x14ac:dyDescent="0.25">
      <c r="A32" s="21" t="s">
        <v>3346</v>
      </c>
      <c r="B32" s="21" t="s">
        <v>3347</v>
      </c>
      <c r="C32" s="21" t="s">
        <v>3287</v>
      </c>
    </row>
    <row r="33" spans="1:3" x14ac:dyDescent="0.25">
      <c r="A33" s="21" t="s">
        <v>3348</v>
      </c>
      <c r="B33" s="21" t="s">
        <v>3349</v>
      </c>
      <c r="C33" s="21" t="s">
        <v>3287</v>
      </c>
    </row>
    <row r="34" spans="1:3" x14ac:dyDescent="0.25">
      <c r="A34" s="21" t="s">
        <v>3350</v>
      </c>
      <c r="B34" s="21" t="s">
        <v>3351</v>
      </c>
      <c r="C34" s="21" t="s">
        <v>3287</v>
      </c>
    </row>
    <row r="35" spans="1:3" x14ac:dyDescent="0.25">
      <c r="A35" s="21" t="s">
        <v>3352</v>
      </c>
      <c r="B35" s="21" t="s">
        <v>3353</v>
      </c>
      <c r="C35" s="21" t="s">
        <v>3287</v>
      </c>
    </row>
    <row r="36" spans="1:3" x14ac:dyDescent="0.25">
      <c r="A36" s="21" t="s">
        <v>3354</v>
      </c>
      <c r="B36" s="21" t="s">
        <v>3355</v>
      </c>
      <c r="C36" s="21" t="s">
        <v>3287</v>
      </c>
    </row>
    <row r="37" spans="1:3" x14ac:dyDescent="0.25">
      <c r="A37" s="21" t="s">
        <v>3356</v>
      </c>
      <c r="B37" s="21" t="s">
        <v>3357</v>
      </c>
      <c r="C37" s="21" t="s">
        <v>3287</v>
      </c>
    </row>
    <row r="38" spans="1:3" x14ac:dyDescent="0.25">
      <c r="A38" s="21" t="s">
        <v>3356</v>
      </c>
      <c r="B38" s="21" t="s">
        <v>3358</v>
      </c>
      <c r="C38" s="21" t="s">
        <v>3287</v>
      </c>
    </row>
    <row r="39" spans="1:3" x14ac:dyDescent="0.25">
      <c r="A39" s="21" t="s">
        <v>3359</v>
      </c>
      <c r="B39" s="21" t="s">
        <v>3360</v>
      </c>
      <c r="C39" s="21" t="s">
        <v>3287</v>
      </c>
    </row>
    <row r="40" spans="1:3" x14ac:dyDescent="0.25">
      <c r="A40" s="21" t="s">
        <v>3361</v>
      </c>
      <c r="B40" s="21" t="s">
        <v>3362</v>
      </c>
      <c r="C40" s="21" t="s">
        <v>3287</v>
      </c>
    </row>
    <row r="41" spans="1:3" x14ac:dyDescent="0.25">
      <c r="A41" s="21" t="s">
        <v>4803</v>
      </c>
      <c r="B41" s="21" t="s">
        <v>4809</v>
      </c>
      <c r="C41" s="21" t="s">
        <v>3365</v>
      </c>
    </row>
    <row r="42" spans="1:3" x14ac:dyDescent="0.25">
      <c r="A42" s="21" t="s">
        <v>4781</v>
      </c>
      <c r="B42" s="21" t="s">
        <v>4794</v>
      </c>
      <c r="C42" s="21" t="s">
        <v>3365</v>
      </c>
    </row>
    <row r="43" spans="1:3" x14ac:dyDescent="0.25">
      <c r="A43" s="21" t="s">
        <v>4781</v>
      </c>
      <c r="B43" s="21" t="s">
        <v>4795</v>
      </c>
      <c r="C43" s="21" t="s">
        <v>3365</v>
      </c>
    </row>
    <row r="44" spans="1:3" x14ac:dyDescent="0.25">
      <c r="A44" s="21" t="s">
        <v>3363</v>
      </c>
      <c r="B44" s="21" t="s">
        <v>3364</v>
      </c>
      <c r="C44" s="21" t="s">
        <v>3365</v>
      </c>
    </row>
    <row r="45" spans="1:3" x14ac:dyDescent="0.25">
      <c r="A45" s="21" t="s">
        <v>3363</v>
      </c>
      <c r="B45" s="21" t="s">
        <v>3366</v>
      </c>
      <c r="C45" s="21" t="s">
        <v>3365</v>
      </c>
    </row>
    <row r="46" spans="1:3" x14ac:dyDescent="0.25">
      <c r="A46" s="21" t="s">
        <v>3367</v>
      </c>
      <c r="B46" s="21" t="s">
        <v>3368</v>
      </c>
      <c r="C46" s="21" t="s">
        <v>3365</v>
      </c>
    </row>
    <row r="47" spans="1:3" x14ac:dyDescent="0.25">
      <c r="A47" s="21" t="s">
        <v>3369</v>
      </c>
      <c r="B47" s="21" t="s">
        <v>3370</v>
      </c>
      <c r="C47" s="21" t="s">
        <v>3365</v>
      </c>
    </row>
    <row r="48" spans="1:3" x14ac:dyDescent="0.25">
      <c r="A48" s="21" t="s">
        <v>3369</v>
      </c>
      <c r="B48" s="21" t="s">
        <v>3371</v>
      </c>
      <c r="C48" s="21" t="s">
        <v>3365</v>
      </c>
    </row>
    <row r="49" spans="1:3" x14ac:dyDescent="0.25">
      <c r="A49" s="21" t="s">
        <v>3372</v>
      </c>
      <c r="B49" s="21" t="s">
        <v>3373</v>
      </c>
      <c r="C49" s="21" t="s">
        <v>3365</v>
      </c>
    </row>
    <row r="50" spans="1:3" x14ac:dyDescent="0.25">
      <c r="A50" s="21" t="s">
        <v>3372</v>
      </c>
      <c r="B50" s="21" t="s">
        <v>3374</v>
      </c>
      <c r="C50" s="21" t="s">
        <v>3365</v>
      </c>
    </row>
    <row r="51" spans="1:3" x14ac:dyDescent="0.25">
      <c r="A51" s="21" t="s">
        <v>3375</v>
      </c>
      <c r="B51" s="21" t="s">
        <v>3376</v>
      </c>
      <c r="C51" s="21" t="s">
        <v>3365</v>
      </c>
    </row>
    <row r="52" spans="1:3" x14ac:dyDescent="0.25">
      <c r="A52" s="21" t="s">
        <v>3288</v>
      </c>
      <c r="B52" s="21" t="s">
        <v>3377</v>
      </c>
      <c r="C52" s="21" t="s">
        <v>3365</v>
      </c>
    </row>
    <row r="53" spans="1:3" x14ac:dyDescent="0.25">
      <c r="A53" s="21" t="s">
        <v>3378</v>
      </c>
      <c r="B53" s="21" t="s">
        <v>3379</v>
      </c>
      <c r="C53" s="21" t="s">
        <v>3365</v>
      </c>
    </row>
    <row r="54" spans="1:3" x14ac:dyDescent="0.25">
      <c r="A54" s="21" t="s">
        <v>3378</v>
      </c>
      <c r="B54" s="21" t="s">
        <v>3380</v>
      </c>
      <c r="C54" s="21" t="s">
        <v>3365</v>
      </c>
    </row>
    <row r="55" spans="1:3" x14ac:dyDescent="0.25">
      <c r="A55" s="21" t="s">
        <v>3381</v>
      </c>
      <c r="B55" s="21" t="s">
        <v>3382</v>
      </c>
      <c r="C55" s="21" t="s">
        <v>3365</v>
      </c>
    </row>
    <row r="56" spans="1:3" x14ac:dyDescent="0.25">
      <c r="A56" s="21" t="s">
        <v>3381</v>
      </c>
      <c r="B56" s="21" t="s">
        <v>3383</v>
      </c>
      <c r="C56" s="21" t="s">
        <v>3365</v>
      </c>
    </row>
    <row r="57" spans="1:3" x14ac:dyDescent="0.25">
      <c r="A57" s="21" t="s">
        <v>3384</v>
      </c>
      <c r="B57" s="21" t="s">
        <v>3385</v>
      </c>
      <c r="C57" s="21" t="s">
        <v>3365</v>
      </c>
    </row>
    <row r="58" spans="1:3" x14ac:dyDescent="0.25">
      <c r="A58" s="21" t="s">
        <v>3384</v>
      </c>
      <c r="B58" s="21" t="s">
        <v>3386</v>
      </c>
      <c r="C58" s="21" t="s">
        <v>3365</v>
      </c>
    </row>
    <row r="59" spans="1:3" x14ac:dyDescent="0.25">
      <c r="A59" s="21" t="s">
        <v>3384</v>
      </c>
      <c r="B59" s="21" t="s">
        <v>3387</v>
      </c>
      <c r="C59" s="21" t="s">
        <v>3365</v>
      </c>
    </row>
    <row r="60" spans="1:3" x14ac:dyDescent="0.25">
      <c r="A60" s="21" t="s">
        <v>3384</v>
      </c>
      <c r="B60" s="21" t="s">
        <v>3388</v>
      </c>
      <c r="C60" s="21" t="s">
        <v>3365</v>
      </c>
    </row>
    <row r="61" spans="1:3" x14ac:dyDescent="0.25">
      <c r="A61" s="21" t="s">
        <v>3294</v>
      </c>
      <c r="B61" s="21" t="s">
        <v>3389</v>
      </c>
      <c r="C61" s="21" t="s">
        <v>3365</v>
      </c>
    </row>
    <row r="62" spans="1:3" x14ac:dyDescent="0.25">
      <c r="A62" s="21" t="s">
        <v>3294</v>
      </c>
      <c r="B62" s="21" t="s">
        <v>3390</v>
      </c>
      <c r="C62" s="21" t="s">
        <v>3365</v>
      </c>
    </row>
    <row r="63" spans="1:3" x14ac:dyDescent="0.25">
      <c r="A63" s="21" t="s">
        <v>3294</v>
      </c>
      <c r="B63" s="21" t="s">
        <v>3391</v>
      </c>
      <c r="C63" s="21" t="s">
        <v>3365</v>
      </c>
    </row>
    <row r="64" spans="1:3" x14ac:dyDescent="0.25">
      <c r="A64" s="21" t="s">
        <v>3294</v>
      </c>
      <c r="B64" s="21" t="s">
        <v>3392</v>
      </c>
      <c r="C64" s="21" t="s">
        <v>3365</v>
      </c>
    </row>
    <row r="65" spans="1:3" x14ac:dyDescent="0.25">
      <c r="A65" s="21" t="s">
        <v>3294</v>
      </c>
      <c r="B65" s="21" t="s">
        <v>3393</v>
      </c>
      <c r="C65" s="21" t="s">
        <v>3365</v>
      </c>
    </row>
    <row r="66" spans="1:3" x14ac:dyDescent="0.25">
      <c r="A66" s="21" t="s">
        <v>3294</v>
      </c>
      <c r="B66" s="21" t="s">
        <v>3394</v>
      </c>
      <c r="C66" s="21" t="s">
        <v>3365</v>
      </c>
    </row>
    <row r="67" spans="1:3" x14ac:dyDescent="0.25">
      <c r="A67" s="21" t="s">
        <v>3395</v>
      </c>
      <c r="B67" s="21" t="s">
        <v>3396</v>
      </c>
      <c r="C67" s="21" t="s">
        <v>3365</v>
      </c>
    </row>
    <row r="68" spans="1:3" x14ac:dyDescent="0.25">
      <c r="A68" s="21" t="s">
        <v>3395</v>
      </c>
      <c r="B68" s="21" t="s">
        <v>3397</v>
      </c>
      <c r="C68" s="21" t="s">
        <v>3365</v>
      </c>
    </row>
    <row r="69" spans="1:3" x14ac:dyDescent="0.25">
      <c r="A69" s="21" t="s">
        <v>3395</v>
      </c>
      <c r="B69" s="21" t="s">
        <v>3398</v>
      </c>
      <c r="C69" s="21" t="s">
        <v>3365</v>
      </c>
    </row>
    <row r="70" spans="1:3" x14ac:dyDescent="0.25">
      <c r="A70" s="21" t="s">
        <v>3399</v>
      </c>
      <c r="B70" s="21" t="s">
        <v>3400</v>
      </c>
      <c r="C70" s="21" t="s">
        <v>3365</v>
      </c>
    </row>
    <row r="71" spans="1:3" x14ac:dyDescent="0.25">
      <c r="A71" s="21" t="s">
        <v>3399</v>
      </c>
      <c r="B71" s="21" t="s">
        <v>3401</v>
      </c>
      <c r="C71" s="21" t="s">
        <v>3365</v>
      </c>
    </row>
    <row r="72" spans="1:3" x14ac:dyDescent="0.25">
      <c r="A72" s="21" t="s">
        <v>3399</v>
      </c>
      <c r="B72" s="21" t="s">
        <v>3402</v>
      </c>
      <c r="C72" s="21" t="s">
        <v>3365</v>
      </c>
    </row>
    <row r="73" spans="1:3" x14ac:dyDescent="0.25">
      <c r="A73" s="21" t="s">
        <v>3399</v>
      </c>
      <c r="B73" s="21" t="s">
        <v>3403</v>
      </c>
      <c r="C73" s="21" t="s">
        <v>3365</v>
      </c>
    </row>
    <row r="74" spans="1:3" x14ac:dyDescent="0.25">
      <c r="A74" s="21" t="s">
        <v>3404</v>
      </c>
      <c r="B74" s="21" t="s">
        <v>3405</v>
      </c>
      <c r="C74" s="21" t="s">
        <v>3365</v>
      </c>
    </row>
    <row r="75" spans="1:3" x14ac:dyDescent="0.25">
      <c r="A75" s="21" t="s">
        <v>3298</v>
      </c>
      <c r="B75" s="21" t="s">
        <v>3406</v>
      </c>
      <c r="C75" s="21" t="s">
        <v>3365</v>
      </c>
    </row>
    <row r="76" spans="1:3" x14ac:dyDescent="0.25">
      <c r="A76" s="21" t="s">
        <v>3298</v>
      </c>
      <c r="B76" s="21" t="s">
        <v>3407</v>
      </c>
      <c r="C76" s="21" t="s">
        <v>3365</v>
      </c>
    </row>
    <row r="77" spans="1:3" x14ac:dyDescent="0.25">
      <c r="A77" s="21" t="s">
        <v>3408</v>
      </c>
      <c r="B77" s="21" t="s">
        <v>3409</v>
      </c>
      <c r="C77" s="21" t="s">
        <v>3365</v>
      </c>
    </row>
    <row r="78" spans="1:3" x14ac:dyDescent="0.25">
      <c r="A78" s="21" t="s">
        <v>3410</v>
      </c>
      <c r="B78" s="21" t="s">
        <v>3411</v>
      </c>
      <c r="C78" s="21" t="s">
        <v>3365</v>
      </c>
    </row>
    <row r="79" spans="1:3" x14ac:dyDescent="0.25">
      <c r="A79" s="21" t="s">
        <v>3412</v>
      </c>
      <c r="B79" s="21" t="s">
        <v>3413</v>
      </c>
      <c r="C79" s="21" t="s">
        <v>3365</v>
      </c>
    </row>
    <row r="80" spans="1:3" x14ac:dyDescent="0.25">
      <c r="A80" s="21" t="s">
        <v>3412</v>
      </c>
      <c r="B80" s="21" t="s">
        <v>3414</v>
      </c>
      <c r="C80" s="21" t="s">
        <v>3365</v>
      </c>
    </row>
    <row r="81" spans="1:3" x14ac:dyDescent="0.25">
      <c r="A81" s="21" t="s">
        <v>3415</v>
      </c>
      <c r="B81" s="21" t="s">
        <v>3416</v>
      </c>
      <c r="C81" s="21" t="s">
        <v>3365</v>
      </c>
    </row>
    <row r="82" spans="1:3" x14ac:dyDescent="0.25">
      <c r="A82" s="21" t="s">
        <v>3417</v>
      </c>
      <c r="B82" s="21" t="s">
        <v>3418</v>
      </c>
      <c r="C82" s="21" t="s">
        <v>3365</v>
      </c>
    </row>
    <row r="83" spans="1:3" x14ac:dyDescent="0.25">
      <c r="A83" s="21" t="s">
        <v>3419</v>
      </c>
      <c r="B83" s="21" t="s">
        <v>3420</v>
      </c>
      <c r="C83" s="21" t="s">
        <v>3365</v>
      </c>
    </row>
    <row r="84" spans="1:3" x14ac:dyDescent="0.25">
      <c r="A84" s="21" t="s">
        <v>3306</v>
      </c>
      <c r="B84" s="21" t="s">
        <v>3421</v>
      </c>
      <c r="C84" s="21" t="s">
        <v>3365</v>
      </c>
    </row>
    <row r="85" spans="1:3" x14ac:dyDescent="0.25">
      <c r="A85" s="21" t="s">
        <v>3306</v>
      </c>
      <c r="B85" s="21" t="s">
        <v>3422</v>
      </c>
      <c r="C85" s="21" t="s">
        <v>3365</v>
      </c>
    </row>
    <row r="86" spans="1:3" x14ac:dyDescent="0.25">
      <c r="A86" s="21" t="s">
        <v>3308</v>
      </c>
      <c r="B86" s="21" t="s">
        <v>3423</v>
      </c>
      <c r="C86" s="21" t="s">
        <v>3365</v>
      </c>
    </row>
    <row r="87" spans="1:3" x14ac:dyDescent="0.25">
      <c r="A87" s="21" t="s">
        <v>3308</v>
      </c>
      <c r="B87" s="21" t="s">
        <v>3424</v>
      </c>
      <c r="C87" s="21" t="s">
        <v>3365</v>
      </c>
    </row>
    <row r="88" spans="1:3" x14ac:dyDescent="0.25">
      <c r="A88" s="21" t="s">
        <v>3308</v>
      </c>
      <c r="B88" s="21" t="s">
        <v>3425</v>
      </c>
      <c r="C88" s="21" t="s">
        <v>3365</v>
      </c>
    </row>
    <row r="89" spans="1:3" x14ac:dyDescent="0.25">
      <c r="A89" s="21" t="s">
        <v>3314</v>
      </c>
      <c r="B89" s="21" t="s">
        <v>3426</v>
      </c>
      <c r="C89" s="21" t="s">
        <v>3365</v>
      </c>
    </row>
    <row r="90" spans="1:3" x14ac:dyDescent="0.25">
      <c r="A90" s="21" t="s">
        <v>3314</v>
      </c>
      <c r="B90" s="21" t="s">
        <v>3427</v>
      </c>
      <c r="C90" s="21" t="s">
        <v>3365</v>
      </c>
    </row>
    <row r="91" spans="1:3" x14ac:dyDescent="0.25">
      <c r="A91" s="21" t="s">
        <v>3316</v>
      </c>
      <c r="B91" s="21" t="s">
        <v>3428</v>
      </c>
      <c r="C91" s="21" t="s">
        <v>3365</v>
      </c>
    </row>
    <row r="92" spans="1:3" x14ac:dyDescent="0.25">
      <c r="A92" s="21" t="s">
        <v>3429</v>
      </c>
      <c r="B92" s="21" t="s">
        <v>3430</v>
      </c>
      <c r="C92" s="21" t="s">
        <v>3365</v>
      </c>
    </row>
    <row r="93" spans="1:3" x14ac:dyDescent="0.25">
      <c r="A93" s="21" t="s">
        <v>3429</v>
      </c>
      <c r="B93" s="21" t="s">
        <v>3431</v>
      </c>
      <c r="C93" s="21" t="s">
        <v>3365</v>
      </c>
    </row>
    <row r="94" spans="1:3" x14ac:dyDescent="0.25">
      <c r="A94" s="21" t="s">
        <v>3429</v>
      </c>
      <c r="B94" s="21" t="s">
        <v>3432</v>
      </c>
      <c r="C94" s="21" t="s">
        <v>3365</v>
      </c>
    </row>
    <row r="95" spans="1:3" x14ac:dyDescent="0.25">
      <c r="A95" s="21" t="s">
        <v>3318</v>
      </c>
      <c r="B95" s="21" t="s">
        <v>3433</v>
      </c>
      <c r="C95" s="21" t="s">
        <v>3365</v>
      </c>
    </row>
    <row r="96" spans="1:3" x14ac:dyDescent="0.25">
      <c r="A96" s="21" t="s">
        <v>3318</v>
      </c>
      <c r="B96" s="21" t="s">
        <v>3434</v>
      </c>
      <c r="C96" s="21" t="s">
        <v>3365</v>
      </c>
    </row>
    <row r="97" spans="1:3" x14ac:dyDescent="0.25">
      <c r="A97" s="21" t="s">
        <v>3318</v>
      </c>
      <c r="B97" s="21" t="s">
        <v>3435</v>
      </c>
      <c r="C97" s="21" t="s">
        <v>3365</v>
      </c>
    </row>
    <row r="98" spans="1:3" x14ac:dyDescent="0.25">
      <c r="A98" s="21" t="s">
        <v>3320</v>
      </c>
      <c r="B98" s="21" t="s">
        <v>3436</v>
      </c>
      <c r="C98" s="21" t="s">
        <v>3365</v>
      </c>
    </row>
    <row r="99" spans="1:3" x14ac:dyDescent="0.25">
      <c r="A99" s="21" t="s">
        <v>3437</v>
      </c>
      <c r="B99" s="21" t="s">
        <v>3438</v>
      </c>
      <c r="C99" s="21" t="s">
        <v>3365</v>
      </c>
    </row>
    <row r="100" spans="1:3" x14ac:dyDescent="0.25">
      <c r="A100" s="21" t="s">
        <v>3437</v>
      </c>
      <c r="B100" s="21" t="s">
        <v>3439</v>
      </c>
      <c r="C100" s="21" t="s">
        <v>3365</v>
      </c>
    </row>
    <row r="101" spans="1:3" x14ac:dyDescent="0.25">
      <c r="A101" s="21" t="s">
        <v>3437</v>
      </c>
      <c r="B101" s="21" t="s">
        <v>3440</v>
      </c>
      <c r="C101" s="21" t="s">
        <v>3365</v>
      </c>
    </row>
    <row r="102" spans="1:3" x14ac:dyDescent="0.25">
      <c r="A102" s="21" t="s">
        <v>3326</v>
      </c>
      <c r="B102" s="21" t="s">
        <v>3441</v>
      </c>
      <c r="C102" s="21" t="s">
        <v>3365</v>
      </c>
    </row>
    <row r="103" spans="1:3" x14ac:dyDescent="0.25">
      <c r="A103" s="21" t="s">
        <v>3442</v>
      </c>
      <c r="B103" s="21" t="s">
        <v>3443</v>
      </c>
      <c r="C103" s="21" t="s">
        <v>3365</v>
      </c>
    </row>
    <row r="104" spans="1:3" x14ac:dyDescent="0.25">
      <c r="A104" s="21" t="s">
        <v>3444</v>
      </c>
      <c r="B104" s="21" t="s">
        <v>3445</v>
      </c>
      <c r="C104" s="21" t="s">
        <v>3365</v>
      </c>
    </row>
    <row r="105" spans="1:3" x14ac:dyDescent="0.25">
      <c r="A105" s="21" t="s">
        <v>3446</v>
      </c>
      <c r="B105" s="21" t="s">
        <v>3447</v>
      </c>
      <c r="C105" s="21" t="s">
        <v>3365</v>
      </c>
    </row>
    <row r="106" spans="1:3" x14ac:dyDescent="0.25">
      <c r="A106" s="21" t="s">
        <v>3448</v>
      </c>
      <c r="B106" s="21" t="s">
        <v>3449</v>
      </c>
      <c r="C106" s="21" t="s">
        <v>3365</v>
      </c>
    </row>
    <row r="107" spans="1:3" x14ac:dyDescent="0.25">
      <c r="A107" s="21" t="s">
        <v>3450</v>
      </c>
      <c r="B107" s="21" t="s">
        <v>3451</v>
      </c>
      <c r="C107" s="21" t="s">
        <v>3365</v>
      </c>
    </row>
    <row r="108" spans="1:3" x14ac:dyDescent="0.25">
      <c r="A108" s="21" t="s">
        <v>3452</v>
      </c>
      <c r="B108" s="21" t="s">
        <v>3453</v>
      </c>
      <c r="C108" s="21" t="s">
        <v>3365</v>
      </c>
    </row>
    <row r="109" spans="1:3" x14ac:dyDescent="0.25">
      <c r="A109" s="21" t="s">
        <v>3344</v>
      </c>
      <c r="B109" s="21" t="s">
        <v>3454</v>
      </c>
      <c r="C109" s="21" t="s">
        <v>3365</v>
      </c>
    </row>
    <row r="110" spans="1:3" x14ac:dyDescent="0.25">
      <c r="A110" s="21" t="s">
        <v>3344</v>
      </c>
      <c r="B110" s="21" t="s">
        <v>3455</v>
      </c>
      <c r="C110" s="21" t="s">
        <v>3365</v>
      </c>
    </row>
    <row r="111" spans="1:3" x14ac:dyDescent="0.25">
      <c r="A111" s="21" t="s">
        <v>3348</v>
      </c>
      <c r="B111" s="21" t="s">
        <v>3456</v>
      </c>
      <c r="C111" s="21" t="s">
        <v>3365</v>
      </c>
    </row>
    <row r="112" spans="1:3" x14ac:dyDescent="0.25">
      <c r="A112" s="21" t="s">
        <v>3352</v>
      </c>
      <c r="B112" s="21" t="s">
        <v>3457</v>
      </c>
      <c r="C112" s="21" t="s">
        <v>3365</v>
      </c>
    </row>
    <row r="113" spans="1:3" x14ac:dyDescent="0.25">
      <c r="A113" s="21" t="s">
        <v>3352</v>
      </c>
      <c r="B113" s="21" t="s">
        <v>3458</v>
      </c>
      <c r="C113" s="21" t="s">
        <v>3365</v>
      </c>
    </row>
    <row r="114" spans="1:3" x14ac:dyDescent="0.25">
      <c r="A114" s="21" t="s">
        <v>3459</v>
      </c>
      <c r="B114" s="21" t="s">
        <v>3460</v>
      </c>
      <c r="C114" s="21" t="s">
        <v>3365</v>
      </c>
    </row>
    <row r="115" spans="1:3" x14ac:dyDescent="0.25">
      <c r="A115" s="21" t="s">
        <v>3356</v>
      </c>
      <c r="B115" s="21" t="s">
        <v>3461</v>
      </c>
      <c r="C115" s="21" t="s">
        <v>3365</v>
      </c>
    </row>
    <row r="116" spans="1:3" x14ac:dyDescent="0.25">
      <c r="A116" s="21" t="s">
        <v>3356</v>
      </c>
      <c r="B116" s="21" t="s">
        <v>3462</v>
      </c>
      <c r="C116" s="21" t="s">
        <v>3365</v>
      </c>
    </row>
    <row r="117" spans="1:3" x14ac:dyDescent="0.25">
      <c r="A117" s="21" t="s">
        <v>3356</v>
      </c>
      <c r="B117" s="21" t="s">
        <v>3463</v>
      </c>
      <c r="C117" s="21" t="s">
        <v>3365</v>
      </c>
    </row>
    <row r="118" spans="1:3" x14ac:dyDescent="0.25">
      <c r="A118" s="21" t="s">
        <v>3356</v>
      </c>
      <c r="B118" s="21" t="s">
        <v>3464</v>
      </c>
      <c r="C118" s="21" t="s">
        <v>3365</v>
      </c>
    </row>
    <row r="119" spans="1:3" x14ac:dyDescent="0.25">
      <c r="A119" s="21" t="s">
        <v>3361</v>
      </c>
      <c r="B119" s="21" t="s">
        <v>3465</v>
      </c>
      <c r="C119" s="21" t="s">
        <v>3365</v>
      </c>
    </row>
    <row r="120" spans="1:3" x14ac:dyDescent="0.25">
      <c r="A120" s="21" t="s">
        <v>4803</v>
      </c>
      <c r="B120" s="21" t="s">
        <v>4804</v>
      </c>
      <c r="C120" s="21" t="s">
        <v>3467</v>
      </c>
    </row>
    <row r="121" spans="1:3" x14ac:dyDescent="0.25">
      <c r="A121" s="21" t="s">
        <v>3369</v>
      </c>
      <c r="B121" s="21" t="s">
        <v>3466</v>
      </c>
      <c r="C121" s="21" t="s">
        <v>3467</v>
      </c>
    </row>
    <row r="122" spans="1:3" x14ac:dyDescent="0.25">
      <c r="A122" s="21" t="s">
        <v>3468</v>
      </c>
      <c r="B122" s="21" t="s">
        <v>3469</v>
      </c>
      <c r="C122" s="21" t="s">
        <v>3467</v>
      </c>
    </row>
    <row r="123" spans="1:3" x14ac:dyDescent="0.25">
      <c r="A123" s="21" t="s">
        <v>3470</v>
      </c>
      <c r="B123" s="21" t="s">
        <v>3471</v>
      </c>
      <c r="C123" s="21" t="s">
        <v>3467</v>
      </c>
    </row>
    <row r="124" spans="1:3" x14ac:dyDescent="0.25">
      <c r="A124" s="21" t="s">
        <v>3472</v>
      </c>
      <c r="B124" s="21" t="s">
        <v>3473</v>
      </c>
      <c r="C124" s="21" t="s">
        <v>3467</v>
      </c>
    </row>
    <row r="125" spans="1:3" x14ac:dyDescent="0.25">
      <c r="A125" s="21" t="s">
        <v>3290</v>
      </c>
      <c r="B125" s="21" t="s">
        <v>3474</v>
      </c>
      <c r="C125" s="21" t="s">
        <v>3467</v>
      </c>
    </row>
    <row r="126" spans="1:3" x14ac:dyDescent="0.25">
      <c r="A126" s="21" t="s">
        <v>3290</v>
      </c>
      <c r="B126" s="21" t="s">
        <v>3475</v>
      </c>
      <c r="C126" s="21" t="s">
        <v>3467</v>
      </c>
    </row>
    <row r="127" spans="1:3" x14ac:dyDescent="0.25">
      <c r="A127" s="21" t="s">
        <v>3378</v>
      </c>
      <c r="B127" s="21" t="s">
        <v>3476</v>
      </c>
      <c r="C127" s="21" t="s">
        <v>3467</v>
      </c>
    </row>
    <row r="128" spans="1:3" x14ac:dyDescent="0.25">
      <c r="A128" s="21" t="s">
        <v>3292</v>
      </c>
      <c r="B128" s="21" t="s">
        <v>3477</v>
      </c>
      <c r="C128" s="21" t="s">
        <v>3467</v>
      </c>
    </row>
    <row r="129" spans="1:3" x14ac:dyDescent="0.25">
      <c r="A129" s="21" t="s">
        <v>3384</v>
      </c>
      <c r="B129" s="21" t="s">
        <v>3478</v>
      </c>
      <c r="C129" s="21" t="s">
        <v>3467</v>
      </c>
    </row>
    <row r="130" spans="1:3" x14ac:dyDescent="0.25">
      <c r="A130" s="21" t="s">
        <v>3479</v>
      </c>
      <c r="B130" s="21" t="s">
        <v>3480</v>
      </c>
      <c r="C130" s="21" t="s">
        <v>3467</v>
      </c>
    </row>
    <row r="131" spans="1:3" x14ac:dyDescent="0.25">
      <c r="A131" s="21" t="s">
        <v>3294</v>
      </c>
      <c r="B131" s="21" t="s">
        <v>3481</v>
      </c>
      <c r="C131" s="21" t="s">
        <v>3467</v>
      </c>
    </row>
    <row r="132" spans="1:3" x14ac:dyDescent="0.25">
      <c r="A132" s="21" t="s">
        <v>3294</v>
      </c>
      <c r="B132" s="21" t="s">
        <v>3482</v>
      </c>
      <c r="C132" s="21" t="s">
        <v>3467</v>
      </c>
    </row>
    <row r="133" spans="1:3" x14ac:dyDescent="0.25">
      <c r="A133" s="21" t="s">
        <v>3294</v>
      </c>
      <c r="B133" s="21" t="s">
        <v>3483</v>
      </c>
      <c r="C133" s="21" t="s">
        <v>3467</v>
      </c>
    </row>
    <row r="134" spans="1:3" x14ac:dyDescent="0.25">
      <c r="A134" s="21" t="s">
        <v>3399</v>
      </c>
      <c r="B134" s="21" t="s">
        <v>3484</v>
      </c>
      <c r="C134" s="21" t="s">
        <v>3467</v>
      </c>
    </row>
    <row r="135" spans="1:3" x14ac:dyDescent="0.25">
      <c r="A135" s="21" t="s">
        <v>3404</v>
      </c>
      <c r="B135" s="21" t="s">
        <v>3485</v>
      </c>
      <c r="C135" s="21" t="s">
        <v>3467</v>
      </c>
    </row>
    <row r="136" spans="1:3" x14ac:dyDescent="0.25">
      <c r="A136" s="21" t="s">
        <v>3486</v>
      </c>
      <c r="B136" s="21" t="s">
        <v>3487</v>
      </c>
      <c r="C136" s="21" t="s">
        <v>3467</v>
      </c>
    </row>
    <row r="137" spans="1:3" x14ac:dyDescent="0.25">
      <c r="A137" s="21" t="s">
        <v>3298</v>
      </c>
      <c r="B137" s="21" t="s">
        <v>3488</v>
      </c>
      <c r="C137" s="21" t="s">
        <v>3467</v>
      </c>
    </row>
    <row r="138" spans="1:3" x14ac:dyDescent="0.25">
      <c r="A138" s="21" t="s">
        <v>3489</v>
      </c>
      <c r="B138" s="21" t="s">
        <v>3490</v>
      </c>
      <c r="C138" s="21" t="s">
        <v>3467</v>
      </c>
    </row>
    <row r="139" spans="1:3" x14ac:dyDescent="0.25">
      <c r="A139" s="21" t="s">
        <v>3302</v>
      </c>
      <c r="B139" s="21" t="s">
        <v>3491</v>
      </c>
      <c r="C139" s="21" t="s">
        <v>3467</v>
      </c>
    </row>
    <row r="140" spans="1:3" x14ac:dyDescent="0.25">
      <c r="A140" s="21" t="s">
        <v>3492</v>
      </c>
      <c r="B140" s="21" t="s">
        <v>3493</v>
      </c>
      <c r="C140" s="21" t="s">
        <v>3467</v>
      </c>
    </row>
    <row r="141" spans="1:3" x14ac:dyDescent="0.25">
      <c r="A141" s="21" t="s">
        <v>3417</v>
      </c>
      <c r="B141" s="21" t="s">
        <v>3494</v>
      </c>
      <c r="C141" s="21" t="s">
        <v>3467</v>
      </c>
    </row>
    <row r="142" spans="1:3" x14ac:dyDescent="0.25">
      <c r="A142" s="21" t="s">
        <v>3306</v>
      </c>
      <c r="B142" s="21" t="s">
        <v>3495</v>
      </c>
      <c r="C142" s="21" t="s">
        <v>3467</v>
      </c>
    </row>
    <row r="143" spans="1:3" x14ac:dyDescent="0.25">
      <c r="A143" s="21" t="s">
        <v>3314</v>
      </c>
      <c r="B143" s="21" t="s">
        <v>3496</v>
      </c>
      <c r="C143" s="21" t="s">
        <v>3467</v>
      </c>
    </row>
    <row r="144" spans="1:3" x14ac:dyDescent="0.25">
      <c r="A144" s="21" t="s">
        <v>3429</v>
      </c>
      <c r="B144" s="21" t="s">
        <v>3497</v>
      </c>
      <c r="C144" s="21" t="s">
        <v>3467</v>
      </c>
    </row>
    <row r="145" spans="1:3" x14ac:dyDescent="0.25">
      <c r="A145" s="21" t="s">
        <v>3318</v>
      </c>
      <c r="B145" s="21" t="s">
        <v>3498</v>
      </c>
      <c r="C145" s="21" t="s">
        <v>3467</v>
      </c>
    </row>
    <row r="146" spans="1:3" x14ac:dyDescent="0.25">
      <c r="A146" s="21" t="s">
        <v>3320</v>
      </c>
      <c r="B146" s="21" t="s">
        <v>3499</v>
      </c>
      <c r="C146" s="21" t="s">
        <v>3467</v>
      </c>
    </row>
    <row r="147" spans="1:3" x14ac:dyDescent="0.25">
      <c r="A147" s="21" t="s">
        <v>3500</v>
      </c>
      <c r="B147" s="21" t="s">
        <v>3501</v>
      </c>
      <c r="C147" s="21" t="s">
        <v>3467</v>
      </c>
    </row>
    <row r="148" spans="1:3" x14ac:dyDescent="0.25">
      <c r="A148" s="21" t="s">
        <v>3500</v>
      </c>
      <c r="B148" s="21" t="s">
        <v>3502</v>
      </c>
      <c r="C148" s="21" t="s">
        <v>3467</v>
      </c>
    </row>
    <row r="149" spans="1:3" x14ac:dyDescent="0.25">
      <c r="A149" s="21" t="s">
        <v>3503</v>
      </c>
      <c r="B149" s="21" t="s">
        <v>3504</v>
      </c>
      <c r="C149" s="21" t="s">
        <v>3467</v>
      </c>
    </row>
    <row r="150" spans="1:3" x14ac:dyDescent="0.25">
      <c r="A150" s="21" t="s">
        <v>3326</v>
      </c>
      <c r="B150" s="21" t="s">
        <v>3505</v>
      </c>
      <c r="C150" s="21" t="s">
        <v>3467</v>
      </c>
    </row>
    <row r="151" spans="1:3" x14ac:dyDescent="0.25">
      <c r="A151" s="21" t="s">
        <v>3506</v>
      </c>
      <c r="B151" s="21" t="s">
        <v>3507</v>
      </c>
      <c r="C151" s="21" t="s">
        <v>3467</v>
      </c>
    </row>
    <row r="152" spans="1:3" x14ac:dyDescent="0.25">
      <c r="A152" s="21" t="s">
        <v>3508</v>
      </c>
      <c r="B152" s="21" t="s">
        <v>3509</v>
      </c>
      <c r="C152" s="21" t="s">
        <v>3467</v>
      </c>
    </row>
    <row r="153" spans="1:3" x14ac:dyDescent="0.25">
      <c r="A153" s="21" t="s">
        <v>3510</v>
      </c>
      <c r="B153" s="21" t="s">
        <v>3511</v>
      </c>
      <c r="C153" s="21" t="s">
        <v>3467</v>
      </c>
    </row>
    <row r="154" spans="1:3" x14ac:dyDescent="0.25">
      <c r="A154" s="21" t="s">
        <v>3336</v>
      </c>
      <c r="B154" s="21" t="s">
        <v>3512</v>
      </c>
      <c r="C154" s="21" t="s">
        <v>3467</v>
      </c>
    </row>
    <row r="155" spans="1:3" x14ac:dyDescent="0.25">
      <c r="A155" s="21" t="s">
        <v>3513</v>
      </c>
      <c r="B155" s="21" t="s">
        <v>3514</v>
      </c>
      <c r="C155" s="21" t="s">
        <v>3467</v>
      </c>
    </row>
    <row r="156" spans="1:3" x14ac:dyDescent="0.25">
      <c r="A156" s="21" t="s">
        <v>3340</v>
      </c>
      <c r="B156" s="21" t="s">
        <v>3515</v>
      </c>
      <c r="C156" s="21" t="s">
        <v>3467</v>
      </c>
    </row>
    <row r="157" spans="1:3" x14ac:dyDescent="0.25">
      <c r="A157" s="21" t="s">
        <v>3516</v>
      </c>
      <c r="B157" s="21" t="s">
        <v>3517</v>
      </c>
      <c r="C157" s="21" t="s">
        <v>3467</v>
      </c>
    </row>
    <row r="158" spans="1:3" x14ac:dyDescent="0.25">
      <c r="A158" s="21" t="s">
        <v>3518</v>
      </c>
      <c r="B158" s="21" t="s">
        <v>3519</v>
      </c>
      <c r="C158" s="21" t="s">
        <v>3467</v>
      </c>
    </row>
    <row r="159" spans="1:3" x14ac:dyDescent="0.25">
      <c r="A159" s="21" t="s">
        <v>3520</v>
      </c>
      <c r="B159" s="21" t="s">
        <v>3521</v>
      </c>
      <c r="C159" s="21" t="s">
        <v>3467</v>
      </c>
    </row>
    <row r="160" spans="1:3" x14ac:dyDescent="0.25">
      <c r="A160" s="21" t="s">
        <v>3344</v>
      </c>
      <c r="B160" s="21" t="s">
        <v>3522</v>
      </c>
      <c r="C160" s="21" t="s">
        <v>3467</v>
      </c>
    </row>
    <row r="161" spans="1:3" x14ac:dyDescent="0.25">
      <c r="A161" s="21" t="s">
        <v>3344</v>
      </c>
      <c r="B161" s="21" t="s">
        <v>3523</v>
      </c>
      <c r="C161" s="21" t="s">
        <v>3467</v>
      </c>
    </row>
    <row r="162" spans="1:3" x14ac:dyDescent="0.25">
      <c r="A162" s="21" t="s">
        <v>3348</v>
      </c>
      <c r="B162" s="21" t="s">
        <v>3524</v>
      </c>
      <c r="C162" s="21" t="s">
        <v>3467</v>
      </c>
    </row>
    <row r="163" spans="1:3" x14ac:dyDescent="0.25">
      <c r="A163" s="21" t="s">
        <v>3350</v>
      </c>
      <c r="B163" s="21" t="s">
        <v>3525</v>
      </c>
      <c r="C163" s="21" t="s">
        <v>3467</v>
      </c>
    </row>
    <row r="164" spans="1:3" x14ac:dyDescent="0.25">
      <c r="A164" s="21" t="s">
        <v>3352</v>
      </c>
      <c r="B164" s="21" t="s">
        <v>3526</v>
      </c>
      <c r="C164" s="21" t="s">
        <v>3467</v>
      </c>
    </row>
    <row r="165" spans="1:3" x14ac:dyDescent="0.25">
      <c r="A165" s="21" t="s">
        <v>3354</v>
      </c>
      <c r="B165" s="21" t="s">
        <v>3527</v>
      </c>
      <c r="C165" s="21" t="s">
        <v>3467</v>
      </c>
    </row>
    <row r="166" spans="1:3" x14ac:dyDescent="0.25">
      <c r="A166" s="21" t="s">
        <v>3354</v>
      </c>
      <c r="B166" s="21" t="s">
        <v>3528</v>
      </c>
      <c r="C166" s="21" t="s">
        <v>3467</v>
      </c>
    </row>
    <row r="167" spans="1:3" x14ac:dyDescent="0.25">
      <c r="A167" s="21" t="s">
        <v>3356</v>
      </c>
      <c r="B167" s="21" t="s">
        <v>3529</v>
      </c>
      <c r="C167" s="21" t="s">
        <v>3467</v>
      </c>
    </row>
    <row r="168" spans="1:3" x14ac:dyDescent="0.25">
      <c r="A168" s="21" t="s">
        <v>3359</v>
      </c>
      <c r="B168" s="21" t="s">
        <v>3530</v>
      </c>
      <c r="C168" s="21" t="s">
        <v>3467</v>
      </c>
    </row>
    <row r="169" spans="1:3" x14ac:dyDescent="0.25">
      <c r="A169" s="21" t="s">
        <v>3361</v>
      </c>
      <c r="B169" s="21" t="s">
        <v>3531</v>
      </c>
      <c r="C169" s="21" t="s">
        <v>3467</v>
      </c>
    </row>
    <row r="170" spans="1:3" x14ac:dyDescent="0.25">
      <c r="A170" s="21" t="s">
        <v>3532</v>
      </c>
      <c r="B170" s="21" t="s">
        <v>3533</v>
      </c>
      <c r="C170" s="21" t="s">
        <v>3534</v>
      </c>
    </row>
    <row r="171" spans="1:3" x14ac:dyDescent="0.25">
      <c r="A171" s="21" t="s">
        <v>3535</v>
      </c>
      <c r="B171" s="21" t="s">
        <v>3536</v>
      </c>
      <c r="C171" s="21" t="s">
        <v>3534</v>
      </c>
    </row>
    <row r="172" spans="1:3" x14ac:dyDescent="0.25">
      <c r="A172" s="21" t="s">
        <v>3537</v>
      </c>
      <c r="B172" s="21" t="s">
        <v>3538</v>
      </c>
      <c r="C172" s="21" t="s">
        <v>3534</v>
      </c>
    </row>
    <row r="173" spans="1:3" x14ac:dyDescent="0.25">
      <c r="A173" s="21" t="s">
        <v>3539</v>
      </c>
      <c r="B173" s="21" t="s">
        <v>3540</v>
      </c>
      <c r="C173" s="21" t="s">
        <v>3534</v>
      </c>
    </row>
    <row r="174" spans="1:3" x14ac:dyDescent="0.25">
      <c r="A174" s="21" t="s">
        <v>3541</v>
      </c>
      <c r="B174" s="21" t="s">
        <v>3542</v>
      </c>
      <c r="C174" s="21" t="s">
        <v>3534</v>
      </c>
    </row>
    <row r="175" spans="1:3" x14ac:dyDescent="0.25">
      <c r="A175" s="21" t="s">
        <v>3543</v>
      </c>
      <c r="B175" s="21" t="s">
        <v>3544</v>
      </c>
      <c r="C175" s="21" t="s">
        <v>3534</v>
      </c>
    </row>
    <row r="176" spans="1:3" x14ac:dyDescent="0.25">
      <c r="A176" s="21" t="s">
        <v>3545</v>
      </c>
      <c r="B176" s="21" t="s">
        <v>3546</v>
      </c>
      <c r="C176" s="21" t="s">
        <v>3534</v>
      </c>
    </row>
    <row r="177" spans="1:3" x14ac:dyDescent="0.25">
      <c r="A177" s="21" t="s">
        <v>3547</v>
      </c>
      <c r="B177" s="21" t="s">
        <v>3548</v>
      </c>
      <c r="C177" s="21" t="s">
        <v>3534</v>
      </c>
    </row>
    <row r="178" spans="1:3" x14ac:dyDescent="0.25">
      <c r="A178" s="21" t="s">
        <v>3549</v>
      </c>
      <c r="B178" s="21" t="s">
        <v>3550</v>
      </c>
      <c r="C178" s="21" t="s">
        <v>3534</v>
      </c>
    </row>
    <row r="179" spans="1:3" x14ac:dyDescent="0.25">
      <c r="A179" s="21" t="s">
        <v>3468</v>
      </c>
      <c r="B179" s="21" t="s">
        <v>3551</v>
      </c>
      <c r="C179" s="21" t="s">
        <v>3534</v>
      </c>
    </row>
    <row r="180" spans="1:3" x14ac:dyDescent="0.25">
      <c r="A180" s="21" t="s">
        <v>3468</v>
      </c>
      <c r="B180" s="21" t="s">
        <v>3552</v>
      </c>
      <c r="C180" s="21" t="s">
        <v>3534</v>
      </c>
    </row>
    <row r="181" spans="1:3" x14ac:dyDescent="0.25">
      <c r="A181" s="21" t="s">
        <v>3375</v>
      </c>
      <c r="B181" s="21" t="s">
        <v>3553</v>
      </c>
      <c r="C181" s="21" t="s">
        <v>3534</v>
      </c>
    </row>
    <row r="182" spans="1:3" x14ac:dyDescent="0.25">
      <c r="A182" s="21" t="s">
        <v>3288</v>
      </c>
      <c r="B182" s="21" t="s">
        <v>3554</v>
      </c>
      <c r="C182" s="21" t="s">
        <v>3534</v>
      </c>
    </row>
    <row r="183" spans="1:3" x14ac:dyDescent="0.25">
      <c r="A183" s="21" t="s">
        <v>3555</v>
      </c>
      <c r="B183" s="21" t="s">
        <v>3556</v>
      </c>
      <c r="C183" s="21" t="s">
        <v>3534</v>
      </c>
    </row>
    <row r="184" spans="1:3" x14ac:dyDescent="0.25">
      <c r="A184" s="21" t="s">
        <v>3479</v>
      </c>
      <c r="B184" s="21" t="s">
        <v>3557</v>
      </c>
      <c r="C184" s="21" t="s">
        <v>3534</v>
      </c>
    </row>
    <row r="185" spans="1:3" x14ac:dyDescent="0.25">
      <c r="A185" s="21" t="s">
        <v>3558</v>
      </c>
      <c r="B185" s="21" t="s">
        <v>3559</v>
      </c>
      <c r="C185" s="21" t="s">
        <v>3534</v>
      </c>
    </row>
    <row r="186" spans="1:3" x14ac:dyDescent="0.25">
      <c r="A186" s="21" t="s">
        <v>3399</v>
      </c>
      <c r="B186" s="21" t="s">
        <v>3560</v>
      </c>
      <c r="C186" s="21" t="s">
        <v>3534</v>
      </c>
    </row>
    <row r="187" spans="1:3" x14ac:dyDescent="0.25">
      <c r="A187" s="21" t="s">
        <v>3300</v>
      </c>
      <c r="B187" s="21" t="s">
        <v>3561</v>
      </c>
      <c r="C187" s="21" t="s">
        <v>3534</v>
      </c>
    </row>
    <row r="188" spans="1:3" x14ac:dyDescent="0.25">
      <c r="A188" s="21" t="s">
        <v>3489</v>
      </c>
      <c r="B188" s="21" t="s">
        <v>3562</v>
      </c>
      <c r="C188" s="21" t="s">
        <v>3534</v>
      </c>
    </row>
    <row r="189" spans="1:3" x14ac:dyDescent="0.25">
      <c r="A189" s="21" t="s">
        <v>3563</v>
      </c>
      <c r="B189" s="21" t="s">
        <v>3564</v>
      </c>
      <c r="C189" s="21" t="s">
        <v>3534</v>
      </c>
    </row>
    <row r="190" spans="1:3" x14ac:dyDescent="0.25">
      <c r="A190" s="21" t="s">
        <v>3492</v>
      </c>
      <c r="B190" s="21" t="s">
        <v>3565</v>
      </c>
      <c r="C190" s="21" t="s">
        <v>3534</v>
      </c>
    </row>
    <row r="191" spans="1:3" x14ac:dyDescent="0.25">
      <c r="A191" s="21" t="s">
        <v>3310</v>
      </c>
      <c r="B191" s="21" t="s">
        <v>3566</v>
      </c>
      <c r="C191" s="21" t="s">
        <v>3534</v>
      </c>
    </row>
    <row r="192" spans="1:3" x14ac:dyDescent="0.25">
      <c r="A192" s="21" t="s">
        <v>3312</v>
      </c>
      <c r="B192" s="21" t="s">
        <v>3567</v>
      </c>
      <c r="C192" s="21" t="s">
        <v>3534</v>
      </c>
    </row>
    <row r="193" spans="1:3" x14ac:dyDescent="0.25">
      <c r="A193" s="21" t="s">
        <v>3318</v>
      </c>
      <c r="B193" s="21" t="s">
        <v>3568</v>
      </c>
      <c r="C193" s="21" t="s">
        <v>3534</v>
      </c>
    </row>
    <row r="194" spans="1:3" x14ac:dyDescent="0.25">
      <c r="A194" s="21" t="s">
        <v>3326</v>
      </c>
      <c r="B194" s="21" t="s">
        <v>3569</v>
      </c>
      <c r="C194" s="21" t="s">
        <v>3534</v>
      </c>
    </row>
    <row r="195" spans="1:3" x14ac:dyDescent="0.25">
      <c r="A195" s="21" t="s">
        <v>3570</v>
      </c>
      <c r="B195" s="21" t="s">
        <v>3571</v>
      </c>
      <c r="C195" s="21" t="s">
        <v>3534</v>
      </c>
    </row>
    <row r="196" spans="1:3" x14ac:dyDescent="0.25">
      <c r="A196" s="21" t="s">
        <v>3338</v>
      </c>
      <c r="B196" s="21" t="s">
        <v>3572</v>
      </c>
      <c r="C196" s="21" t="s">
        <v>3534</v>
      </c>
    </row>
    <row r="197" spans="1:3" x14ac:dyDescent="0.25">
      <c r="A197" s="21" t="s">
        <v>3340</v>
      </c>
      <c r="B197" s="21" t="s">
        <v>3573</v>
      </c>
      <c r="C197" s="21" t="s">
        <v>3534</v>
      </c>
    </row>
    <row r="198" spans="1:3" x14ac:dyDescent="0.25">
      <c r="A198" s="21" t="s">
        <v>3516</v>
      </c>
      <c r="B198" s="21" t="s">
        <v>3574</v>
      </c>
      <c r="C198" s="21" t="s">
        <v>3534</v>
      </c>
    </row>
    <row r="199" spans="1:3" x14ac:dyDescent="0.25">
      <c r="A199" s="21" t="s">
        <v>3520</v>
      </c>
      <c r="B199" s="21" t="s">
        <v>3575</v>
      </c>
      <c r="C199" s="21" t="s">
        <v>3534</v>
      </c>
    </row>
    <row r="200" spans="1:3" x14ac:dyDescent="0.25">
      <c r="A200" s="21" t="s">
        <v>3348</v>
      </c>
      <c r="B200" s="21" t="s">
        <v>3576</v>
      </c>
      <c r="C200" s="21" t="s">
        <v>3534</v>
      </c>
    </row>
    <row r="201" spans="1:3" x14ac:dyDescent="0.25">
      <c r="A201" s="21" t="s">
        <v>3350</v>
      </c>
      <c r="B201" s="21" t="s">
        <v>3577</v>
      </c>
      <c r="C201" s="21" t="s">
        <v>3534</v>
      </c>
    </row>
    <row r="202" spans="1:3" x14ac:dyDescent="0.25">
      <c r="A202" s="21" t="s">
        <v>3459</v>
      </c>
      <c r="B202" s="21" t="s">
        <v>3578</v>
      </c>
      <c r="C202" s="21" t="s">
        <v>3534</v>
      </c>
    </row>
    <row r="203" spans="1:3" x14ac:dyDescent="0.25">
      <c r="A203" s="21" t="s">
        <v>3356</v>
      </c>
      <c r="B203" s="21" t="s">
        <v>3579</v>
      </c>
      <c r="C203" s="21" t="s">
        <v>3534</v>
      </c>
    </row>
    <row r="204" spans="1:3" x14ac:dyDescent="0.25">
      <c r="A204" s="21" t="s">
        <v>3361</v>
      </c>
      <c r="B204" s="21" t="s">
        <v>3580</v>
      </c>
      <c r="C204" s="21" t="s">
        <v>3534</v>
      </c>
    </row>
    <row r="205" spans="1:3" x14ac:dyDescent="0.25">
      <c r="A205" s="21" t="s">
        <v>3539</v>
      </c>
      <c r="B205" s="21" t="s">
        <v>3581</v>
      </c>
      <c r="C205" s="21" t="s">
        <v>3582</v>
      </c>
    </row>
    <row r="206" spans="1:3" x14ac:dyDescent="0.25">
      <c r="A206" s="21" t="s">
        <v>3288</v>
      </c>
      <c r="B206" s="21" t="s">
        <v>3583</v>
      </c>
      <c r="C206" s="21" t="s">
        <v>3582</v>
      </c>
    </row>
    <row r="207" spans="1:3" x14ac:dyDescent="0.25">
      <c r="A207" s="21" t="s">
        <v>3555</v>
      </c>
      <c r="B207" s="21" t="s">
        <v>3584</v>
      </c>
      <c r="C207" s="21" t="s">
        <v>3582</v>
      </c>
    </row>
    <row r="208" spans="1:3" x14ac:dyDescent="0.25">
      <c r="A208" s="21" t="s">
        <v>3555</v>
      </c>
      <c r="B208" s="21" t="s">
        <v>3585</v>
      </c>
      <c r="C208" s="21" t="s">
        <v>3582</v>
      </c>
    </row>
    <row r="209" spans="1:3" x14ac:dyDescent="0.25">
      <c r="A209" s="21" t="s">
        <v>3586</v>
      </c>
      <c r="B209" s="21" t="s">
        <v>3587</v>
      </c>
      <c r="C209" s="21" t="s">
        <v>3582</v>
      </c>
    </row>
    <row r="210" spans="1:3" x14ac:dyDescent="0.25">
      <c r="A210" s="21" t="s">
        <v>3472</v>
      </c>
      <c r="B210" s="21" t="s">
        <v>3588</v>
      </c>
      <c r="C210" s="21" t="s">
        <v>3582</v>
      </c>
    </row>
    <row r="211" spans="1:3" x14ac:dyDescent="0.25">
      <c r="A211" s="21" t="s">
        <v>3292</v>
      </c>
      <c r="B211" s="21" t="s">
        <v>3589</v>
      </c>
      <c r="C211" s="21" t="s">
        <v>3582</v>
      </c>
    </row>
    <row r="212" spans="1:3" x14ac:dyDescent="0.25">
      <c r="A212" s="21" t="s">
        <v>3292</v>
      </c>
      <c r="B212" s="21" t="s">
        <v>3590</v>
      </c>
      <c r="C212" s="21" t="s">
        <v>3582</v>
      </c>
    </row>
    <row r="213" spans="1:3" x14ac:dyDescent="0.25">
      <c r="A213" s="21" t="s">
        <v>3591</v>
      </c>
      <c r="B213" s="21" t="s">
        <v>3592</v>
      </c>
      <c r="C213" s="21" t="s">
        <v>3582</v>
      </c>
    </row>
    <row r="214" spans="1:3" x14ac:dyDescent="0.25">
      <c r="A214" s="21" t="s">
        <v>3294</v>
      </c>
      <c r="B214" s="21" t="s">
        <v>3593</v>
      </c>
      <c r="C214" s="21" t="s">
        <v>3582</v>
      </c>
    </row>
    <row r="215" spans="1:3" x14ac:dyDescent="0.25">
      <c r="A215" s="21" t="s">
        <v>3395</v>
      </c>
      <c r="B215" s="21" t="s">
        <v>3594</v>
      </c>
      <c r="C215" s="21" t="s">
        <v>3582</v>
      </c>
    </row>
    <row r="216" spans="1:3" x14ac:dyDescent="0.25">
      <c r="A216" s="21" t="s">
        <v>3399</v>
      </c>
      <c r="B216" s="21" t="s">
        <v>3595</v>
      </c>
      <c r="C216" s="21" t="s">
        <v>3582</v>
      </c>
    </row>
    <row r="217" spans="1:3" x14ac:dyDescent="0.25">
      <c r="A217" s="21" t="s">
        <v>3404</v>
      </c>
      <c r="B217" s="21" t="s">
        <v>3596</v>
      </c>
      <c r="C217" s="21" t="s">
        <v>3582</v>
      </c>
    </row>
    <row r="218" spans="1:3" x14ac:dyDescent="0.25">
      <c r="A218" s="21" t="s">
        <v>3597</v>
      </c>
      <c r="B218" s="21" t="s">
        <v>3598</v>
      </c>
      <c r="C218" s="21" t="s">
        <v>3582</v>
      </c>
    </row>
    <row r="219" spans="1:3" x14ac:dyDescent="0.25">
      <c r="A219" s="21" t="s">
        <v>3410</v>
      </c>
      <c r="B219" s="21" t="s">
        <v>3599</v>
      </c>
      <c r="C219" s="21" t="s">
        <v>3582</v>
      </c>
    </row>
    <row r="220" spans="1:3" x14ac:dyDescent="0.25">
      <c r="A220" s="21" t="s">
        <v>3410</v>
      </c>
      <c r="B220" s="21" t="s">
        <v>3600</v>
      </c>
      <c r="C220" s="21" t="s">
        <v>3582</v>
      </c>
    </row>
    <row r="221" spans="1:3" x14ac:dyDescent="0.25">
      <c r="A221" s="21" t="s">
        <v>3415</v>
      </c>
      <c r="B221" s="21" t="s">
        <v>3601</v>
      </c>
      <c r="C221" s="21" t="s">
        <v>3582</v>
      </c>
    </row>
    <row r="222" spans="1:3" x14ac:dyDescent="0.25">
      <c r="A222" s="21" t="s">
        <v>3306</v>
      </c>
      <c r="B222" s="21" t="s">
        <v>3602</v>
      </c>
      <c r="C222" s="21" t="s">
        <v>3582</v>
      </c>
    </row>
    <row r="223" spans="1:3" x14ac:dyDescent="0.25">
      <c r="A223" s="21" t="s">
        <v>3312</v>
      </c>
      <c r="B223" s="21" t="s">
        <v>3603</v>
      </c>
      <c r="C223" s="21" t="s">
        <v>3582</v>
      </c>
    </row>
    <row r="224" spans="1:3" x14ac:dyDescent="0.25">
      <c r="A224" s="21" t="s">
        <v>3314</v>
      </c>
      <c r="B224" s="21" t="s">
        <v>3604</v>
      </c>
      <c r="C224" s="21" t="s">
        <v>3582</v>
      </c>
    </row>
    <row r="225" spans="1:3" x14ac:dyDescent="0.25">
      <c r="A225" s="21" t="s">
        <v>3316</v>
      </c>
      <c r="B225" s="21" t="s">
        <v>3605</v>
      </c>
      <c r="C225" s="21" t="s">
        <v>3582</v>
      </c>
    </row>
    <row r="226" spans="1:3" x14ac:dyDescent="0.25">
      <c r="A226" s="21" t="s">
        <v>3606</v>
      </c>
      <c r="B226" s="21" t="s">
        <v>3607</v>
      </c>
      <c r="C226" s="21" t="s">
        <v>3582</v>
      </c>
    </row>
    <row r="227" spans="1:3" x14ac:dyDescent="0.25">
      <c r="A227" s="21" t="s">
        <v>3608</v>
      </c>
      <c r="B227" s="21" t="s">
        <v>3609</v>
      </c>
      <c r="C227" s="21" t="s">
        <v>3582</v>
      </c>
    </row>
    <row r="228" spans="1:3" x14ac:dyDescent="0.25">
      <c r="A228" s="21" t="s">
        <v>3429</v>
      </c>
      <c r="B228" s="21" t="s">
        <v>3610</v>
      </c>
      <c r="C228" s="21" t="s">
        <v>3582</v>
      </c>
    </row>
    <row r="229" spans="1:3" x14ac:dyDescent="0.25">
      <c r="A229" s="21" t="s">
        <v>3318</v>
      </c>
      <c r="B229" s="21" t="s">
        <v>3611</v>
      </c>
      <c r="C229" s="21" t="s">
        <v>3582</v>
      </c>
    </row>
    <row r="230" spans="1:3" x14ac:dyDescent="0.25">
      <c r="A230" s="21" t="s">
        <v>3320</v>
      </c>
      <c r="B230" s="21" t="s">
        <v>3612</v>
      </c>
      <c r="C230" s="21" t="s">
        <v>3582</v>
      </c>
    </row>
    <row r="231" spans="1:3" x14ac:dyDescent="0.25">
      <c r="A231" s="21" t="s">
        <v>3437</v>
      </c>
      <c r="B231" s="21" t="s">
        <v>3613</v>
      </c>
      <c r="C231" s="21" t="s">
        <v>3582</v>
      </c>
    </row>
    <row r="232" spans="1:3" x14ac:dyDescent="0.25">
      <c r="A232" s="21" t="s">
        <v>3322</v>
      </c>
      <c r="B232" s="21" t="s">
        <v>3614</v>
      </c>
      <c r="C232" s="21" t="s">
        <v>3582</v>
      </c>
    </row>
    <row r="233" spans="1:3" x14ac:dyDescent="0.25">
      <c r="A233" s="21" t="s">
        <v>3615</v>
      </c>
      <c r="B233" s="21" t="s">
        <v>3616</v>
      </c>
      <c r="C233" s="21" t="s">
        <v>3582</v>
      </c>
    </row>
    <row r="234" spans="1:3" x14ac:dyDescent="0.25">
      <c r="A234" s="21" t="s">
        <v>3617</v>
      </c>
      <c r="B234" s="21" t="s">
        <v>3618</v>
      </c>
      <c r="C234" s="21" t="s">
        <v>3582</v>
      </c>
    </row>
    <row r="235" spans="1:3" x14ac:dyDescent="0.25">
      <c r="A235" s="21" t="s">
        <v>3619</v>
      </c>
      <c r="B235" s="21" t="s">
        <v>3620</v>
      </c>
      <c r="C235" s="21" t="s">
        <v>3582</v>
      </c>
    </row>
    <row r="236" spans="1:3" x14ac:dyDescent="0.25">
      <c r="A236" s="21" t="s">
        <v>3621</v>
      </c>
      <c r="B236" s="21" t="s">
        <v>3622</v>
      </c>
      <c r="C236" s="21" t="s">
        <v>3582</v>
      </c>
    </row>
    <row r="237" spans="1:3" x14ac:dyDescent="0.25">
      <c r="A237" s="21" t="s">
        <v>3623</v>
      </c>
      <c r="B237" s="21" t="s">
        <v>3624</v>
      </c>
      <c r="C237" s="21" t="s">
        <v>3582</v>
      </c>
    </row>
    <row r="238" spans="1:3" x14ac:dyDescent="0.25">
      <c r="A238" s="21" t="s">
        <v>3444</v>
      </c>
      <c r="B238" s="21" t="s">
        <v>3625</v>
      </c>
      <c r="C238" s="21" t="s">
        <v>3582</v>
      </c>
    </row>
    <row r="239" spans="1:3" x14ac:dyDescent="0.25">
      <c r="A239" s="21" t="s">
        <v>3626</v>
      </c>
      <c r="B239" s="21" t="s">
        <v>3627</v>
      </c>
      <c r="C239" s="21" t="s">
        <v>3582</v>
      </c>
    </row>
    <row r="240" spans="1:3" x14ac:dyDescent="0.25">
      <c r="A240" s="21" t="s">
        <v>3628</v>
      </c>
      <c r="B240" s="21" t="s">
        <v>3629</v>
      </c>
      <c r="C240" s="21" t="s">
        <v>3582</v>
      </c>
    </row>
    <row r="241" spans="1:3" x14ac:dyDescent="0.25">
      <c r="A241" s="21" t="s">
        <v>3630</v>
      </c>
      <c r="B241" s="21" t="s">
        <v>3631</v>
      </c>
      <c r="C241" s="21" t="s">
        <v>3582</v>
      </c>
    </row>
    <row r="242" spans="1:3" x14ac:dyDescent="0.25">
      <c r="A242" s="21" t="s">
        <v>3632</v>
      </c>
      <c r="B242" s="21" t="s">
        <v>3633</v>
      </c>
      <c r="C242" s="21" t="s">
        <v>3582</v>
      </c>
    </row>
    <row r="243" spans="1:3" x14ac:dyDescent="0.25">
      <c r="A243" s="21" t="s">
        <v>3332</v>
      </c>
      <c r="B243" s="21" t="s">
        <v>3634</v>
      </c>
      <c r="C243" s="21" t="s">
        <v>3582</v>
      </c>
    </row>
    <row r="244" spans="1:3" x14ac:dyDescent="0.25">
      <c r="A244" s="21" t="s">
        <v>3446</v>
      </c>
      <c r="B244" s="21" t="s">
        <v>3635</v>
      </c>
      <c r="C244" s="21" t="s">
        <v>3582</v>
      </c>
    </row>
    <row r="245" spans="1:3" x14ac:dyDescent="0.25">
      <c r="A245" s="21" t="s">
        <v>3336</v>
      </c>
      <c r="B245" s="21" t="s">
        <v>3636</v>
      </c>
      <c r="C245" s="21" t="s">
        <v>3582</v>
      </c>
    </row>
    <row r="246" spans="1:3" x14ac:dyDescent="0.25">
      <c r="A246" s="21" t="s">
        <v>3338</v>
      </c>
      <c r="B246" s="21" t="s">
        <v>3637</v>
      </c>
      <c r="C246" s="21" t="s">
        <v>3582</v>
      </c>
    </row>
    <row r="247" spans="1:3" x14ac:dyDescent="0.25">
      <c r="A247" s="21" t="s">
        <v>3450</v>
      </c>
      <c r="B247" s="21" t="s">
        <v>3638</v>
      </c>
      <c r="C247" s="21" t="s">
        <v>3582</v>
      </c>
    </row>
    <row r="248" spans="1:3" x14ac:dyDescent="0.25">
      <c r="A248" s="21" t="s">
        <v>3513</v>
      </c>
      <c r="B248" s="21" t="s">
        <v>3639</v>
      </c>
      <c r="C248" s="21" t="s">
        <v>3582</v>
      </c>
    </row>
    <row r="249" spans="1:3" x14ac:dyDescent="0.25">
      <c r="A249" s="21" t="s">
        <v>3513</v>
      </c>
      <c r="B249" s="21" t="s">
        <v>3640</v>
      </c>
      <c r="C249" s="21" t="s">
        <v>3582</v>
      </c>
    </row>
    <row r="250" spans="1:3" x14ac:dyDescent="0.25">
      <c r="A250" s="21" t="s">
        <v>3516</v>
      </c>
      <c r="B250" s="21" t="s">
        <v>3641</v>
      </c>
      <c r="C250" s="21" t="s">
        <v>3582</v>
      </c>
    </row>
    <row r="251" spans="1:3" x14ac:dyDescent="0.25">
      <c r="A251" s="21" t="s">
        <v>3452</v>
      </c>
      <c r="B251" s="21" t="s">
        <v>3642</v>
      </c>
      <c r="C251" s="21" t="s">
        <v>3582</v>
      </c>
    </row>
    <row r="252" spans="1:3" x14ac:dyDescent="0.25">
      <c r="A252" s="21" t="s">
        <v>3344</v>
      </c>
      <c r="B252" s="21" t="s">
        <v>3643</v>
      </c>
      <c r="C252" s="21" t="s">
        <v>3582</v>
      </c>
    </row>
    <row r="253" spans="1:3" x14ac:dyDescent="0.25">
      <c r="A253" s="21" t="s">
        <v>3346</v>
      </c>
      <c r="B253" s="21" t="s">
        <v>3644</v>
      </c>
      <c r="C253" s="21" t="s">
        <v>3582</v>
      </c>
    </row>
    <row r="254" spans="1:3" x14ac:dyDescent="0.25">
      <c r="A254" s="21" t="s">
        <v>3348</v>
      </c>
      <c r="B254" s="21" t="s">
        <v>3645</v>
      </c>
      <c r="C254" s="21" t="s">
        <v>3582</v>
      </c>
    </row>
    <row r="255" spans="1:3" x14ac:dyDescent="0.25">
      <c r="A255" s="21" t="s">
        <v>3350</v>
      </c>
      <c r="B255" s="21" t="s">
        <v>3646</v>
      </c>
      <c r="C255" s="21" t="s">
        <v>3582</v>
      </c>
    </row>
    <row r="256" spans="1:3" x14ac:dyDescent="0.25">
      <c r="A256" s="21" t="s">
        <v>3459</v>
      </c>
      <c r="B256" s="21" t="s">
        <v>3647</v>
      </c>
      <c r="C256" s="21" t="s">
        <v>3582</v>
      </c>
    </row>
    <row r="257" spans="1:3" x14ac:dyDescent="0.25">
      <c r="A257" s="21" t="s">
        <v>3354</v>
      </c>
      <c r="B257" s="21" t="s">
        <v>3648</v>
      </c>
      <c r="C257" s="21" t="s">
        <v>3582</v>
      </c>
    </row>
    <row r="258" spans="1:3" x14ac:dyDescent="0.25">
      <c r="A258" s="21" t="s">
        <v>3356</v>
      </c>
      <c r="B258" s="21" t="s">
        <v>3649</v>
      </c>
      <c r="C258" s="21" t="s">
        <v>3582</v>
      </c>
    </row>
    <row r="259" spans="1:3" x14ac:dyDescent="0.25">
      <c r="A259" s="21" t="s">
        <v>3359</v>
      </c>
      <c r="B259" s="21" t="s">
        <v>3650</v>
      </c>
      <c r="C259" s="21" t="s">
        <v>3582</v>
      </c>
    </row>
    <row r="260" spans="1:3" x14ac:dyDescent="0.25">
      <c r="A260" s="21" t="s">
        <v>3361</v>
      </c>
      <c r="B260" s="21" t="s">
        <v>3651</v>
      </c>
      <c r="C260" s="21" t="s">
        <v>3582</v>
      </c>
    </row>
    <row r="261" spans="1:3" x14ac:dyDescent="0.25">
      <c r="A261" s="21" t="s">
        <v>3652</v>
      </c>
      <c r="B261" s="21" t="s">
        <v>3653</v>
      </c>
      <c r="C261" s="21" t="s">
        <v>3654</v>
      </c>
    </row>
    <row r="262" spans="1:3" x14ac:dyDescent="0.25">
      <c r="A262" s="21" t="s">
        <v>3543</v>
      </c>
      <c r="B262" s="21" t="s">
        <v>3655</v>
      </c>
      <c r="C262" s="21" t="s">
        <v>3654</v>
      </c>
    </row>
    <row r="263" spans="1:3" x14ac:dyDescent="0.25">
      <c r="A263" s="21" t="s">
        <v>3547</v>
      </c>
      <c r="B263" s="21" t="s">
        <v>3656</v>
      </c>
      <c r="C263" s="21" t="s">
        <v>3654</v>
      </c>
    </row>
    <row r="264" spans="1:3" x14ac:dyDescent="0.25">
      <c r="A264" s="21" t="s">
        <v>3657</v>
      </c>
      <c r="B264" s="21" t="s">
        <v>3658</v>
      </c>
      <c r="C264" s="21" t="s">
        <v>3654</v>
      </c>
    </row>
    <row r="265" spans="1:3" x14ac:dyDescent="0.25">
      <c r="A265" s="21" t="s">
        <v>3468</v>
      </c>
      <c r="B265" s="21" t="s">
        <v>3659</v>
      </c>
      <c r="C265" s="21" t="s">
        <v>3654</v>
      </c>
    </row>
    <row r="266" spans="1:3" x14ac:dyDescent="0.25">
      <c r="A266" s="21" t="s">
        <v>3378</v>
      </c>
      <c r="B266" s="21" t="s">
        <v>3660</v>
      </c>
      <c r="C266" s="21" t="s">
        <v>3654</v>
      </c>
    </row>
    <row r="267" spans="1:3" x14ac:dyDescent="0.25">
      <c r="A267" s="21" t="s">
        <v>3292</v>
      </c>
      <c r="B267" s="21" t="s">
        <v>3661</v>
      </c>
      <c r="C267" s="21" t="s">
        <v>3654</v>
      </c>
    </row>
    <row r="268" spans="1:3" x14ac:dyDescent="0.25">
      <c r="A268" s="21" t="s">
        <v>3384</v>
      </c>
      <c r="B268" s="21" t="s">
        <v>3662</v>
      </c>
      <c r="C268" s="21" t="s">
        <v>3654</v>
      </c>
    </row>
    <row r="269" spans="1:3" x14ac:dyDescent="0.25">
      <c r="A269" s="21" t="s">
        <v>3663</v>
      </c>
      <c r="B269" s="21" t="s">
        <v>3664</v>
      </c>
      <c r="C269" s="21" t="s">
        <v>3654</v>
      </c>
    </row>
    <row r="270" spans="1:3" x14ac:dyDescent="0.25">
      <c r="A270" s="21" t="s">
        <v>3395</v>
      </c>
      <c r="B270" s="21" t="s">
        <v>3665</v>
      </c>
      <c r="C270" s="21" t="s">
        <v>3654</v>
      </c>
    </row>
    <row r="271" spans="1:3" x14ac:dyDescent="0.25">
      <c r="A271" s="21" t="s">
        <v>3404</v>
      </c>
      <c r="B271" s="21" t="s">
        <v>3666</v>
      </c>
      <c r="C271" s="21" t="s">
        <v>3654</v>
      </c>
    </row>
    <row r="272" spans="1:3" x14ac:dyDescent="0.25">
      <c r="A272" s="21" t="s">
        <v>3667</v>
      </c>
      <c r="B272" s="21" t="s">
        <v>3668</v>
      </c>
      <c r="C272" s="21" t="s">
        <v>3654</v>
      </c>
    </row>
    <row r="273" spans="1:3" x14ac:dyDescent="0.25">
      <c r="A273" s="21" t="s">
        <v>3669</v>
      </c>
      <c r="B273" s="21" t="s">
        <v>3670</v>
      </c>
      <c r="C273" s="21" t="s">
        <v>3654</v>
      </c>
    </row>
    <row r="274" spans="1:3" x14ac:dyDescent="0.25">
      <c r="A274" s="21" t="s">
        <v>3300</v>
      </c>
      <c r="B274" s="21" t="s">
        <v>3671</v>
      </c>
      <c r="C274" s="21" t="s">
        <v>3654</v>
      </c>
    </row>
    <row r="275" spans="1:3" x14ac:dyDescent="0.25">
      <c r="A275" s="21" t="s">
        <v>3408</v>
      </c>
      <c r="B275" s="21" t="s">
        <v>3672</v>
      </c>
      <c r="C275" s="21" t="s">
        <v>3654</v>
      </c>
    </row>
    <row r="276" spans="1:3" x14ac:dyDescent="0.25">
      <c r="A276" s="21" t="s">
        <v>3410</v>
      </c>
      <c r="B276" s="21" t="s">
        <v>3673</v>
      </c>
      <c r="C276" s="21" t="s">
        <v>3654</v>
      </c>
    </row>
    <row r="277" spans="1:3" x14ac:dyDescent="0.25">
      <c r="A277" s="21" t="s">
        <v>3412</v>
      </c>
      <c r="B277" s="21" t="s">
        <v>3674</v>
      </c>
      <c r="C277" s="21" t="s">
        <v>3654</v>
      </c>
    </row>
    <row r="278" spans="1:3" x14ac:dyDescent="0.25">
      <c r="A278" s="21" t="s">
        <v>3417</v>
      </c>
      <c r="B278" s="21" t="s">
        <v>3675</v>
      </c>
      <c r="C278" s="21" t="s">
        <v>3654</v>
      </c>
    </row>
    <row r="279" spans="1:3" x14ac:dyDescent="0.25">
      <c r="A279" s="21" t="s">
        <v>3419</v>
      </c>
      <c r="B279" s="21" t="s">
        <v>3676</v>
      </c>
      <c r="C279" s="21" t="s">
        <v>3654</v>
      </c>
    </row>
    <row r="280" spans="1:3" x14ac:dyDescent="0.25">
      <c r="A280" s="21" t="s">
        <v>3419</v>
      </c>
      <c r="B280" s="21" t="s">
        <v>3677</v>
      </c>
      <c r="C280" s="21" t="s">
        <v>3654</v>
      </c>
    </row>
    <row r="281" spans="1:3" x14ac:dyDescent="0.25">
      <c r="A281" s="21" t="s">
        <v>3306</v>
      </c>
      <c r="B281" s="21" t="s">
        <v>3678</v>
      </c>
      <c r="C281" s="21" t="s">
        <v>3654</v>
      </c>
    </row>
    <row r="282" spans="1:3" x14ac:dyDescent="0.25">
      <c r="A282" s="21" t="s">
        <v>3310</v>
      </c>
      <c r="B282" s="21" t="s">
        <v>3679</v>
      </c>
      <c r="C282" s="21" t="s">
        <v>3654</v>
      </c>
    </row>
    <row r="283" spans="1:3" x14ac:dyDescent="0.25">
      <c r="A283" s="21" t="s">
        <v>3310</v>
      </c>
      <c r="B283" s="21" t="s">
        <v>3679</v>
      </c>
      <c r="C283" s="21" t="s">
        <v>3654</v>
      </c>
    </row>
    <row r="284" spans="1:3" x14ac:dyDescent="0.25">
      <c r="A284" s="21" t="s">
        <v>3312</v>
      </c>
      <c r="B284" s="21" t="s">
        <v>3680</v>
      </c>
      <c r="C284" s="21" t="s">
        <v>3654</v>
      </c>
    </row>
    <row r="285" spans="1:3" x14ac:dyDescent="0.25">
      <c r="A285" s="21" t="s">
        <v>3316</v>
      </c>
      <c r="B285" s="21" t="s">
        <v>3681</v>
      </c>
      <c r="C285" s="21" t="s">
        <v>3654</v>
      </c>
    </row>
    <row r="286" spans="1:3" x14ac:dyDescent="0.25">
      <c r="A286" s="21" t="s">
        <v>3429</v>
      </c>
      <c r="B286" s="21" t="s">
        <v>3682</v>
      </c>
      <c r="C286" s="21" t="s">
        <v>3654</v>
      </c>
    </row>
    <row r="287" spans="1:3" x14ac:dyDescent="0.25">
      <c r="A287" s="21" t="s">
        <v>3320</v>
      </c>
      <c r="B287" s="21" t="s">
        <v>3683</v>
      </c>
      <c r="C287" s="21" t="s">
        <v>3654</v>
      </c>
    </row>
    <row r="288" spans="1:3" x14ac:dyDescent="0.25">
      <c r="A288" s="21" t="s">
        <v>3500</v>
      </c>
      <c r="B288" s="21" t="s">
        <v>3684</v>
      </c>
      <c r="C288" s="21" t="s">
        <v>3654</v>
      </c>
    </row>
    <row r="289" spans="1:3" x14ac:dyDescent="0.25">
      <c r="A289" s="21" t="s">
        <v>3503</v>
      </c>
      <c r="B289" s="21" t="s">
        <v>3685</v>
      </c>
      <c r="C289" s="21" t="s">
        <v>3654</v>
      </c>
    </row>
    <row r="290" spans="1:3" x14ac:dyDescent="0.25">
      <c r="A290" s="21" t="s">
        <v>3326</v>
      </c>
      <c r="B290" s="21" t="s">
        <v>3686</v>
      </c>
      <c r="C290" s="21" t="s">
        <v>3654</v>
      </c>
    </row>
    <row r="291" spans="1:3" x14ac:dyDescent="0.25">
      <c r="A291" s="21" t="s">
        <v>3328</v>
      </c>
      <c r="B291" s="21" t="s">
        <v>3687</v>
      </c>
      <c r="C291" s="21" t="s">
        <v>3654</v>
      </c>
    </row>
    <row r="292" spans="1:3" x14ac:dyDescent="0.25">
      <c r="A292" s="21" t="s">
        <v>3617</v>
      </c>
      <c r="B292" s="21" t="s">
        <v>3688</v>
      </c>
      <c r="C292" s="21" t="s">
        <v>3654</v>
      </c>
    </row>
    <row r="293" spans="1:3" x14ac:dyDescent="0.25">
      <c r="A293" s="21" t="s">
        <v>3689</v>
      </c>
      <c r="B293" s="21" t="s">
        <v>3690</v>
      </c>
      <c r="C293" s="21" t="s">
        <v>3654</v>
      </c>
    </row>
    <row r="294" spans="1:3" x14ac:dyDescent="0.25">
      <c r="A294" s="21" t="s">
        <v>3626</v>
      </c>
      <c r="B294" s="21" t="s">
        <v>3691</v>
      </c>
      <c r="C294" s="21" t="s">
        <v>3654</v>
      </c>
    </row>
    <row r="295" spans="1:3" x14ac:dyDescent="0.25">
      <c r="A295" s="21" t="s">
        <v>3692</v>
      </c>
      <c r="B295" s="21" t="s">
        <v>3693</v>
      </c>
      <c r="C295" s="21" t="s">
        <v>3654</v>
      </c>
    </row>
    <row r="296" spans="1:3" x14ac:dyDescent="0.25">
      <c r="A296" s="21" t="s">
        <v>3632</v>
      </c>
      <c r="B296" s="21" t="s">
        <v>3694</v>
      </c>
      <c r="C296" s="21" t="s">
        <v>3654</v>
      </c>
    </row>
    <row r="297" spans="1:3" x14ac:dyDescent="0.25">
      <c r="A297" s="21" t="s">
        <v>3448</v>
      </c>
      <c r="B297" s="21" t="s">
        <v>3695</v>
      </c>
      <c r="C297" s="21" t="s">
        <v>3654</v>
      </c>
    </row>
    <row r="298" spans="1:3" x14ac:dyDescent="0.25">
      <c r="A298" s="21" t="s">
        <v>3696</v>
      </c>
      <c r="B298" s="21" t="s">
        <v>3697</v>
      </c>
      <c r="C298" s="21" t="s">
        <v>3654</v>
      </c>
    </row>
    <row r="299" spans="1:3" x14ac:dyDescent="0.25">
      <c r="A299" s="21" t="s">
        <v>3513</v>
      </c>
      <c r="B299" s="21" t="s">
        <v>3698</v>
      </c>
      <c r="C299" s="21" t="s">
        <v>3654</v>
      </c>
    </row>
    <row r="300" spans="1:3" x14ac:dyDescent="0.25">
      <c r="A300" s="21" t="s">
        <v>3340</v>
      </c>
      <c r="B300" s="21" t="s">
        <v>3699</v>
      </c>
      <c r="C300" s="21" t="s">
        <v>3654</v>
      </c>
    </row>
    <row r="301" spans="1:3" x14ac:dyDescent="0.25">
      <c r="A301" s="21" t="s">
        <v>3516</v>
      </c>
      <c r="B301" s="21" t="s">
        <v>3700</v>
      </c>
      <c r="C301" s="21" t="s">
        <v>3654</v>
      </c>
    </row>
    <row r="302" spans="1:3" x14ac:dyDescent="0.25">
      <c r="A302" s="21" t="s">
        <v>3342</v>
      </c>
      <c r="B302" s="21" t="s">
        <v>3701</v>
      </c>
      <c r="C302" s="21" t="s">
        <v>3654</v>
      </c>
    </row>
    <row r="303" spans="1:3" x14ac:dyDescent="0.25">
      <c r="A303" s="21" t="s">
        <v>3520</v>
      </c>
      <c r="B303" s="21" t="s">
        <v>3702</v>
      </c>
      <c r="C303" s="21" t="s">
        <v>3654</v>
      </c>
    </row>
    <row r="304" spans="1:3" x14ac:dyDescent="0.25">
      <c r="A304" s="21" t="s">
        <v>3344</v>
      </c>
      <c r="B304" s="21" t="s">
        <v>3703</v>
      </c>
      <c r="C304" s="21" t="s">
        <v>3654</v>
      </c>
    </row>
    <row r="305" spans="1:3" x14ac:dyDescent="0.25">
      <c r="A305" s="21" t="s">
        <v>3346</v>
      </c>
      <c r="B305" s="21" t="s">
        <v>3704</v>
      </c>
      <c r="C305" s="21" t="s">
        <v>3654</v>
      </c>
    </row>
    <row r="306" spans="1:3" x14ac:dyDescent="0.25">
      <c r="A306" s="21" t="s">
        <v>3348</v>
      </c>
      <c r="B306" s="21" t="s">
        <v>3705</v>
      </c>
      <c r="C306" s="21" t="s">
        <v>3654</v>
      </c>
    </row>
    <row r="307" spans="1:3" x14ac:dyDescent="0.25">
      <c r="A307" s="21" t="s">
        <v>3706</v>
      </c>
      <c r="B307" s="21" t="s">
        <v>3707</v>
      </c>
      <c r="C307" s="21" t="s">
        <v>3654</v>
      </c>
    </row>
    <row r="308" spans="1:3" x14ac:dyDescent="0.25">
      <c r="A308" s="21" t="s">
        <v>3350</v>
      </c>
      <c r="B308" s="21" t="s">
        <v>3708</v>
      </c>
      <c r="C308" s="21" t="s">
        <v>3654</v>
      </c>
    </row>
    <row r="309" spans="1:3" x14ac:dyDescent="0.25">
      <c r="A309" s="21" t="s">
        <v>3352</v>
      </c>
      <c r="B309" s="21" t="s">
        <v>3709</v>
      </c>
      <c r="C309" s="21" t="s">
        <v>3654</v>
      </c>
    </row>
    <row r="310" spans="1:3" x14ac:dyDescent="0.25">
      <c r="A310" s="21" t="s">
        <v>3459</v>
      </c>
      <c r="B310" s="21" t="s">
        <v>3710</v>
      </c>
      <c r="C310" s="21" t="s">
        <v>3654</v>
      </c>
    </row>
    <row r="311" spans="1:3" x14ac:dyDescent="0.25">
      <c r="A311" s="21" t="s">
        <v>3354</v>
      </c>
      <c r="B311" s="21" t="s">
        <v>3711</v>
      </c>
      <c r="C311" s="21" t="s">
        <v>3654</v>
      </c>
    </row>
    <row r="312" spans="1:3" x14ac:dyDescent="0.25">
      <c r="A312" s="21" t="s">
        <v>3356</v>
      </c>
      <c r="B312" s="21" t="s">
        <v>3712</v>
      </c>
      <c r="C312" s="21" t="s">
        <v>3654</v>
      </c>
    </row>
    <row r="313" spans="1:3" x14ac:dyDescent="0.25">
      <c r="A313" s="21" t="s">
        <v>3359</v>
      </c>
      <c r="B313" s="21" t="s">
        <v>3713</v>
      </c>
      <c r="C313" s="21" t="s">
        <v>3654</v>
      </c>
    </row>
    <row r="314" spans="1:3" x14ac:dyDescent="0.25">
      <c r="A314" s="21" t="s">
        <v>3361</v>
      </c>
      <c r="B314" s="21" t="s">
        <v>3714</v>
      </c>
      <c r="C314" s="21" t="s">
        <v>3654</v>
      </c>
    </row>
    <row r="315" spans="1:3" x14ac:dyDescent="0.25">
      <c r="A315" s="21" t="s">
        <v>3378</v>
      </c>
      <c r="B315" s="21" t="s">
        <v>3715</v>
      </c>
      <c r="C315" s="21" t="s">
        <v>3716</v>
      </c>
    </row>
    <row r="316" spans="1:3" x14ac:dyDescent="0.25">
      <c r="A316" s="21" t="s">
        <v>3384</v>
      </c>
      <c r="B316" s="21" t="s">
        <v>3717</v>
      </c>
      <c r="C316" s="21" t="s">
        <v>3716</v>
      </c>
    </row>
    <row r="317" spans="1:3" x14ac:dyDescent="0.25">
      <c r="A317" s="21" t="s">
        <v>3395</v>
      </c>
      <c r="B317" s="21" t="s">
        <v>3718</v>
      </c>
      <c r="C317" s="21" t="s">
        <v>3716</v>
      </c>
    </row>
    <row r="318" spans="1:3" x14ac:dyDescent="0.25">
      <c r="A318" s="21" t="s">
        <v>3399</v>
      </c>
      <c r="B318" s="21" t="s">
        <v>3719</v>
      </c>
      <c r="C318" s="21" t="s">
        <v>3716</v>
      </c>
    </row>
    <row r="319" spans="1:3" x14ac:dyDescent="0.25">
      <c r="A319" s="21" t="s">
        <v>3404</v>
      </c>
      <c r="B319" s="21" t="s">
        <v>3720</v>
      </c>
      <c r="C319" s="21" t="s">
        <v>3716</v>
      </c>
    </row>
    <row r="320" spans="1:3" x14ac:dyDescent="0.25">
      <c r="A320" s="21" t="s">
        <v>3721</v>
      </c>
      <c r="B320" s="21" t="s">
        <v>3722</v>
      </c>
      <c r="C320" s="21" t="s">
        <v>3716</v>
      </c>
    </row>
    <row r="321" spans="1:3" x14ac:dyDescent="0.25">
      <c r="A321" s="21" t="s">
        <v>3302</v>
      </c>
      <c r="B321" s="21" t="s">
        <v>3723</v>
      </c>
      <c r="C321" s="21" t="s">
        <v>3716</v>
      </c>
    </row>
    <row r="322" spans="1:3" x14ac:dyDescent="0.25">
      <c r="A322" s="21" t="s">
        <v>3492</v>
      </c>
      <c r="B322" s="21" t="s">
        <v>3724</v>
      </c>
      <c r="C322" s="21" t="s">
        <v>3716</v>
      </c>
    </row>
    <row r="323" spans="1:3" x14ac:dyDescent="0.25">
      <c r="A323" s="21" t="s">
        <v>3417</v>
      </c>
      <c r="B323" s="21" t="s">
        <v>3725</v>
      </c>
      <c r="C323" s="21" t="s">
        <v>3716</v>
      </c>
    </row>
    <row r="324" spans="1:3" x14ac:dyDescent="0.25">
      <c r="A324" s="21" t="s">
        <v>3306</v>
      </c>
      <c r="B324" s="21" t="s">
        <v>3726</v>
      </c>
      <c r="C324" s="21" t="s">
        <v>3716</v>
      </c>
    </row>
    <row r="325" spans="1:3" x14ac:dyDescent="0.25">
      <c r="A325" s="21" t="s">
        <v>3314</v>
      </c>
      <c r="B325" s="21" t="s">
        <v>3727</v>
      </c>
      <c r="C325" s="21" t="s">
        <v>3716</v>
      </c>
    </row>
    <row r="326" spans="1:3" x14ac:dyDescent="0.25">
      <c r="A326" s="21" t="s">
        <v>3316</v>
      </c>
      <c r="B326" s="21" t="s">
        <v>3728</v>
      </c>
      <c r="C326" s="21" t="s">
        <v>3716</v>
      </c>
    </row>
    <row r="327" spans="1:3" x14ac:dyDescent="0.25">
      <c r="A327" s="21" t="s">
        <v>3606</v>
      </c>
      <c r="B327" s="21" t="s">
        <v>3729</v>
      </c>
      <c r="C327" s="21" t="s">
        <v>3716</v>
      </c>
    </row>
    <row r="328" spans="1:3" x14ac:dyDescent="0.25">
      <c r="A328" s="21" t="s">
        <v>3429</v>
      </c>
      <c r="B328" s="21" t="s">
        <v>3730</v>
      </c>
      <c r="C328" s="21" t="s">
        <v>3716</v>
      </c>
    </row>
    <row r="329" spans="1:3" x14ac:dyDescent="0.25">
      <c r="A329" s="21" t="s">
        <v>3318</v>
      </c>
      <c r="B329" s="21" t="s">
        <v>3731</v>
      </c>
      <c r="C329" s="21" t="s">
        <v>3716</v>
      </c>
    </row>
    <row r="330" spans="1:3" x14ac:dyDescent="0.25">
      <c r="A330" s="21" t="s">
        <v>3320</v>
      </c>
      <c r="B330" s="21" t="s">
        <v>3732</v>
      </c>
      <c r="C330" s="21" t="s">
        <v>3716</v>
      </c>
    </row>
    <row r="331" spans="1:3" x14ac:dyDescent="0.25">
      <c r="A331" s="21" t="s">
        <v>3500</v>
      </c>
      <c r="B331" s="21" t="s">
        <v>3733</v>
      </c>
      <c r="C331" s="21" t="s">
        <v>3716</v>
      </c>
    </row>
    <row r="332" spans="1:3" x14ac:dyDescent="0.25">
      <c r="A332" s="21" t="s">
        <v>3503</v>
      </c>
      <c r="B332" s="21" t="s">
        <v>3734</v>
      </c>
      <c r="C332" s="21" t="s">
        <v>3716</v>
      </c>
    </row>
    <row r="333" spans="1:3" x14ac:dyDescent="0.25">
      <c r="A333" s="21" t="s">
        <v>3324</v>
      </c>
      <c r="B333" s="21" t="s">
        <v>3735</v>
      </c>
      <c r="C333" s="21" t="s">
        <v>3716</v>
      </c>
    </row>
    <row r="334" spans="1:3" x14ac:dyDescent="0.25">
      <c r="A334" s="21" t="s">
        <v>3326</v>
      </c>
      <c r="B334" s="21" t="s">
        <v>3736</v>
      </c>
      <c r="C334" s="21" t="s">
        <v>3716</v>
      </c>
    </row>
    <row r="335" spans="1:3" x14ac:dyDescent="0.25">
      <c r="A335" s="21" t="s">
        <v>3328</v>
      </c>
      <c r="B335" s="21" t="s">
        <v>3737</v>
      </c>
      <c r="C335" s="21" t="s">
        <v>3716</v>
      </c>
    </row>
    <row r="336" spans="1:3" x14ac:dyDescent="0.25">
      <c r="A336" s="21" t="s">
        <v>3738</v>
      </c>
      <c r="B336" s="21" t="s">
        <v>3739</v>
      </c>
      <c r="C336" s="21" t="s">
        <v>3716</v>
      </c>
    </row>
    <row r="337" spans="1:3" x14ac:dyDescent="0.25">
      <c r="A337" s="21" t="s">
        <v>3740</v>
      </c>
      <c r="B337" s="21" t="s">
        <v>3741</v>
      </c>
      <c r="C337" s="21" t="s">
        <v>3716</v>
      </c>
    </row>
    <row r="338" spans="1:3" x14ac:dyDescent="0.25">
      <c r="A338" s="21" t="s">
        <v>3510</v>
      </c>
      <c r="B338" s="21" t="s">
        <v>3742</v>
      </c>
      <c r="C338" s="21" t="s">
        <v>3716</v>
      </c>
    </row>
    <row r="339" spans="1:3" x14ac:dyDescent="0.25">
      <c r="A339" s="21" t="s">
        <v>3630</v>
      </c>
      <c r="B339" s="21" t="s">
        <v>3743</v>
      </c>
      <c r="C339" s="21" t="s">
        <v>3716</v>
      </c>
    </row>
    <row r="340" spans="1:3" x14ac:dyDescent="0.25">
      <c r="A340" s="21" t="s">
        <v>3744</v>
      </c>
      <c r="B340" s="21" t="s">
        <v>3745</v>
      </c>
      <c r="C340" s="21" t="s">
        <v>3716</v>
      </c>
    </row>
    <row r="341" spans="1:3" x14ac:dyDescent="0.25">
      <c r="A341" s="21" t="s">
        <v>3336</v>
      </c>
      <c r="B341" s="21" t="s">
        <v>3746</v>
      </c>
      <c r="C341" s="21" t="s">
        <v>3716</v>
      </c>
    </row>
    <row r="342" spans="1:3" x14ac:dyDescent="0.25">
      <c r="A342" s="21" t="s">
        <v>3448</v>
      </c>
      <c r="B342" s="21" t="s">
        <v>3747</v>
      </c>
      <c r="C342" s="21" t="s">
        <v>3716</v>
      </c>
    </row>
    <row r="343" spans="1:3" x14ac:dyDescent="0.25">
      <c r="A343" s="21" t="s">
        <v>3356</v>
      </c>
      <c r="B343" s="21" t="s">
        <v>3748</v>
      </c>
      <c r="C343" s="21" t="s">
        <v>3716</v>
      </c>
    </row>
    <row r="344" spans="1:3" x14ac:dyDescent="0.25">
      <c r="A344" s="21" t="s">
        <v>3541</v>
      </c>
      <c r="B344" s="21" t="s">
        <v>3749</v>
      </c>
      <c r="C344" s="21" t="s">
        <v>3750</v>
      </c>
    </row>
    <row r="345" spans="1:3" x14ac:dyDescent="0.25">
      <c r="A345" s="21" t="s">
        <v>3751</v>
      </c>
      <c r="B345" s="21" t="s">
        <v>3752</v>
      </c>
      <c r="C345" s="21" t="s">
        <v>3750</v>
      </c>
    </row>
    <row r="346" spans="1:3" x14ac:dyDescent="0.25">
      <c r="A346" s="21" t="s">
        <v>3468</v>
      </c>
      <c r="B346" s="21" t="s">
        <v>3753</v>
      </c>
      <c r="C346" s="21" t="s">
        <v>3750</v>
      </c>
    </row>
    <row r="347" spans="1:3" x14ac:dyDescent="0.25">
      <c r="A347" s="21" t="s">
        <v>3472</v>
      </c>
      <c r="B347" s="21" t="s">
        <v>3754</v>
      </c>
      <c r="C347" s="21" t="s">
        <v>3750</v>
      </c>
    </row>
    <row r="348" spans="1:3" x14ac:dyDescent="0.25">
      <c r="A348" s="21" t="s">
        <v>3290</v>
      </c>
      <c r="B348" s="21" t="s">
        <v>3755</v>
      </c>
      <c r="C348" s="21" t="s">
        <v>3750</v>
      </c>
    </row>
    <row r="349" spans="1:3" x14ac:dyDescent="0.25">
      <c r="A349" s="21" t="s">
        <v>3292</v>
      </c>
      <c r="B349" s="21" t="s">
        <v>3756</v>
      </c>
      <c r="C349" s="21" t="s">
        <v>3750</v>
      </c>
    </row>
    <row r="350" spans="1:3" x14ac:dyDescent="0.25">
      <c r="A350" s="21" t="s">
        <v>3757</v>
      </c>
      <c r="B350" s="21" t="s">
        <v>3758</v>
      </c>
      <c r="C350" s="21" t="s">
        <v>3750</v>
      </c>
    </row>
    <row r="351" spans="1:3" x14ac:dyDescent="0.25">
      <c r="A351" s="21" t="s">
        <v>3395</v>
      </c>
      <c r="B351" s="21" t="s">
        <v>3759</v>
      </c>
      <c r="C351" s="21" t="s">
        <v>3750</v>
      </c>
    </row>
    <row r="352" spans="1:3" x14ac:dyDescent="0.25">
      <c r="A352" s="21" t="s">
        <v>3486</v>
      </c>
      <c r="B352" s="21" t="s">
        <v>3760</v>
      </c>
      <c r="C352" s="21" t="s">
        <v>3750</v>
      </c>
    </row>
    <row r="353" spans="1:3" x14ac:dyDescent="0.25">
      <c r="A353" s="21" t="s">
        <v>3300</v>
      </c>
      <c r="B353" s="21" t="s">
        <v>3761</v>
      </c>
      <c r="C353" s="21" t="s">
        <v>3750</v>
      </c>
    </row>
    <row r="354" spans="1:3" x14ac:dyDescent="0.25">
      <c r="A354" s="21" t="s">
        <v>3408</v>
      </c>
      <c r="B354" s="21" t="s">
        <v>3762</v>
      </c>
      <c r="C354" s="21" t="s">
        <v>3750</v>
      </c>
    </row>
    <row r="355" spans="1:3" x14ac:dyDescent="0.25">
      <c r="A355" s="21" t="s">
        <v>3302</v>
      </c>
      <c r="B355" s="21" t="s">
        <v>3763</v>
      </c>
      <c r="C355" s="21" t="s">
        <v>3750</v>
      </c>
    </row>
    <row r="356" spans="1:3" x14ac:dyDescent="0.25">
      <c r="A356" s="21" t="s">
        <v>3314</v>
      </c>
      <c r="B356" s="21" t="s">
        <v>3764</v>
      </c>
      <c r="C356" s="21" t="s">
        <v>3750</v>
      </c>
    </row>
    <row r="357" spans="1:3" x14ac:dyDescent="0.25">
      <c r="A357" s="21" t="s">
        <v>3316</v>
      </c>
      <c r="B357" s="21" t="s">
        <v>3765</v>
      </c>
      <c r="C357" s="21" t="s">
        <v>3750</v>
      </c>
    </row>
    <row r="358" spans="1:3" x14ac:dyDescent="0.25">
      <c r="A358" s="21" t="s">
        <v>3316</v>
      </c>
      <c r="B358" s="21" t="s">
        <v>3765</v>
      </c>
      <c r="C358" s="21" t="s">
        <v>3750</v>
      </c>
    </row>
    <row r="359" spans="1:3" x14ac:dyDescent="0.25">
      <c r="A359" s="21" t="s">
        <v>3429</v>
      </c>
      <c r="B359" s="21" t="s">
        <v>3766</v>
      </c>
      <c r="C359" s="21" t="s">
        <v>3750</v>
      </c>
    </row>
    <row r="360" spans="1:3" x14ac:dyDescent="0.25">
      <c r="A360" s="21" t="s">
        <v>3318</v>
      </c>
      <c r="B360" s="21" t="s">
        <v>3767</v>
      </c>
      <c r="C360" s="21" t="s">
        <v>3750</v>
      </c>
    </row>
    <row r="361" spans="1:3" x14ac:dyDescent="0.25">
      <c r="A361" s="21" t="s">
        <v>3320</v>
      </c>
      <c r="B361" s="21" t="s">
        <v>3768</v>
      </c>
      <c r="C361" s="21" t="s">
        <v>3750</v>
      </c>
    </row>
    <row r="362" spans="1:3" x14ac:dyDescent="0.25">
      <c r="A362" s="21" t="s">
        <v>3437</v>
      </c>
      <c r="B362" s="21" t="s">
        <v>3769</v>
      </c>
      <c r="C362" s="21" t="s">
        <v>3750</v>
      </c>
    </row>
    <row r="363" spans="1:3" x14ac:dyDescent="0.25">
      <c r="A363" s="21" t="s">
        <v>3322</v>
      </c>
      <c r="B363" s="21" t="s">
        <v>3770</v>
      </c>
      <c r="C363" s="21" t="s">
        <v>3750</v>
      </c>
    </row>
    <row r="364" spans="1:3" x14ac:dyDescent="0.25">
      <c r="A364" s="21" t="s">
        <v>3328</v>
      </c>
      <c r="B364" s="21" t="s">
        <v>3771</v>
      </c>
      <c r="C364" s="21" t="s">
        <v>3750</v>
      </c>
    </row>
    <row r="365" spans="1:3" x14ac:dyDescent="0.25">
      <c r="A365" s="21" t="s">
        <v>3330</v>
      </c>
      <c r="B365" s="21" t="s">
        <v>3772</v>
      </c>
      <c r="C365" s="21" t="s">
        <v>3750</v>
      </c>
    </row>
    <row r="366" spans="1:3" x14ac:dyDescent="0.25">
      <c r="A366" s="21" t="s">
        <v>3340</v>
      </c>
      <c r="B366" s="21" t="s">
        <v>3773</v>
      </c>
      <c r="C366" s="21" t="s">
        <v>3750</v>
      </c>
    </row>
    <row r="367" spans="1:3" x14ac:dyDescent="0.25">
      <c r="A367" s="21" t="s">
        <v>3346</v>
      </c>
      <c r="B367" s="21" t="s">
        <v>3774</v>
      </c>
      <c r="C367" s="21" t="s">
        <v>3750</v>
      </c>
    </row>
    <row r="368" spans="1:3" x14ac:dyDescent="0.25">
      <c r="A368" s="21" t="s">
        <v>3350</v>
      </c>
      <c r="B368" s="21" t="s">
        <v>3775</v>
      </c>
      <c r="C368" s="21" t="s">
        <v>3750</v>
      </c>
    </row>
    <row r="369" spans="1:3" x14ac:dyDescent="0.25">
      <c r="A369" s="21" t="s">
        <v>3354</v>
      </c>
      <c r="B369" s="21" t="s">
        <v>3776</v>
      </c>
      <c r="C369" s="21" t="s">
        <v>3750</v>
      </c>
    </row>
    <row r="370" spans="1:3" x14ac:dyDescent="0.25">
      <c r="A370" s="21" t="s">
        <v>3359</v>
      </c>
      <c r="B370" s="21" t="s">
        <v>3777</v>
      </c>
      <c r="C370" s="21" t="s">
        <v>3750</v>
      </c>
    </row>
    <row r="371" spans="1:3" x14ac:dyDescent="0.25">
      <c r="A371" s="21" t="s">
        <v>3361</v>
      </c>
      <c r="B371" s="21" t="s">
        <v>3778</v>
      </c>
      <c r="C371" s="21" t="s">
        <v>3750</v>
      </c>
    </row>
    <row r="372" spans="1:3" x14ac:dyDescent="0.25">
      <c r="A372" s="21" t="s">
        <v>3779</v>
      </c>
      <c r="B372" s="21" t="s">
        <v>3780</v>
      </c>
      <c r="C372" s="21" t="s">
        <v>3781</v>
      </c>
    </row>
    <row r="373" spans="1:3" x14ac:dyDescent="0.25">
      <c r="A373" s="21" t="s">
        <v>3779</v>
      </c>
      <c r="B373" s="21" t="s">
        <v>3782</v>
      </c>
      <c r="C373" s="21" t="s">
        <v>3781</v>
      </c>
    </row>
    <row r="374" spans="1:3" x14ac:dyDescent="0.25">
      <c r="A374" s="21" t="s">
        <v>3783</v>
      </c>
      <c r="B374" s="21" t="s">
        <v>3784</v>
      </c>
      <c r="C374" s="21" t="s">
        <v>3781</v>
      </c>
    </row>
    <row r="375" spans="1:3" x14ac:dyDescent="0.25">
      <c r="A375" s="21" t="s">
        <v>3785</v>
      </c>
      <c r="B375" s="21" t="s">
        <v>3786</v>
      </c>
      <c r="C375" s="21" t="s">
        <v>3781</v>
      </c>
    </row>
    <row r="376" spans="1:3" x14ac:dyDescent="0.25">
      <c r="A376" s="21" t="s">
        <v>3785</v>
      </c>
      <c r="B376" s="21" t="s">
        <v>3787</v>
      </c>
      <c r="C376" s="21" t="s">
        <v>3781</v>
      </c>
    </row>
    <row r="377" spans="1:3" x14ac:dyDescent="0.25">
      <c r="A377" s="21" t="s">
        <v>3541</v>
      </c>
      <c r="B377" s="21" t="s">
        <v>3788</v>
      </c>
      <c r="C377" s="21" t="s">
        <v>3781</v>
      </c>
    </row>
    <row r="378" spans="1:3" x14ac:dyDescent="0.25">
      <c r="A378" s="21" t="s">
        <v>3541</v>
      </c>
      <c r="B378" s="21" t="s">
        <v>3789</v>
      </c>
      <c r="C378" s="21" t="s">
        <v>3781</v>
      </c>
    </row>
    <row r="379" spans="1:3" x14ac:dyDescent="0.25">
      <c r="A379" s="21" t="s">
        <v>3290</v>
      </c>
      <c r="B379" s="21" t="s">
        <v>3790</v>
      </c>
      <c r="C379" s="21" t="s">
        <v>3781</v>
      </c>
    </row>
    <row r="380" spans="1:3" x14ac:dyDescent="0.25">
      <c r="A380" s="21" t="s">
        <v>3290</v>
      </c>
      <c r="B380" s="21" t="s">
        <v>3791</v>
      </c>
      <c r="C380" s="21" t="s">
        <v>3781</v>
      </c>
    </row>
    <row r="381" spans="1:3" x14ac:dyDescent="0.25">
      <c r="A381" s="21" t="s">
        <v>3378</v>
      </c>
      <c r="B381" s="21" t="s">
        <v>3792</v>
      </c>
      <c r="C381" s="21" t="s">
        <v>3781</v>
      </c>
    </row>
    <row r="382" spans="1:3" x14ac:dyDescent="0.25">
      <c r="A382" s="21" t="s">
        <v>3384</v>
      </c>
      <c r="B382" s="21" t="s">
        <v>3793</v>
      </c>
      <c r="C382" s="21" t="s">
        <v>3781</v>
      </c>
    </row>
    <row r="383" spans="1:3" x14ac:dyDescent="0.25">
      <c r="A383" s="21" t="s">
        <v>3384</v>
      </c>
      <c r="B383" s="21" t="s">
        <v>3794</v>
      </c>
      <c r="C383" s="21" t="s">
        <v>3781</v>
      </c>
    </row>
    <row r="384" spans="1:3" x14ac:dyDescent="0.25">
      <c r="A384" s="21" t="s">
        <v>3795</v>
      </c>
      <c r="B384" s="21" t="s">
        <v>3796</v>
      </c>
      <c r="C384" s="21" t="s">
        <v>3781</v>
      </c>
    </row>
    <row r="385" spans="1:3" x14ac:dyDescent="0.25">
      <c r="A385" s="21" t="s">
        <v>3795</v>
      </c>
      <c r="B385" s="21" t="s">
        <v>3797</v>
      </c>
      <c r="C385" s="21" t="s">
        <v>3781</v>
      </c>
    </row>
    <row r="386" spans="1:3" x14ac:dyDescent="0.25">
      <c r="A386" s="21" t="s">
        <v>3795</v>
      </c>
      <c r="B386" s="21" t="s">
        <v>3798</v>
      </c>
      <c r="C386" s="21" t="s">
        <v>3781</v>
      </c>
    </row>
    <row r="387" spans="1:3" x14ac:dyDescent="0.25">
      <c r="A387" s="21" t="s">
        <v>3795</v>
      </c>
      <c r="B387" s="21" t="s">
        <v>3799</v>
      </c>
      <c r="C387" s="21" t="s">
        <v>3781</v>
      </c>
    </row>
    <row r="388" spans="1:3" x14ac:dyDescent="0.25">
      <c r="A388" s="21" t="s">
        <v>3800</v>
      </c>
      <c r="B388" s="21" t="s">
        <v>3801</v>
      </c>
      <c r="C388" s="21" t="s">
        <v>3781</v>
      </c>
    </row>
    <row r="389" spans="1:3" x14ac:dyDescent="0.25">
      <c r="A389" s="21" t="s">
        <v>3800</v>
      </c>
      <c r="B389" s="21" t="s">
        <v>3802</v>
      </c>
      <c r="C389" s="21" t="s">
        <v>3781</v>
      </c>
    </row>
    <row r="390" spans="1:3" x14ac:dyDescent="0.25">
      <c r="A390" s="21" t="s">
        <v>3558</v>
      </c>
      <c r="B390" s="21" t="s">
        <v>3803</v>
      </c>
      <c r="C390" s="21" t="s">
        <v>3781</v>
      </c>
    </row>
    <row r="391" spans="1:3" x14ac:dyDescent="0.25">
      <c r="A391" s="21" t="s">
        <v>3558</v>
      </c>
      <c r="B391" s="21" t="s">
        <v>3804</v>
      </c>
      <c r="C391" s="21" t="s">
        <v>3781</v>
      </c>
    </row>
    <row r="392" spans="1:3" x14ac:dyDescent="0.25">
      <c r="A392" s="21" t="s">
        <v>3558</v>
      </c>
      <c r="B392" s="21" t="s">
        <v>3805</v>
      </c>
      <c r="C392" s="21" t="s">
        <v>3781</v>
      </c>
    </row>
    <row r="393" spans="1:3" x14ac:dyDescent="0.25">
      <c r="A393" s="21" t="s">
        <v>3806</v>
      </c>
      <c r="B393" s="21" t="s">
        <v>3807</v>
      </c>
      <c r="C393" s="21" t="s">
        <v>3781</v>
      </c>
    </row>
    <row r="394" spans="1:3" x14ac:dyDescent="0.25">
      <c r="A394" s="21" t="s">
        <v>3663</v>
      </c>
      <c r="B394" s="21" t="s">
        <v>3808</v>
      </c>
      <c r="C394" s="21" t="s">
        <v>3781</v>
      </c>
    </row>
    <row r="395" spans="1:3" x14ac:dyDescent="0.25">
      <c r="A395" s="21" t="s">
        <v>3296</v>
      </c>
      <c r="B395" s="21" t="s">
        <v>3809</v>
      </c>
      <c r="C395" s="21" t="s">
        <v>3781</v>
      </c>
    </row>
    <row r="396" spans="1:3" x14ac:dyDescent="0.25">
      <c r="A396" s="21" t="s">
        <v>3721</v>
      </c>
      <c r="B396" s="21" t="s">
        <v>3810</v>
      </c>
      <c r="C396" s="21" t="s">
        <v>3781</v>
      </c>
    </row>
    <row r="397" spans="1:3" x14ac:dyDescent="0.25">
      <c r="A397" s="21" t="s">
        <v>3300</v>
      </c>
      <c r="B397" s="21" t="s">
        <v>3811</v>
      </c>
      <c r="C397" s="21" t="s">
        <v>3781</v>
      </c>
    </row>
    <row r="398" spans="1:3" x14ac:dyDescent="0.25">
      <c r="A398" s="21" t="s">
        <v>3302</v>
      </c>
      <c r="B398" s="21" t="s">
        <v>3812</v>
      </c>
      <c r="C398" s="21" t="s">
        <v>3781</v>
      </c>
    </row>
    <row r="399" spans="1:3" x14ac:dyDescent="0.25">
      <c r="A399" s="21" t="s">
        <v>3597</v>
      </c>
      <c r="B399" s="21" t="s">
        <v>3813</v>
      </c>
      <c r="C399" s="21" t="s">
        <v>3781</v>
      </c>
    </row>
    <row r="400" spans="1:3" x14ac:dyDescent="0.25">
      <c r="A400" s="21" t="s">
        <v>3410</v>
      </c>
      <c r="B400" s="21" t="s">
        <v>3814</v>
      </c>
      <c r="C400" s="21" t="s">
        <v>3781</v>
      </c>
    </row>
    <row r="401" spans="1:3" x14ac:dyDescent="0.25">
      <c r="A401" s="21" t="s">
        <v>3417</v>
      </c>
      <c r="B401" s="21" t="s">
        <v>3815</v>
      </c>
      <c r="C401" s="21" t="s">
        <v>3781</v>
      </c>
    </row>
    <row r="402" spans="1:3" x14ac:dyDescent="0.25">
      <c r="A402" s="21" t="s">
        <v>3419</v>
      </c>
      <c r="B402" s="21" t="s">
        <v>3816</v>
      </c>
      <c r="C402" s="21" t="s">
        <v>3781</v>
      </c>
    </row>
    <row r="403" spans="1:3" x14ac:dyDescent="0.25">
      <c r="A403" s="21" t="s">
        <v>3304</v>
      </c>
      <c r="B403" s="21" t="s">
        <v>3817</v>
      </c>
      <c r="C403" s="21" t="s">
        <v>3781</v>
      </c>
    </row>
    <row r="404" spans="1:3" x14ac:dyDescent="0.25">
      <c r="A404" s="21" t="s">
        <v>3312</v>
      </c>
      <c r="B404" s="21" t="s">
        <v>3818</v>
      </c>
      <c r="C404" s="21" t="s">
        <v>3781</v>
      </c>
    </row>
    <row r="405" spans="1:3" x14ac:dyDescent="0.25">
      <c r="A405" s="21" t="s">
        <v>3314</v>
      </c>
      <c r="B405" s="21" t="s">
        <v>3819</v>
      </c>
      <c r="C405" s="21" t="s">
        <v>3781</v>
      </c>
    </row>
    <row r="406" spans="1:3" x14ac:dyDescent="0.25">
      <c r="A406" s="21" t="s">
        <v>3606</v>
      </c>
      <c r="B406" s="21" t="s">
        <v>3820</v>
      </c>
      <c r="C406" s="21" t="s">
        <v>3781</v>
      </c>
    </row>
    <row r="407" spans="1:3" x14ac:dyDescent="0.25">
      <c r="A407" s="21" t="s">
        <v>3606</v>
      </c>
      <c r="B407" s="21" t="s">
        <v>3821</v>
      </c>
      <c r="C407" s="21" t="s">
        <v>3781</v>
      </c>
    </row>
    <row r="408" spans="1:3" x14ac:dyDescent="0.25">
      <c r="A408" s="21" t="s">
        <v>3606</v>
      </c>
      <c r="B408" s="21" t="s">
        <v>3822</v>
      </c>
      <c r="C408" s="21" t="s">
        <v>3781</v>
      </c>
    </row>
    <row r="409" spans="1:3" x14ac:dyDescent="0.25">
      <c r="A409" s="21" t="s">
        <v>3429</v>
      </c>
      <c r="B409" s="21" t="s">
        <v>3823</v>
      </c>
      <c r="C409" s="21" t="s">
        <v>3781</v>
      </c>
    </row>
    <row r="410" spans="1:3" x14ac:dyDescent="0.25">
      <c r="A410" s="21" t="s">
        <v>3429</v>
      </c>
      <c r="B410" s="21" t="s">
        <v>3824</v>
      </c>
      <c r="C410" s="21" t="s">
        <v>3781</v>
      </c>
    </row>
    <row r="411" spans="1:3" x14ac:dyDescent="0.25">
      <c r="A411" s="21" t="s">
        <v>3429</v>
      </c>
      <c r="B411" s="21" t="s">
        <v>3825</v>
      </c>
      <c r="C411" s="21" t="s">
        <v>3781</v>
      </c>
    </row>
    <row r="412" spans="1:3" x14ac:dyDescent="0.25">
      <c r="A412" s="21" t="s">
        <v>3429</v>
      </c>
      <c r="B412" s="21" t="s">
        <v>3826</v>
      </c>
      <c r="C412" s="21" t="s">
        <v>3781</v>
      </c>
    </row>
    <row r="413" spans="1:3" x14ac:dyDescent="0.25">
      <c r="A413" s="21" t="s">
        <v>3318</v>
      </c>
      <c r="B413" s="21" t="s">
        <v>3827</v>
      </c>
      <c r="C413" s="21" t="s">
        <v>3781</v>
      </c>
    </row>
    <row r="414" spans="1:3" x14ac:dyDescent="0.25">
      <c r="A414" s="21" t="s">
        <v>3320</v>
      </c>
      <c r="B414" s="21" t="s">
        <v>3828</v>
      </c>
      <c r="C414" s="21" t="s">
        <v>3781</v>
      </c>
    </row>
    <row r="415" spans="1:3" x14ac:dyDescent="0.25">
      <c r="A415" s="21" t="s">
        <v>3320</v>
      </c>
      <c r="B415" s="21" t="s">
        <v>3829</v>
      </c>
      <c r="C415" s="21" t="s">
        <v>3781</v>
      </c>
    </row>
    <row r="416" spans="1:3" x14ac:dyDescent="0.25">
      <c r="A416" s="21" t="s">
        <v>3320</v>
      </c>
      <c r="B416" s="21" t="s">
        <v>3830</v>
      </c>
      <c r="C416" s="21" t="s">
        <v>3781</v>
      </c>
    </row>
    <row r="417" spans="1:3" x14ac:dyDescent="0.25">
      <c r="A417" s="21" t="s">
        <v>3320</v>
      </c>
      <c r="B417" s="21" t="s">
        <v>3831</v>
      </c>
      <c r="C417" s="21" t="s">
        <v>3781</v>
      </c>
    </row>
    <row r="418" spans="1:3" x14ac:dyDescent="0.25">
      <c r="A418" s="21" t="s">
        <v>3320</v>
      </c>
      <c r="B418" s="21" t="s">
        <v>3832</v>
      </c>
      <c r="C418" s="21" t="s">
        <v>3781</v>
      </c>
    </row>
    <row r="419" spans="1:3" x14ac:dyDescent="0.25">
      <c r="A419" s="21" t="s">
        <v>3500</v>
      </c>
      <c r="B419" s="21" t="s">
        <v>3833</v>
      </c>
      <c r="C419" s="21" t="s">
        <v>3781</v>
      </c>
    </row>
    <row r="420" spans="1:3" x14ac:dyDescent="0.25">
      <c r="A420" s="21" t="s">
        <v>3322</v>
      </c>
      <c r="B420" s="21" t="s">
        <v>3834</v>
      </c>
      <c r="C420" s="21" t="s">
        <v>3781</v>
      </c>
    </row>
    <row r="421" spans="1:3" x14ac:dyDescent="0.25">
      <c r="A421" s="21" t="s">
        <v>3617</v>
      </c>
      <c r="B421" s="21" t="s">
        <v>3835</v>
      </c>
      <c r="C421" s="21" t="s">
        <v>3781</v>
      </c>
    </row>
    <row r="422" spans="1:3" x14ac:dyDescent="0.25">
      <c r="A422" s="21" t="s">
        <v>3619</v>
      </c>
      <c r="B422" s="21" t="s">
        <v>3836</v>
      </c>
      <c r="C422" s="21" t="s">
        <v>3781</v>
      </c>
    </row>
    <row r="423" spans="1:3" x14ac:dyDescent="0.25">
      <c r="A423" s="21" t="s">
        <v>3689</v>
      </c>
      <c r="B423" s="21" t="s">
        <v>3837</v>
      </c>
      <c r="C423" s="21" t="s">
        <v>3781</v>
      </c>
    </row>
    <row r="424" spans="1:3" x14ac:dyDescent="0.25">
      <c r="A424" s="21" t="s">
        <v>3628</v>
      </c>
      <c r="B424" s="21" t="s">
        <v>3838</v>
      </c>
      <c r="C424" s="21" t="s">
        <v>3781</v>
      </c>
    </row>
    <row r="425" spans="1:3" x14ac:dyDescent="0.25">
      <c r="A425" s="21" t="s">
        <v>3513</v>
      </c>
      <c r="B425" s="21" t="s">
        <v>3839</v>
      </c>
      <c r="C425" s="21" t="s">
        <v>3781</v>
      </c>
    </row>
    <row r="426" spans="1:3" x14ac:dyDescent="0.25">
      <c r="A426" s="21" t="s">
        <v>3346</v>
      </c>
      <c r="B426" s="21" t="s">
        <v>3840</v>
      </c>
      <c r="C426" s="21" t="s">
        <v>3781</v>
      </c>
    </row>
    <row r="427" spans="1:3" x14ac:dyDescent="0.25">
      <c r="A427" s="21" t="s">
        <v>3350</v>
      </c>
      <c r="B427" s="21" t="s">
        <v>3841</v>
      </c>
      <c r="C427" s="21" t="s">
        <v>3781</v>
      </c>
    </row>
    <row r="428" spans="1:3" x14ac:dyDescent="0.25">
      <c r="A428" s="21" t="s">
        <v>3459</v>
      </c>
      <c r="B428" s="21" t="s">
        <v>3842</v>
      </c>
      <c r="C428" s="21" t="s">
        <v>3781</v>
      </c>
    </row>
    <row r="429" spans="1:3" x14ac:dyDescent="0.25">
      <c r="A429" s="21" t="s">
        <v>3459</v>
      </c>
      <c r="B429" s="21" t="s">
        <v>3843</v>
      </c>
      <c r="C429" s="21" t="s">
        <v>3781</v>
      </c>
    </row>
    <row r="430" spans="1:3" x14ac:dyDescent="0.25">
      <c r="A430" s="21" t="s">
        <v>3459</v>
      </c>
      <c r="B430" s="21" t="s">
        <v>3844</v>
      </c>
      <c r="C430" s="21" t="s">
        <v>3781</v>
      </c>
    </row>
    <row r="431" spans="1:3" x14ac:dyDescent="0.25">
      <c r="A431" s="21" t="s">
        <v>3354</v>
      </c>
      <c r="B431" s="21" t="s">
        <v>3845</v>
      </c>
      <c r="C431" s="21" t="s">
        <v>3781</v>
      </c>
    </row>
    <row r="432" spans="1:3" x14ac:dyDescent="0.25">
      <c r="A432" s="21" t="s">
        <v>3354</v>
      </c>
      <c r="B432" s="21" t="s">
        <v>3846</v>
      </c>
      <c r="C432" s="21" t="s">
        <v>3781</v>
      </c>
    </row>
    <row r="433" spans="1:3" x14ac:dyDescent="0.25">
      <c r="A433" s="21" t="s">
        <v>3354</v>
      </c>
      <c r="B433" s="21" t="s">
        <v>3847</v>
      </c>
      <c r="C433" s="21" t="s">
        <v>3781</v>
      </c>
    </row>
    <row r="434" spans="1:3" x14ac:dyDescent="0.25">
      <c r="A434" s="21" t="s">
        <v>3356</v>
      </c>
      <c r="B434" s="21" t="s">
        <v>3848</v>
      </c>
      <c r="C434" s="21" t="s">
        <v>3781</v>
      </c>
    </row>
    <row r="435" spans="1:3" x14ac:dyDescent="0.25">
      <c r="A435" s="21" t="s">
        <v>3359</v>
      </c>
      <c r="B435" s="21" t="s">
        <v>3849</v>
      </c>
      <c r="C435" s="21" t="s">
        <v>3781</v>
      </c>
    </row>
    <row r="436" spans="1:3" x14ac:dyDescent="0.25">
      <c r="A436" s="21" t="s">
        <v>3537</v>
      </c>
      <c r="B436" s="21" t="s">
        <v>3850</v>
      </c>
      <c r="C436" s="21" t="s">
        <v>3851</v>
      </c>
    </row>
    <row r="437" spans="1:3" x14ac:dyDescent="0.25">
      <c r="A437" s="21" t="s">
        <v>3539</v>
      </c>
      <c r="B437" s="21" t="s">
        <v>3852</v>
      </c>
      <c r="C437" s="21" t="s">
        <v>3851</v>
      </c>
    </row>
    <row r="438" spans="1:3" x14ac:dyDescent="0.25">
      <c r="A438" s="21" t="s">
        <v>3378</v>
      </c>
      <c r="B438" s="21" t="s">
        <v>3853</v>
      </c>
      <c r="C438" s="21" t="s">
        <v>3851</v>
      </c>
    </row>
    <row r="439" spans="1:3" x14ac:dyDescent="0.25">
      <c r="A439" s="21" t="s">
        <v>3479</v>
      </c>
      <c r="B439" s="21" t="s">
        <v>3854</v>
      </c>
      <c r="C439" s="21" t="s">
        <v>3851</v>
      </c>
    </row>
    <row r="440" spans="1:3" x14ac:dyDescent="0.25">
      <c r="A440" s="21" t="s">
        <v>3558</v>
      </c>
      <c r="B440" s="21" t="s">
        <v>3855</v>
      </c>
      <c r="C440" s="21" t="s">
        <v>3851</v>
      </c>
    </row>
    <row r="441" spans="1:3" x14ac:dyDescent="0.25">
      <c r="A441" s="21" t="s">
        <v>3757</v>
      </c>
      <c r="B441" s="21" t="s">
        <v>3856</v>
      </c>
      <c r="C441" s="21" t="s">
        <v>3851</v>
      </c>
    </row>
    <row r="442" spans="1:3" x14ac:dyDescent="0.25">
      <c r="A442" s="21" t="s">
        <v>3591</v>
      </c>
      <c r="B442" s="21" t="s">
        <v>3857</v>
      </c>
      <c r="C442" s="21" t="s">
        <v>3851</v>
      </c>
    </row>
    <row r="443" spans="1:3" x14ac:dyDescent="0.25">
      <c r="A443" s="21" t="s">
        <v>3294</v>
      </c>
      <c r="B443" s="21" t="s">
        <v>3858</v>
      </c>
      <c r="C443" s="21" t="s">
        <v>3851</v>
      </c>
    </row>
    <row r="444" spans="1:3" x14ac:dyDescent="0.25">
      <c r="A444" s="21" t="s">
        <v>3667</v>
      </c>
      <c r="B444" s="21" t="s">
        <v>3859</v>
      </c>
      <c r="C444" s="21" t="s">
        <v>3851</v>
      </c>
    </row>
    <row r="445" spans="1:3" x14ac:dyDescent="0.25">
      <c r="A445" s="21" t="s">
        <v>3306</v>
      </c>
      <c r="B445" s="21" t="s">
        <v>3860</v>
      </c>
      <c r="C445" s="21" t="s">
        <v>3851</v>
      </c>
    </row>
    <row r="446" spans="1:3" x14ac:dyDescent="0.25">
      <c r="A446" s="21" t="s">
        <v>3308</v>
      </c>
      <c r="B446" s="21" t="s">
        <v>3861</v>
      </c>
      <c r="C446" s="21" t="s">
        <v>3851</v>
      </c>
    </row>
    <row r="447" spans="1:3" x14ac:dyDescent="0.25">
      <c r="A447" s="21" t="s">
        <v>3310</v>
      </c>
      <c r="B447" s="21" t="s">
        <v>3862</v>
      </c>
      <c r="C447" s="21" t="s">
        <v>3851</v>
      </c>
    </row>
    <row r="448" spans="1:3" x14ac:dyDescent="0.25">
      <c r="A448" s="21" t="s">
        <v>3310</v>
      </c>
      <c r="B448" s="21" t="s">
        <v>3863</v>
      </c>
      <c r="C448" s="21" t="s">
        <v>3851</v>
      </c>
    </row>
    <row r="449" spans="1:3" x14ac:dyDescent="0.25">
      <c r="A449" s="21" t="s">
        <v>3314</v>
      </c>
      <c r="B449" s="21" t="s">
        <v>3864</v>
      </c>
      <c r="C449" s="21" t="s">
        <v>3851</v>
      </c>
    </row>
    <row r="450" spans="1:3" x14ac:dyDescent="0.25">
      <c r="A450" s="21" t="s">
        <v>3606</v>
      </c>
      <c r="B450" s="21" t="s">
        <v>3865</v>
      </c>
      <c r="C450" s="21" t="s">
        <v>3851</v>
      </c>
    </row>
    <row r="451" spans="1:3" x14ac:dyDescent="0.25">
      <c r="A451" s="21" t="s">
        <v>3429</v>
      </c>
      <c r="B451" s="21" t="s">
        <v>3866</v>
      </c>
      <c r="C451" s="21" t="s">
        <v>3851</v>
      </c>
    </row>
    <row r="452" spans="1:3" x14ac:dyDescent="0.25">
      <c r="A452" s="21" t="s">
        <v>3318</v>
      </c>
      <c r="B452" s="21" t="s">
        <v>3867</v>
      </c>
      <c r="C452" s="21" t="s">
        <v>3851</v>
      </c>
    </row>
    <row r="453" spans="1:3" x14ac:dyDescent="0.25">
      <c r="A453" s="21" t="s">
        <v>3442</v>
      </c>
      <c r="B453" s="21" t="s">
        <v>3868</v>
      </c>
      <c r="C453" s="21" t="s">
        <v>3851</v>
      </c>
    </row>
    <row r="454" spans="1:3" x14ac:dyDescent="0.25">
      <c r="A454" s="21" t="s">
        <v>3619</v>
      </c>
      <c r="B454" s="21" t="s">
        <v>3869</v>
      </c>
      <c r="C454" s="21" t="s">
        <v>3851</v>
      </c>
    </row>
    <row r="455" spans="1:3" x14ac:dyDescent="0.25">
      <c r="A455" s="21" t="s">
        <v>3510</v>
      </c>
      <c r="B455" s="21" t="s">
        <v>3870</v>
      </c>
      <c r="C455" s="21" t="s">
        <v>3851</v>
      </c>
    </row>
    <row r="456" spans="1:3" x14ac:dyDescent="0.25">
      <c r="A456" s="21" t="s">
        <v>3630</v>
      </c>
      <c r="B456" s="21" t="s">
        <v>3871</v>
      </c>
      <c r="C456" s="21" t="s">
        <v>3851</v>
      </c>
    </row>
    <row r="457" spans="1:3" x14ac:dyDescent="0.25">
      <c r="A457" s="21" t="s">
        <v>3744</v>
      </c>
      <c r="B457" s="21" t="s">
        <v>3872</v>
      </c>
      <c r="C457" s="21" t="s">
        <v>3851</v>
      </c>
    </row>
    <row r="458" spans="1:3" x14ac:dyDescent="0.25">
      <c r="A458" s="21" t="s">
        <v>3332</v>
      </c>
      <c r="B458" s="21" t="s">
        <v>3873</v>
      </c>
      <c r="C458" s="21" t="s">
        <v>3851</v>
      </c>
    </row>
    <row r="459" spans="1:3" x14ac:dyDescent="0.25">
      <c r="A459" s="21" t="s">
        <v>3336</v>
      </c>
      <c r="B459" s="21" t="s">
        <v>3874</v>
      </c>
      <c r="C459" s="21" t="s">
        <v>3851</v>
      </c>
    </row>
    <row r="460" spans="1:3" x14ac:dyDescent="0.25">
      <c r="A460" s="21" t="s">
        <v>3450</v>
      </c>
      <c r="B460" s="21" t="s">
        <v>3875</v>
      </c>
      <c r="C460" s="21" t="s">
        <v>3851</v>
      </c>
    </row>
    <row r="461" spans="1:3" x14ac:dyDescent="0.25">
      <c r="A461" s="21" t="s">
        <v>3340</v>
      </c>
      <c r="B461" s="21" t="s">
        <v>3876</v>
      </c>
      <c r="C461" s="21" t="s">
        <v>3851</v>
      </c>
    </row>
    <row r="462" spans="1:3" x14ac:dyDescent="0.25">
      <c r="A462" s="21" t="s">
        <v>3340</v>
      </c>
      <c r="B462" s="21" t="s">
        <v>3877</v>
      </c>
      <c r="C462" s="21" t="s">
        <v>3851</v>
      </c>
    </row>
    <row r="463" spans="1:3" x14ac:dyDescent="0.25">
      <c r="A463" s="21" t="s">
        <v>3518</v>
      </c>
      <c r="B463" s="21" t="s">
        <v>3878</v>
      </c>
      <c r="C463" s="21" t="s">
        <v>3851</v>
      </c>
    </row>
    <row r="464" spans="1:3" x14ac:dyDescent="0.25">
      <c r="A464" s="21" t="s">
        <v>3452</v>
      </c>
      <c r="B464" s="21" t="s">
        <v>3879</v>
      </c>
      <c r="C464" s="21" t="s">
        <v>3851</v>
      </c>
    </row>
    <row r="465" spans="1:3" x14ac:dyDescent="0.25">
      <c r="A465" s="21" t="s">
        <v>3346</v>
      </c>
      <c r="B465" s="21" t="s">
        <v>3880</v>
      </c>
      <c r="C465" s="21" t="s">
        <v>3851</v>
      </c>
    </row>
    <row r="466" spans="1:3" x14ac:dyDescent="0.25">
      <c r="A466" s="21" t="s">
        <v>3785</v>
      </c>
      <c r="B466" s="21" t="s">
        <v>3881</v>
      </c>
      <c r="C466" s="21" t="s">
        <v>3882</v>
      </c>
    </row>
    <row r="467" spans="1:3" x14ac:dyDescent="0.25">
      <c r="A467" s="21" t="s">
        <v>3369</v>
      </c>
      <c r="B467" s="21" t="s">
        <v>3883</v>
      </c>
      <c r="C467" s="21" t="s">
        <v>3882</v>
      </c>
    </row>
    <row r="468" spans="1:3" x14ac:dyDescent="0.25">
      <c r="A468" s="21" t="s">
        <v>3547</v>
      </c>
      <c r="B468" s="21" t="s">
        <v>3884</v>
      </c>
      <c r="C468" s="21" t="s">
        <v>3882</v>
      </c>
    </row>
    <row r="469" spans="1:3" x14ac:dyDescent="0.25">
      <c r="A469" s="21" t="s">
        <v>3657</v>
      </c>
      <c r="B469" s="21" t="s">
        <v>3885</v>
      </c>
      <c r="C469" s="21" t="s">
        <v>3882</v>
      </c>
    </row>
    <row r="470" spans="1:3" x14ac:dyDescent="0.25">
      <c r="A470" s="21" t="s">
        <v>3470</v>
      </c>
      <c r="B470" s="21" t="s">
        <v>3886</v>
      </c>
      <c r="C470" s="21" t="s">
        <v>3882</v>
      </c>
    </row>
    <row r="471" spans="1:3" x14ac:dyDescent="0.25">
      <c r="A471" s="21" t="s">
        <v>3375</v>
      </c>
      <c r="B471" s="21" t="s">
        <v>3887</v>
      </c>
      <c r="C471" s="21" t="s">
        <v>3882</v>
      </c>
    </row>
    <row r="472" spans="1:3" x14ac:dyDescent="0.25">
      <c r="A472" s="21" t="s">
        <v>3288</v>
      </c>
      <c r="B472" s="21" t="s">
        <v>3888</v>
      </c>
      <c r="C472" s="21" t="s">
        <v>3882</v>
      </c>
    </row>
    <row r="473" spans="1:3" x14ac:dyDescent="0.25">
      <c r="A473" s="21" t="s">
        <v>3472</v>
      </c>
      <c r="B473" s="21" t="s">
        <v>3889</v>
      </c>
      <c r="C473" s="21" t="s">
        <v>3882</v>
      </c>
    </row>
    <row r="474" spans="1:3" x14ac:dyDescent="0.25">
      <c r="A474" s="21" t="s">
        <v>3290</v>
      </c>
      <c r="B474" s="21" t="s">
        <v>3890</v>
      </c>
      <c r="C474" s="21" t="s">
        <v>3882</v>
      </c>
    </row>
    <row r="475" spans="1:3" x14ac:dyDescent="0.25">
      <c r="A475" s="21" t="s">
        <v>3290</v>
      </c>
      <c r="B475" s="21" t="s">
        <v>3891</v>
      </c>
      <c r="C475" s="21" t="s">
        <v>3882</v>
      </c>
    </row>
    <row r="476" spans="1:3" x14ac:dyDescent="0.25">
      <c r="A476" s="21" t="s">
        <v>3292</v>
      </c>
      <c r="B476" s="21" t="s">
        <v>3892</v>
      </c>
      <c r="C476" s="21" t="s">
        <v>3882</v>
      </c>
    </row>
    <row r="477" spans="1:3" x14ac:dyDescent="0.25">
      <c r="A477" s="21" t="s">
        <v>3292</v>
      </c>
      <c r="B477" s="21" t="s">
        <v>3893</v>
      </c>
      <c r="C477" s="21" t="s">
        <v>3882</v>
      </c>
    </row>
    <row r="478" spans="1:3" x14ac:dyDescent="0.25">
      <c r="A478" s="21" t="s">
        <v>3384</v>
      </c>
      <c r="B478" s="21" t="s">
        <v>3894</v>
      </c>
      <c r="C478" s="21" t="s">
        <v>3882</v>
      </c>
    </row>
    <row r="479" spans="1:3" x14ac:dyDescent="0.25">
      <c r="A479" s="21" t="s">
        <v>3294</v>
      </c>
      <c r="B479" s="21" t="s">
        <v>3895</v>
      </c>
      <c r="C479" s="21" t="s">
        <v>3882</v>
      </c>
    </row>
    <row r="480" spans="1:3" x14ac:dyDescent="0.25">
      <c r="A480" s="21" t="s">
        <v>3294</v>
      </c>
      <c r="B480" s="21" t="s">
        <v>3896</v>
      </c>
      <c r="C480" s="21" t="s">
        <v>3882</v>
      </c>
    </row>
    <row r="481" spans="1:3" x14ac:dyDescent="0.25">
      <c r="A481" s="21" t="s">
        <v>3395</v>
      </c>
      <c r="B481" s="21" t="s">
        <v>3897</v>
      </c>
      <c r="C481" s="21" t="s">
        <v>3882</v>
      </c>
    </row>
    <row r="482" spans="1:3" x14ac:dyDescent="0.25">
      <c r="A482" s="21" t="s">
        <v>3395</v>
      </c>
      <c r="B482" s="21" t="s">
        <v>3898</v>
      </c>
      <c r="C482" s="21" t="s">
        <v>3882</v>
      </c>
    </row>
    <row r="483" spans="1:3" x14ac:dyDescent="0.25">
      <c r="A483" s="21" t="s">
        <v>3395</v>
      </c>
      <c r="B483" s="21" t="s">
        <v>3899</v>
      </c>
      <c r="C483" s="21" t="s">
        <v>3882</v>
      </c>
    </row>
    <row r="484" spans="1:3" x14ac:dyDescent="0.25">
      <c r="A484" s="21" t="s">
        <v>3395</v>
      </c>
      <c r="B484" s="21" t="s">
        <v>3900</v>
      </c>
      <c r="C484" s="21" t="s">
        <v>3882</v>
      </c>
    </row>
    <row r="485" spans="1:3" x14ac:dyDescent="0.25">
      <c r="A485" s="21" t="s">
        <v>3395</v>
      </c>
      <c r="B485" s="21" t="s">
        <v>3901</v>
      </c>
      <c r="C485" s="21" t="s">
        <v>3882</v>
      </c>
    </row>
    <row r="486" spans="1:3" x14ac:dyDescent="0.25">
      <c r="A486" s="21" t="s">
        <v>3395</v>
      </c>
      <c r="B486" s="21" t="s">
        <v>3902</v>
      </c>
      <c r="C486" s="21" t="s">
        <v>3882</v>
      </c>
    </row>
    <row r="487" spans="1:3" x14ac:dyDescent="0.25">
      <c r="A487" s="21" t="s">
        <v>3395</v>
      </c>
      <c r="B487" s="21" t="s">
        <v>3903</v>
      </c>
      <c r="C487" s="21" t="s">
        <v>3882</v>
      </c>
    </row>
    <row r="488" spans="1:3" x14ac:dyDescent="0.25">
      <c r="A488" s="21" t="s">
        <v>3395</v>
      </c>
      <c r="B488" s="21" t="s">
        <v>3904</v>
      </c>
      <c r="C488" s="21" t="s">
        <v>3882</v>
      </c>
    </row>
    <row r="489" spans="1:3" x14ac:dyDescent="0.25">
      <c r="A489" s="21" t="s">
        <v>3399</v>
      </c>
      <c r="B489" s="21" t="s">
        <v>3905</v>
      </c>
      <c r="C489" s="21" t="s">
        <v>3882</v>
      </c>
    </row>
    <row r="490" spans="1:3" x14ac:dyDescent="0.25">
      <c r="A490" s="21" t="s">
        <v>3399</v>
      </c>
      <c r="B490" s="21" t="s">
        <v>3906</v>
      </c>
      <c r="C490" s="21" t="s">
        <v>3882</v>
      </c>
    </row>
    <row r="491" spans="1:3" x14ac:dyDescent="0.25">
      <c r="A491" s="21" t="s">
        <v>3399</v>
      </c>
      <c r="B491" s="21" t="s">
        <v>3907</v>
      </c>
      <c r="C491" s="21" t="s">
        <v>3882</v>
      </c>
    </row>
    <row r="492" spans="1:3" x14ac:dyDescent="0.25">
      <c r="A492" s="21" t="s">
        <v>3399</v>
      </c>
      <c r="B492" s="21" t="s">
        <v>3908</v>
      </c>
      <c r="C492" s="21" t="s">
        <v>3882</v>
      </c>
    </row>
    <row r="493" spans="1:3" x14ac:dyDescent="0.25">
      <c r="A493" s="21" t="s">
        <v>3300</v>
      </c>
      <c r="B493" s="21" t="s">
        <v>3909</v>
      </c>
      <c r="C493" s="21" t="s">
        <v>3882</v>
      </c>
    </row>
    <row r="494" spans="1:3" x14ac:dyDescent="0.25">
      <c r="A494" s="21" t="s">
        <v>3300</v>
      </c>
      <c r="B494" s="21" t="s">
        <v>3910</v>
      </c>
      <c r="C494" s="21" t="s">
        <v>3882</v>
      </c>
    </row>
    <row r="495" spans="1:3" x14ac:dyDescent="0.25">
      <c r="A495" s="21" t="s">
        <v>3412</v>
      </c>
      <c r="B495" s="21" t="s">
        <v>3911</v>
      </c>
      <c r="C495" s="21" t="s">
        <v>3882</v>
      </c>
    </row>
    <row r="496" spans="1:3" x14ac:dyDescent="0.25">
      <c r="A496" s="21" t="s">
        <v>3415</v>
      </c>
      <c r="B496" s="21" t="s">
        <v>3912</v>
      </c>
      <c r="C496" s="21" t="s">
        <v>3882</v>
      </c>
    </row>
    <row r="497" spans="1:3" x14ac:dyDescent="0.25">
      <c r="A497" s="21" t="s">
        <v>3417</v>
      </c>
      <c r="B497" s="21" t="s">
        <v>3913</v>
      </c>
      <c r="C497" s="21" t="s">
        <v>3882</v>
      </c>
    </row>
    <row r="498" spans="1:3" x14ac:dyDescent="0.25">
      <c r="A498" s="21" t="s">
        <v>3308</v>
      </c>
      <c r="B498" s="21" t="s">
        <v>3914</v>
      </c>
      <c r="C498" s="21" t="s">
        <v>3882</v>
      </c>
    </row>
    <row r="499" spans="1:3" x14ac:dyDescent="0.25">
      <c r="A499" s="21" t="s">
        <v>3318</v>
      </c>
      <c r="B499" s="21" t="s">
        <v>3915</v>
      </c>
      <c r="C499" s="21" t="s">
        <v>3882</v>
      </c>
    </row>
    <row r="500" spans="1:3" x14ac:dyDescent="0.25">
      <c r="A500" s="21" t="s">
        <v>3318</v>
      </c>
      <c r="B500" s="21" t="s">
        <v>3916</v>
      </c>
      <c r="C500" s="21" t="s">
        <v>3882</v>
      </c>
    </row>
    <row r="501" spans="1:3" x14ac:dyDescent="0.25">
      <c r="A501" s="21" t="s">
        <v>3318</v>
      </c>
      <c r="B501" s="21" t="s">
        <v>3917</v>
      </c>
      <c r="C501" s="21" t="s">
        <v>3882</v>
      </c>
    </row>
    <row r="502" spans="1:3" x14ac:dyDescent="0.25">
      <c r="A502" s="21" t="s">
        <v>3318</v>
      </c>
      <c r="B502" s="21" t="s">
        <v>3918</v>
      </c>
      <c r="C502" s="21" t="s">
        <v>3882</v>
      </c>
    </row>
    <row r="503" spans="1:3" x14ac:dyDescent="0.25">
      <c r="A503" s="21" t="s">
        <v>3318</v>
      </c>
      <c r="B503" s="21" t="s">
        <v>3919</v>
      </c>
      <c r="C503" s="21" t="s">
        <v>3882</v>
      </c>
    </row>
    <row r="504" spans="1:3" x14ac:dyDescent="0.25">
      <c r="A504" s="21" t="s">
        <v>3318</v>
      </c>
      <c r="B504" s="21" t="s">
        <v>3920</v>
      </c>
      <c r="C504" s="21" t="s">
        <v>3882</v>
      </c>
    </row>
    <row r="505" spans="1:3" x14ac:dyDescent="0.25">
      <c r="A505" s="21" t="s">
        <v>3320</v>
      </c>
      <c r="B505" s="21" t="s">
        <v>3921</v>
      </c>
      <c r="C505" s="21" t="s">
        <v>3882</v>
      </c>
    </row>
    <row r="506" spans="1:3" x14ac:dyDescent="0.25">
      <c r="A506" s="21" t="s">
        <v>3437</v>
      </c>
      <c r="B506" s="21" t="s">
        <v>3922</v>
      </c>
      <c r="C506" s="21" t="s">
        <v>3882</v>
      </c>
    </row>
    <row r="507" spans="1:3" x14ac:dyDescent="0.25">
      <c r="A507" s="21" t="s">
        <v>3500</v>
      </c>
      <c r="B507" s="21" t="s">
        <v>3923</v>
      </c>
      <c r="C507" s="21" t="s">
        <v>3882</v>
      </c>
    </row>
    <row r="508" spans="1:3" x14ac:dyDescent="0.25">
      <c r="A508" s="21" t="s">
        <v>3442</v>
      </c>
      <c r="B508" s="21" t="s">
        <v>3924</v>
      </c>
      <c r="C508" s="21" t="s">
        <v>3882</v>
      </c>
    </row>
    <row r="509" spans="1:3" x14ac:dyDescent="0.25">
      <c r="A509" s="21" t="s">
        <v>3442</v>
      </c>
      <c r="B509" s="21" t="s">
        <v>3925</v>
      </c>
      <c r="C509" s="21" t="s">
        <v>3882</v>
      </c>
    </row>
    <row r="510" spans="1:3" x14ac:dyDescent="0.25">
      <c r="A510" s="21" t="s">
        <v>3442</v>
      </c>
      <c r="B510" s="21" t="s">
        <v>3926</v>
      </c>
      <c r="C510" s="21" t="s">
        <v>3882</v>
      </c>
    </row>
    <row r="511" spans="1:3" x14ac:dyDescent="0.25">
      <c r="A511" s="21" t="s">
        <v>3442</v>
      </c>
      <c r="B511" s="21" t="s">
        <v>3927</v>
      </c>
      <c r="C511" s="21" t="s">
        <v>3882</v>
      </c>
    </row>
    <row r="512" spans="1:3" x14ac:dyDescent="0.25">
      <c r="A512" s="21" t="s">
        <v>3744</v>
      </c>
      <c r="B512" s="21" t="s">
        <v>3928</v>
      </c>
      <c r="C512" s="21" t="s">
        <v>3882</v>
      </c>
    </row>
    <row r="513" spans="1:3" x14ac:dyDescent="0.25">
      <c r="A513" s="21" t="s">
        <v>3513</v>
      </c>
      <c r="B513" s="21" t="s">
        <v>3929</v>
      </c>
      <c r="C513" s="21" t="s">
        <v>3882</v>
      </c>
    </row>
    <row r="514" spans="1:3" x14ac:dyDescent="0.25">
      <c r="A514" s="21" t="s">
        <v>3520</v>
      </c>
      <c r="B514" s="21" t="s">
        <v>3930</v>
      </c>
      <c r="C514" s="21" t="s">
        <v>3882</v>
      </c>
    </row>
    <row r="515" spans="1:3" x14ac:dyDescent="0.25">
      <c r="A515" s="21" t="s">
        <v>3346</v>
      </c>
      <c r="B515" s="21" t="s">
        <v>3931</v>
      </c>
      <c r="C515" s="21" t="s">
        <v>3882</v>
      </c>
    </row>
    <row r="516" spans="1:3" x14ac:dyDescent="0.25">
      <c r="A516" s="21" t="s">
        <v>3346</v>
      </c>
      <c r="B516" s="21" t="s">
        <v>3932</v>
      </c>
      <c r="C516" s="21" t="s">
        <v>3882</v>
      </c>
    </row>
    <row r="517" spans="1:3" x14ac:dyDescent="0.25">
      <c r="A517" s="21" t="s">
        <v>3346</v>
      </c>
      <c r="B517" s="21" t="s">
        <v>3933</v>
      </c>
      <c r="C517" s="21" t="s">
        <v>3882</v>
      </c>
    </row>
    <row r="518" spans="1:3" x14ac:dyDescent="0.25">
      <c r="A518" s="21" t="s">
        <v>3348</v>
      </c>
      <c r="B518" s="21" t="s">
        <v>3934</v>
      </c>
      <c r="C518" s="21" t="s">
        <v>3882</v>
      </c>
    </row>
    <row r="519" spans="1:3" x14ac:dyDescent="0.25">
      <c r="A519" s="21" t="s">
        <v>3348</v>
      </c>
      <c r="B519" s="21" t="s">
        <v>3935</v>
      </c>
      <c r="C519" s="21" t="s">
        <v>3882</v>
      </c>
    </row>
    <row r="520" spans="1:3" x14ac:dyDescent="0.25">
      <c r="A520" s="21" t="s">
        <v>3348</v>
      </c>
      <c r="B520" s="21" t="s">
        <v>3936</v>
      </c>
      <c r="C520" s="21" t="s">
        <v>3882</v>
      </c>
    </row>
    <row r="521" spans="1:3" x14ac:dyDescent="0.25">
      <c r="A521" s="21" t="s">
        <v>3348</v>
      </c>
      <c r="B521" s="21" t="s">
        <v>3937</v>
      </c>
      <c r="C521" s="21" t="s">
        <v>3882</v>
      </c>
    </row>
    <row r="522" spans="1:3" x14ac:dyDescent="0.25">
      <c r="A522" s="21" t="s">
        <v>3348</v>
      </c>
      <c r="B522" s="21" t="s">
        <v>3938</v>
      </c>
      <c r="C522" s="21" t="s">
        <v>3882</v>
      </c>
    </row>
    <row r="523" spans="1:3" x14ac:dyDescent="0.25">
      <c r="A523" s="21" t="s">
        <v>3348</v>
      </c>
      <c r="B523" s="21" t="s">
        <v>3939</v>
      </c>
      <c r="C523" s="21" t="s">
        <v>3882</v>
      </c>
    </row>
    <row r="524" spans="1:3" x14ac:dyDescent="0.25">
      <c r="A524" s="21" t="s">
        <v>3348</v>
      </c>
      <c r="B524" s="21" t="s">
        <v>3940</v>
      </c>
      <c r="C524" s="21" t="s">
        <v>3882</v>
      </c>
    </row>
    <row r="525" spans="1:3" x14ac:dyDescent="0.25">
      <c r="A525" s="21" t="s">
        <v>3348</v>
      </c>
      <c r="B525" s="21" t="s">
        <v>3941</v>
      </c>
      <c r="C525" s="21" t="s">
        <v>3882</v>
      </c>
    </row>
    <row r="526" spans="1:3" x14ac:dyDescent="0.25">
      <c r="A526" s="21" t="s">
        <v>3350</v>
      </c>
      <c r="B526" s="21" t="s">
        <v>3942</v>
      </c>
      <c r="C526" s="21" t="s">
        <v>3882</v>
      </c>
    </row>
    <row r="527" spans="1:3" x14ac:dyDescent="0.25">
      <c r="A527" s="21" t="s">
        <v>3350</v>
      </c>
      <c r="B527" s="21" t="s">
        <v>3943</v>
      </c>
      <c r="C527" s="21" t="s">
        <v>3882</v>
      </c>
    </row>
    <row r="528" spans="1:3" x14ac:dyDescent="0.25">
      <c r="A528" s="21" t="s">
        <v>3350</v>
      </c>
      <c r="B528" s="21" t="s">
        <v>3944</v>
      </c>
      <c r="C528" s="21" t="s">
        <v>3882</v>
      </c>
    </row>
    <row r="529" spans="1:3" x14ac:dyDescent="0.25">
      <c r="A529" s="21" t="s">
        <v>3350</v>
      </c>
      <c r="B529" s="21" t="s">
        <v>3945</v>
      </c>
      <c r="C529" s="21" t="s">
        <v>3882</v>
      </c>
    </row>
    <row r="530" spans="1:3" x14ac:dyDescent="0.25">
      <c r="A530" s="21" t="s">
        <v>3350</v>
      </c>
      <c r="B530" s="21" t="s">
        <v>3946</v>
      </c>
      <c r="C530" s="21" t="s">
        <v>3882</v>
      </c>
    </row>
    <row r="531" spans="1:3" x14ac:dyDescent="0.25">
      <c r="A531" s="21" t="s">
        <v>3350</v>
      </c>
      <c r="B531" s="21" t="s">
        <v>3947</v>
      </c>
      <c r="C531" s="21" t="s">
        <v>3882</v>
      </c>
    </row>
    <row r="532" spans="1:3" x14ac:dyDescent="0.25">
      <c r="A532" s="21" t="s">
        <v>3350</v>
      </c>
      <c r="B532" s="21" t="s">
        <v>3948</v>
      </c>
      <c r="C532" s="21" t="s">
        <v>3882</v>
      </c>
    </row>
    <row r="533" spans="1:3" x14ac:dyDescent="0.25">
      <c r="A533" s="21" t="s">
        <v>3350</v>
      </c>
      <c r="B533" s="21" t="s">
        <v>3949</v>
      </c>
      <c r="C533" s="21" t="s">
        <v>3882</v>
      </c>
    </row>
    <row r="534" spans="1:3" x14ac:dyDescent="0.25">
      <c r="A534" s="21" t="s">
        <v>3350</v>
      </c>
      <c r="B534" s="21" t="s">
        <v>3950</v>
      </c>
      <c r="C534" s="21" t="s">
        <v>3882</v>
      </c>
    </row>
    <row r="535" spans="1:3" x14ac:dyDescent="0.25">
      <c r="A535" s="21" t="s">
        <v>3352</v>
      </c>
      <c r="B535" s="21" t="s">
        <v>3951</v>
      </c>
      <c r="C535" s="21" t="s">
        <v>3882</v>
      </c>
    </row>
    <row r="536" spans="1:3" x14ac:dyDescent="0.25">
      <c r="A536" s="21" t="s">
        <v>3459</v>
      </c>
      <c r="B536" s="21" t="s">
        <v>3952</v>
      </c>
      <c r="C536" s="21" t="s">
        <v>3882</v>
      </c>
    </row>
    <row r="537" spans="1:3" x14ac:dyDescent="0.25">
      <c r="A537" s="21" t="s">
        <v>3459</v>
      </c>
      <c r="B537" s="21" t="s">
        <v>3953</v>
      </c>
      <c r="C537" s="21" t="s">
        <v>3882</v>
      </c>
    </row>
    <row r="538" spans="1:3" x14ac:dyDescent="0.25">
      <c r="A538" s="21" t="s">
        <v>3459</v>
      </c>
      <c r="B538" s="21" t="s">
        <v>3954</v>
      </c>
      <c r="C538" s="21" t="s">
        <v>3882</v>
      </c>
    </row>
    <row r="539" spans="1:3" x14ac:dyDescent="0.25">
      <c r="A539" s="21" t="s">
        <v>3459</v>
      </c>
      <c r="B539" s="21" t="s">
        <v>3955</v>
      </c>
      <c r="C539" s="21" t="s">
        <v>3882</v>
      </c>
    </row>
    <row r="540" spans="1:3" x14ac:dyDescent="0.25">
      <c r="A540" s="21" t="s">
        <v>3459</v>
      </c>
      <c r="B540" s="21" t="s">
        <v>3956</v>
      </c>
      <c r="C540" s="21" t="s">
        <v>3882</v>
      </c>
    </row>
    <row r="541" spans="1:3" x14ac:dyDescent="0.25">
      <c r="A541" s="21" t="s">
        <v>3354</v>
      </c>
      <c r="B541" s="21" t="s">
        <v>3957</v>
      </c>
      <c r="C541" s="21" t="s">
        <v>3882</v>
      </c>
    </row>
    <row r="542" spans="1:3" x14ac:dyDescent="0.25">
      <c r="A542" s="21" t="s">
        <v>3354</v>
      </c>
      <c r="B542" s="21" t="s">
        <v>3958</v>
      </c>
      <c r="C542" s="21" t="s">
        <v>3882</v>
      </c>
    </row>
    <row r="543" spans="1:3" x14ac:dyDescent="0.25">
      <c r="A543" s="21" t="s">
        <v>3354</v>
      </c>
      <c r="B543" s="21" t="s">
        <v>3959</v>
      </c>
      <c r="C543" s="21" t="s">
        <v>3882</v>
      </c>
    </row>
    <row r="544" spans="1:3" x14ac:dyDescent="0.25">
      <c r="A544" s="21" t="s">
        <v>3354</v>
      </c>
      <c r="B544" s="21" t="s">
        <v>3960</v>
      </c>
      <c r="C544" s="21" t="s">
        <v>3882</v>
      </c>
    </row>
    <row r="545" spans="1:3" x14ac:dyDescent="0.25">
      <c r="A545" s="21" t="s">
        <v>3354</v>
      </c>
      <c r="B545" s="21" t="s">
        <v>3961</v>
      </c>
      <c r="C545" s="21" t="s">
        <v>3882</v>
      </c>
    </row>
    <row r="546" spans="1:3" x14ac:dyDescent="0.25">
      <c r="A546" s="21" t="s">
        <v>3354</v>
      </c>
      <c r="B546" s="21" t="s">
        <v>3962</v>
      </c>
      <c r="C546" s="21" t="s">
        <v>3882</v>
      </c>
    </row>
    <row r="547" spans="1:3" x14ac:dyDescent="0.25">
      <c r="A547" s="21" t="s">
        <v>3354</v>
      </c>
      <c r="B547" s="21" t="s">
        <v>3963</v>
      </c>
      <c r="C547" s="21" t="s">
        <v>3882</v>
      </c>
    </row>
    <row r="548" spans="1:3" x14ac:dyDescent="0.25">
      <c r="A548" s="21" t="s">
        <v>3356</v>
      </c>
      <c r="B548" s="21" t="s">
        <v>3964</v>
      </c>
      <c r="C548" s="21" t="s">
        <v>3882</v>
      </c>
    </row>
    <row r="549" spans="1:3" x14ac:dyDescent="0.25">
      <c r="A549" s="21" t="s">
        <v>3356</v>
      </c>
      <c r="B549" s="21" t="s">
        <v>3965</v>
      </c>
      <c r="C549" s="21" t="s">
        <v>3882</v>
      </c>
    </row>
    <row r="550" spans="1:3" x14ac:dyDescent="0.25">
      <c r="A550" s="21" t="s">
        <v>3356</v>
      </c>
      <c r="B550" s="21" t="s">
        <v>3966</v>
      </c>
      <c r="C550" s="21" t="s">
        <v>3882</v>
      </c>
    </row>
    <row r="551" spans="1:3" x14ac:dyDescent="0.25">
      <c r="A551" s="21" t="s">
        <v>3356</v>
      </c>
      <c r="B551" s="21" t="s">
        <v>3967</v>
      </c>
      <c r="C551" s="21" t="s">
        <v>3882</v>
      </c>
    </row>
    <row r="552" spans="1:3" x14ac:dyDescent="0.25">
      <c r="A552" s="21" t="s">
        <v>3356</v>
      </c>
      <c r="B552" s="21" t="s">
        <v>3968</v>
      </c>
      <c r="C552" s="21" t="s">
        <v>3882</v>
      </c>
    </row>
    <row r="553" spans="1:3" x14ac:dyDescent="0.25">
      <c r="A553" s="21" t="s">
        <v>3356</v>
      </c>
      <c r="B553" s="21" t="s">
        <v>3969</v>
      </c>
      <c r="C553" s="21" t="s">
        <v>3882</v>
      </c>
    </row>
    <row r="554" spans="1:3" x14ac:dyDescent="0.25">
      <c r="A554" s="21" t="s">
        <v>3356</v>
      </c>
      <c r="B554" s="21" t="s">
        <v>3970</v>
      </c>
      <c r="C554" s="21" t="s">
        <v>3882</v>
      </c>
    </row>
    <row r="555" spans="1:3" x14ac:dyDescent="0.25">
      <c r="A555" s="21" t="s">
        <v>3356</v>
      </c>
      <c r="B555" s="21" t="s">
        <v>3971</v>
      </c>
      <c r="C555" s="21" t="s">
        <v>3882</v>
      </c>
    </row>
    <row r="556" spans="1:3" x14ac:dyDescent="0.25">
      <c r="A556" s="21" t="s">
        <v>3359</v>
      </c>
      <c r="B556" s="21" t="s">
        <v>3972</v>
      </c>
      <c r="C556" s="21" t="s">
        <v>3882</v>
      </c>
    </row>
    <row r="557" spans="1:3" x14ac:dyDescent="0.25">
      <c r="A557" s="21" t="s">
        <v>3359</v>
      </c>
      <c r="B557" s="21" t="s">
        <v>3973</v>
      </c>
      <c r="C557" s="21" t="s">
        <v>3882</v>
      </c>
    </row>
    <row r="558" spans="1:3" x14ac:dyDescent="0.25">
      <c r="A558" s="21" t="s">
        <v>3359</v>
      </c>
      <c r="B558" s="21" t="s">
        <v>3974</v>
      </c>
      <c r="C558" s="21" t="s">
        <v>3882</v>
      </c>
    </row>
    <row r="559" spans="1:3" x14ac:dyDescent="0.25">
      <c r="A559" s="21" t="s">
        <v>3975</v>
      </c>
      <c r="B559" s="21" t="s">
        <v>3976</v>
      </c>
      <c r="C559" s="21" t="s">
        <v>3977</v>
      </c>
    </row>
    <row r="560" spans="1:3" x14ac:dyDescent="0.25">
      <c r="A560" s="21" t="s">
        <v>3751</v>
      </c>
      <c r="B560" s="21" t="s">
        <v>3978</v>
      </c>
      <c r="C560" s="21" t="s">
        <v>3977</v>
      </c>
    </row>
    <row r="561" spans="1:3" x14ac:dyDescent="0.25">
      <c r="A561" s="21" t="s">
        <v>3543</v>
      </c>
      <c r="B561" s="21" t="s">
        <v>3979</v>
      </c>
      <c r="C561" s="21" t="s">
        <v>3977</v>
      </c>
    </row>
    <row r="562" spans="1:3" x14ac:dyDescent="0.25">
      <c r="A562" s="21" t="s">
        <v>3375</v>
      </c>
      <c r="B562" s="21" t="s">
        <v>3980</v>
      </c>
      <c r="C562" s="21" t="s">
        <v>3977</v>
      </c>
    </row>
    <row r="563" spans="1:3" x14ac:dyDescent="0.25">
      <c r="A563" s="21" t="s">
        <v>3288</v>
      </c>
      <c r="B563" s="21" t="s">
        <v>3981</v>
      </c>
      <c r="C563" s="21" t="s">
        <v>3977</v>
      </c>
    </row>
    <row r="564" spans="1:3" x14ac:dyDescent="0.25">
      <c r="A564" s="21" t="s">
        <v>3472</v>
      </c>
      <c r="B564" s="21" t="s">
        <v>3982</v>
      </c>
      <c r="C564" s="21" t="s">
        <v>3977</v>
      </c>
    </row>
    <row r="565" spans="1:3" x14ac:dyDescent="0.25">
      <c r="A565" s="21" t="s">
        <v>3292</v>
      </c>
      <c r="B565" s="21" t="s">
        <v>3983</v>
      </c>
      <c r="C565" s="21" t="s">
        <v>3977</v>
      </c>
    </row>
    <row r="566" spans="1:3" x14ac:dyDescent="0.25">
      <c r="A566" s="21" t="s">
        <v>3292</v>
      </c>
      <c r="B566" s="21" t="s">
        <v>3984</v>
      </c>
      <c r="C566" s="21" t="s">
        <v>3977</v>
      </c>
    </row>
    <row r="567" spans="1:3" x14ac:dyDescent="0.25">
      <c r="A567" s="21" t="s">
        <v>3292</v>
      </c>
      <c r="B567" s="21" t="s">
        <v>3985</v>
      </c>
      <c r="C567" s="21" t="s">
        <v>3977</v>
      </c>
    </row>
    <row r="568" spans="1:3" x14ac:dyDescent="0.25">
      <c r="A568" s="21" t="s">
        <v>3479</v>
      </c>
      <c r="B568" s="21" t="s">
        <v>3986</v>
      </c>
      <c r="C568" s="21" t="s">
        <v>3977</v>
      </c>
    </row>
    <row r="569" spans="1:3" x14ac:dyDescent="0.25">
      <c r="A569" s="21" t="s">
        <v>3395</v>
      </c>
      <c r="B569" s="21" t="s">
        <v>3987</v>
      </c>
      <c r="C569" s="21" t="s">
        <v>3977</v>
      </c>
    </row>
    <row r="570" spans="1:3" x14ac:dyDescent="0.25">
      <c r="A570" s="21" t="s">
        <v>3395</v>
      </c>
      <c r="B570" s="21" t="s">
        <v>3988</v>
      </c>
      <c r="C570" s="21" t="s">
        <v>3977</v>
      </c>
    </row>
    <row r="571" spans="1:3" x14ac:dyDescent="0.25">
      <c r="A571" s="21" t="s">
        <v>3298</v>
      </c>
      <c r="B571" s="21" t="s">
        <v>3989</v>
      </c>
      <c r="C571" s="21" t="s">
        <v>3977</v>
      </c>
    </row>
    <row r="572" spans="1:3" x14ac:dyDescent="0.25">
      <c r="A572" s="21" t="s">
        <v>3300</v>
      </c>
      <c r="B572" s="21" t="s">
        <v>3990</v>
      </c>
      <c r="C572" s="21" t="s">
        <v>3977</v>
      </c>
    </row>
    <row r="573" spans="1:3" x14ac:dyDescent="0.25">
      <c r="A573" s="21" t="s">
        <v>3991</v>
      </c>
      <c r="B573" s="21" t="s">
        <v>3992</v>
      </c>
      <c r="C573" s="21" t="s">
        <v>3977</v>
      </c>
    </row>
    <row r="574" spans="1:3" x14ac:dyDescent="0.25">
      <c r="A574" s="21" t="s">
        <v>3489</v>
      </c>
      <c r="B574" s="21" t="s">
        <v>3993</v>
      </c>
      <c r="C574" s="21" t="s">
        <v>3977</v>
      </c>
    </row>
    <row r="575" spans="1:3" x14ac:dyDescent="0.25">
      <c r="A575" s="21" t="s">
        <v>3563</v>
      </c>
      <c r="B575" s="21" t="s">
        <v>3994</v>
      </c>
      <c r="C575" s="21" t="s">
        <v>3977</v>
      </c>
    </row>
    <row r="576" spans="1:3" x14ac:dyDescent="0.25">
      <c r="A576" s="21" t="s">
        <v>3415</v>
      </c>
      <c r="B576" s="21" t="s">
        <v>3995</v>
      </c>
      <c r="C576" s="21" t="s">
        <v>3977</v>
      </c>
    </row>
    <row r="577" spans="1:3" x14ac:dyDescent="0.25">
      <c r="A577" s="21" t="s">
        <v>3316</v>
      </c>
      <c r="B577" s="21" t="s">
        <v>3996</v>
      </c>
      <c r="C577" s="21" t="s">
        <v>3977</v>
      </c>
    </row>
    <row r="578" spans="1:3" x14ac:dyDescent="0.25">
      <c r="A578" s="21" t="s">
        <v>3429</v>
      </c>
      <c r="B578" s="21" t="s">
        <v>3997</v>
      </c>
      <c r="C578" s="21" t="s">
        <v>3977</v>
      </c>
    </row>
    <row r="579" spans="1:3" x14ac:dyDescent="0.25">
      <c r="A579" s="21" t="s">
        <v>3320</v>
      </c>
      <c r="B579" s="21" t="s">
        <v>3998</v>
      </c>
      <c r="C579" s="21" t="s">
        <v>3977</v>
      </c>
    </row>
    <row r="580" spans="1:3" x14ac:dyDescent="0.25">
      <c r="A580" s="21" t="s">
        <v>3320</v>
      </c>
      <c r="B580" s="21" t="s">
        <v>3999</v>
      </c>
      <c r="C580" s="21" t="s">
        <v>3977</v>
      </c>
    </row>
    <row r="581" spans="1:3" x14ac:dyDescent="0.25">
      <c r="A581" s="21" t="s">
        <v>3320</v>
      </c>
      <c r="B581" s="21" t="s">
        <v>4000</v>
      </c>
      <c r="C581" s="21" t="s">
        <v>3977</v>
      </c>
    </row>
    <row r="582" spans="1:3" x14ac:dyDescent="0.25">
      <c r="A582" s="21" t="s">
        <v>3320</v>
      </c>
      <c r="B582" s="21" t="s">
        <v>4001</v>
      </c>
      <c r="C582" s="21" t="s">
        <v>3977</v>
      </c>
    </row>
    <row r="583" spans="1:3" x14ac:dyDescent="0.25">
      <c r="A583" s="21" t="s">
        <v>3437</v>
      </c>
      <c r="B583" s="21" t="s">
        <v>4002</v>
      </c>
      <c r="C583" s="21" t="s">
        <v>3977</v>
      </c>
    </row>
    <row r="584" spans="1:3" x14ac:dyDescent="0.25">
      <c r="A584" s="21" t="s">
        <v>3328</v>
      </c>
      <c r="B584" s="21" t="s">
        <v>4003</v>
      </c>
      <c r="C584" s="21" t="s">
        <v>3977</v>
      </c>
    </row>
    <row r="585" spans="1:3" x14ac:dyDescent="0.25">
      <c r="A585" s="21" t="s">
        <v>3442</v>
      </c>
      <c r="B585" s="21" t="s">
        <v>4004</v>
      </c>
      <c r="C585" s="21" t="s">
        <v>3977</v>
      </c>
    </row>
    <row r="586" spans="1:3" x14ac:dyDescent="0.25">
      <c r="A586" s="21" t="s">
        <v>3621</v>
      </c>
      <c r="B586" s="21" t="s">
        <v>4005</v>
      </c>
      <c r="C586" s="21" t="s">
        <v>3977</v>
      </c>
    </row>
    <row r="587" spans="1:3" x14ac:dyDescent="0.25">
      <c r="A587" s="21" t="s">
        <v>4006</v>
      </c>
      <c r="B587" s="21" t="s">
        <v>4007</v>
      </c>
      <c r="C587" s="21" t="s">
        <v>3977</v>
      </c>
    </row>
    <row r="588" spans="1:3" x14ac:dyDescent="0.25">
      <c r="A588" s="21" t="s">
        <v>3334</v>
      </c>
      <c r="B588" s="21" t="s">
        <v>4008</v>
      </c>
      <c r="C588" s="21" t="s">
        <v>3977</v>
      </c>
    </row>
    <row r="589" spans="1:3" x14ac:dyDescent="0.25">
      <c r="A589" s="21" t="s">
        <v>3450</v>
      </c>
      <c r="B589" s="21" t="s">
        <v>4009</v>
      </c>
      <c r="C589" s="21" t="s">
        <v>3977</v>
      </c>
    </row>
    <row r="590" spans="1:3" x14ac:dyDescent="0.25">
      <c r="A590" s="21" t="s">
        <v>3344</v>
      </c>
      <c r="B590" s="21" t="s">
        <v>4010</v>
      </c>
      <c r="C590" s="21" t="s">
        <v>3977</v>
      </c>
    </row>
    <row r="591" spans="1:3" x14ac:dyDescent="0.25">
      <c r="A591" s="21" t="s">
        <v>3346</v>
      </c>
      <c r="B591" s="21" t="s">
        <v>4011</v>
      </c>
      <c r="C591" s="21" t="s">
        <v>3977</v>
      </c>
    </row>
    <row r="592" spans="1:3" x14ac:dyDescent="0.25">
      <c r="A592" s="21" t="s">
        <v>3348</v>
      </c>
      <c r="B592" s="21" t="s">
        <v>4012</v>
      </c>
      <c r="C592" s="21" t="s">
        <v>3977</v>
      </c>
    </row>
    <row r="593" spans="1:3" x14ac:dyDescent="0.25">
      <c r="A593" s="21" t="s">
        <v>3350</v>
      </c>
      <c r="B593" s="21" t="s">
        <v>4013</v>
      </c>
      <c r="C593" s="21" t="s">
        <v>3977</v>
      </c>
    </row>
    <row r="594" spans="1:3" x14ac:dyDescent="0.25">
      <c r="A594" s="21" t="s">
        <v>3459</v>
      </c>
      <c r="B594" s="21" t="s">
        <v>4014</v>
      </c>
      <c r="C594" s="21" t="s">
        <v>3977</v>
      </c>
    </row>
    <row r="595" spans="1:3" x14ac:dyDescent="0.25">
      <c r="A595" s="21" t="s">
        <v>3354</v>
      </c>
      <c r="B595" s="21" t="s">
        <v>4015</v>
      </c>
      <c r="C595" s="21" t="s">
        <v>3977</v>
      </c>
    </row>
    <row r="596" spans="1:3" x14ac:dyDescent="0.25">
      <c r="A596" s="21" t="s">
        <v>3356</v>
      </c>
      <c r="B596" s="21" t="s">
        <v>4016</v>
      </c>
      <c r="C596" s="21" t="s">
        <v>3977</v>
      </c>
    </row>
    <row r="597" spans="1:3" x14ac:dyDescent="0.25">
      <c r="A597" s="21" t="s">
        <v>3356</v>
      </c>
      <c r="B597" s="21" t="s">
        <v>4017</v>
      </c>
      <c r="C597" s="21" t="s">
        <v>3977</v>
      </c>
    </row>
    <row r="598" spans="1:3" x14ac:dyDescent="0.25">
      <c r="A598" s="21" t="s">
        <v>3359</v>
      </c>
      <c r="B598" s="21" t="s">
        <v>4018</v>
      </c>
      <c r="C598" s="21" t="s">
        <v>3977</v>
      </c>
    </row>
    <row r="599" spans="1:3" x14ac:dyDescent="0.25">
      <c r="A599" s="21" t="s">
        <v>3361</v>
      </c>
      <c r="B599" s="21" t="s">
        <v>4019</v>
      </c>
      <c r="C599" s="21" t="s">
        <v>3977</v>
      </c>
    </row>
    <row r="600" spans="1:3" x14ac:dyDescent="0.25">
      <c r="A600" s="21" t="s">
        <v>4020</v>
      </c>
      <c r="B600" s="21" t="s">
        <v>4021</v>
      </c>
      <c r="C600" s="21" t="s">
        <v>4022</v>
      </c>
    </row>
    <row r="601" spans="1:3" x14ac:dyDescent="0.25">
      <c r="A601" s="21" t="s">
        <v>3539</v>
      </c>
      <c r="B601" s="21" t="s">
        <v>4023</v>
      </c>
      <c r="C601" s="21" t="s">
        <v>4022</v>
      </c>
    </row>
    <row r="602" spans="1:3" x14ac:dyDescent="0.25">
      <c r="A602" s="21" t="s">
        <v>3541</v>
      </c>
      <c r="B602" s="21" t="s">
        <v>4024</v>
      </c>
      <c r="C602" s="21" t="s">
        <v>4022</v>
      </c>
    </row>
    <row r="603" spans="1:3" x14ac:dyDescent="0.25">
      <c r="A603" s="21" t="s">
        <v>3288</v>
      </c>
      <c r="B603" s="21" t="s">
        <v>4025</v>
      </c>
      <c r="C603" s="21" t="s">
        <v>4022</v>
      </c>
    </row>
    <row r="604" spans="1:3" x14ac:dyDescent="0.25">
      <c r="A604" s="21" t="s">
        <v>3472</v>
      </c>
      <c r="B604" s="21" t="s">
        <v>4026</v>
      </c>
      <c r="C604" s="21" t="s">
        <v>4022</v>
      </c>
    </row>
    <row r="605" spans="1:3" x14ac:dyDescent="0.25">
      <c r="A605" s="21" t="s">
        <v>3378</v>
      </c>
      <c r="B605" s="21" t="s">
        <v>4027</v>
      </c>
      <c r="C605" s="21" t="s">
        <v>4022</v>
      </c>
    </row>
    <row r="606" spans="1:3" x14ac:dyDescent="0.25">
      <c r="A606" s="21" t="s">
        <v>3558</v>
      </c>
      <c r="B606" s="21" t="s">
        <v>4028</v>
      </c>
      <c r="C606" s="21" t="s">
        <v>4022</v>
      </c>
    </row>
    <row r="607" spans="1:3" x14ac:dyDescent="0.25">
      <c r="A607" s="21" t="s">
        <v>3806</v>
      </c>
      <c r="B607" s="21" t="s">
        <v>4029</v>
      </c>
      <c r="C607" s="21" t="s">
        <v>4022</v>
      </c>
    </row>
    <row r="608" spans="1:3" x14ac:dyDescent="0.25">
      <c r="A608" s="21" t="s">
        <v>3591</v>
      </c>
      <c r="B608" s="21" t="s">
        <v>4030</v>
      </c>
      <c r="C608" s="21" t="s">
        <v>4022</v>
      </c>
    </row>
    <row r="609" spans="1:3" x14ac:dyDescent="0.25">
      <c r="A609" s="21" t="s">
        <v>3294</v>
      </c>
      <c r="B609" s="21" t="s">
        <v>4031</v>
      </c>
      <c r="C609" s="21" t="s">
        <v>4022</v>
      </c>
    </row>
    <row r="610" spans="1:3" x14ac:dyDescent="0.25">
      <c r="A610" s="21" t="s">
        <v>3669</v>
      </c>
      <c r="B610" s="21" t="s">
        <v>4032</v>
      </c>
      <c r="C610" s="21" t="s">
        <v>4022</v>
      </c>
    </row>
    <row r="611" spans="1:3" x14ac:dyDescent="0.25">
      <c r="A611" s="21" t="s">
        <v>3489</v>
      </c>
      <c r="B611" s="21" t="s">
        <v>4033</v>
      </c>
      <c r="C611" s="21" t="s">
        <v>4022</v>
      </c>
    </row>
    <row r="612" spans="1:3" x14ac:dyDescent="0.25">
      <c r="A612" s="21" t="s">
        <v>3302</v>
      </c>
      <c r="B612" s="21" t="s">
        <v>4034</v>
      </c>
      <c r="C612" s="21" t="s">
        <v>4022</v>
      </c>
    </row>
    <row r="613" spans="1:3" x14ac:dyDescent="0.25">
      <c r="A613" s="21" t="s">
        <v>3410</v>
      </c>
      <c r="B613" s="21" t="s">
        <v>4035</v>
      </c>
      <c r="C613" s="21" t="s">
        <v>4022</v>
      </c>
    </row>
    <row r="614" spans="1:3" x14ac:dyDescent="0.25">
      <c r="A614" s="21" t="s">
        <v>3318</v>
      </c>
      <c r="B614" s="21" t="s">
        <v>4036</v>
      </c>
      <c r="C614" s="21" t="s">
        <v>4022</v>
      </c>
    </row>
    <row r="615" spans="1:3" x14ac:dyDescent="0.25">
      <c r="A615" s="21" t="s">
        <v>3320</v>
      </c>
      <c r="B615" s="21" t="s">
        <v>4037</v>
      </c>
      <c r="C615" s="21" t="s">
        <v>4022</v>
      </c>
    </row>
    <row r="616" spans="1:3" x14ac:dyDescent="0.25">
      <c r="A616" s="21" t="s">
        <v>3320</v>
      </c>
      <c r="B616" s="21" t="s">
        <v>4038</v>
      </c>
      <c r="C616" s="21" t="s">
        <v>4022</v>
      </c>
    </row>
    <row r="617" spans="1:3" x14ac:dyDescent="0.25">
      <c r="A617" s="21" t="s">
        <v>3320</v>
      </c>
      <c r="B617" s="21" t="s">
        <v>4039</v>
      </c>
      <c r="C617" s="21" t="s">
        <v>4022</v>
      </c>
    </row>
    <row r="618" spans="1:3" x14ac:dyDescent="0.25">
      <c r="A618" s="21" t="s">
        <v>3446</v>
      </c>
      <c r="B618" s="21" t="s">
        <v>4040</v>
      </c>
      <c r="C618" s="21" t="s">
        <v>4022</v>
      </c>
    </row>
    <row r="619" spans="1:3" x14ac:dyDescent="0.25">
      <c r="A619" s="21" t="s">
        <v>3513</v>
      </c>
      <c r="B619" s="21" t="s">
        <v>4041</v>
      </c>
      <c r="C619" s="21" t="s">
        <v>4022</v>
      </c>
    </row>
    <row r="620" spans="1:3" x14ac:dyDescent="0.25">
      <c r="A620" s="21" t="s">
        <v>3520</v>
      </c>
      <c r="B620" s="21" t="s">
        <v>4042</v>
      </c>
      <c r="C620" s="21" t="s">
        <v>4022</v>
      </c>
    </row>
    <row r="621" spans="1:3" x14ac:dyDescent="0.25">
      <c r="A621" s="21" t="s">
        <v>3344</v>
      </c>
      <c r="B621" s="21" t="s">
        <v>4043</v>
      </c>
      <c r="C621" s="21" t="s">
        <v>4022</v>
      </c>
    </row>
    <row r="622" spans="1:3" x14ac:dyDescent="0.25">
      <c r="A622" s="21" t="s">
        <v>3346</v>
      </c>
      <c r="B622" s="21" t="s">
        <v>4044</v>
      </c>
      <c r="C622" s="21" t="s">
        <v>4022</v>
      </c>
    </row>
    <row r="623" spans="1:3" x14ac:dyDescent="0.25">
      <c r="A623" s="21" t="s">
        <v>3348</v>
      </c>
      <c r="B623" s="21" t="s">
        <v>4045</v>
      </c>
      <c r="C623" s="21" t="s">
        <v>4022</v>
      </c>
    </row>
    <row r="624" spans="1:3" x14ac:dyDescent="0.25">
      <c r="A624" s="21" t="s">
        <v>3350</v>
      </c>
      <c r="B624" s="21" t="s">
        <v>4046</v>
      </c>
      <c r="C624" s="21" t="s">
        <v>4022</v>
      </c>
    </row>
    <row r="625" spans="1:3" x14ac:dyDescent="0.25">
      <c r="A625" s="21" t="s">
        <v>3354</v>
      </c>
      <c r="B625" s="21" t="s">
        <v>4047</v>
      </c>
      <c r="C625" s="21" t="s">
        <v>4022</v>
      </c>
    </row>
    <row r="626" spans="1:3" x14ac:dyDescent="0.25">
      <c r="A626" s="21" t="s">
        <v>3356</v>
      </c>
      <c r="B626" s="21" t="s">
        <v>4048</v>
      </c>
      <c r="C626" s="21" t="s">
        <v>4022</v>
      </c>
    </row>
    <row r="627" spans="1:3" x14ac:dyDescent="0.25">
      <c r="A627" s="21" t="s">
        <v>3359</v>
      </c>
      <c r="B627" s="21" t="s">
        <v>4049</v>
      </c>
      <c r="C627" s="21" t="s">
        <v>4022</v>
      </c>
    </row>
    <row r="628" spans="1:3" x14ac:dyDescent="0.25">
      <c r="A628" s="21" t="s">
        <v>3361</v>
      </c>
      <c r="B628" s="21" t="s">
        <v>4050</v>
      </c>
      <c r="C628" s="21" t="s">
        <v>4022</v>
      </c>
    </row>
    <row r="629" spans="1:3" x14ac:dyDescent="0.25">
      <c r="A629" s="21" t="s">
        <v>3344</v>
      </c>
      <c r="B629" s="21" t="s">
        <v>4051</v>
      </c>
      <c r="C629" s="21" t="s">
        <v>4052</v>
      </c>
    </row>
    <row r="630" spans="1:3" x14ac:dyDescent="0.25">
      <c r="A630" s="21" t="s">
        <v>3346</v>
      </c>
      <c r="B630" s="21" t="s">
        <v>4053</v>
      </c>
      <c r="C630" s="21" t="s">
        <v>4052</v>
      </c>
    </row>
    <row r="631" spans="1:3" x14ac:dyDescent="0.25">
      <c r="A631" s="21" t="s">
        <v>3348</v>
      </c>
      <c r="B631" s="21" t="s">
        <v>4054</v>
      </c>
      <c r="C631" s="21" t="s">
        <v>4052</v>
      </c>
    </row>
    <row r="632" spans="1:3" x14ac:dyDescent="0.25">
      <c r="A632" s="21" t="s">
        <v>3352</v>
      </c>
      <c r="B632" s="21" t="s">
        <v>4055</v>
      </c>
      <c r="C632" s="21" t="s">
        <v>4052</v>
      </c>
    </row>
    <row r="633" spans="1:3" x14ac:dyDescent="0.25">
      <c r="A633" s="21" t="s">
        <v>3354</v>
      </c>
      <c r="B633" s="21" t="s">
        <v>4056</v>
      </c>
      <c r="C633" s="21" t="s">
        <v>4052</v>
      </c>
    </row>
    <row r="634" spans="1:3" x14ac:dyDescent="0.25">
      <c r="A634" s="21" t="s">
        <v>3356</v>
      </c>
      <c r="B634" s="21" t="s">
        <v>4057</v>
      </c>
      <c r="C634" s="21" t="s">
        <v>4052</v>
      </c>
    </row>
    <row r="635" spans="1:3" x14ac:dyDescent="0.25">
      <c r="A635" s="21" t="s">
        <v>3359</v>
      </c>
      <c r="B635" s="21" t="s">
        <v>4058</v>
      </c>
      <c r="C635" s="21" t="s">
        <v>4052</v>
      </c>
    </row>
    <row r="636" spans="1:3" x14ac:dyDescent="0.25">
      <c r="A636" s="21" t="s">
        <v>3361</v>
      </c>
      <c r="B636" s="21" t="s">
        <v>4059</v>
      </c>
      <c r="C636" s="21" t="s">
        <v>4052</v>
      </c>
    </row>
    <row r="637" spans="1:3" x14ac:dyDescent="0.25">
      <c r="A637" s="21" t="s">
        <v>3537</v>
      </c>
      <c r="B637" s="21" t="s">
        <v>4060</v>
      </c>
      <c r="C637" s="21" t="s">
        <v>4061</v>
      </c>
    </row>
    <row r="638" spans="1:3" x14ac:dyDescent="0.25">
      <c r="A638" s="21" t="s">
        <v>3539</v>
      </c>
      <c r="B638" s="21" t="s">
        <v>4062</v>
      </c>
      <c r="C638" s="21" t="s">
        <v>4061</v>
      </c>
    </row>
    <row r="639" spans="1:3" x14ac:dyDescent="0.25">
      <c r="A639" s="21" t="s">
        <v>4063</v>
      </c>
      <c r="B639" s="21" t="s">
        <v>4064</v>
      </c>
      <c r="C639" s="21" t="s">
        <v>4061</v>
      </c>
    </row>
    <row r="640" spans="1:3" x14ac:dyDescent="0.25">
      <c r="A640" s="21" t="s">
        <v>3468</v>
      </c>
      <c r="B640" s="21" t="s">
        <v>4065</v>
      </c>
      <c r="C640" s="21" t="s">
        <v>4061</v>
      </c>
    </row>
    <row r="641" spans="1:3" x14ac:dyDescent="0.25">
      <c r="A641" s="21" t="s">
        <v>3468</v>
      </c>
      <c r="B641" s="21" t="s">
        <v>4066</v>
      </c>
      <c r="C641" s="21" t="s">
        <v>4061</v>
      </c>
    </row>
    <row r="642" spans="1:3" x14ac:dyDescent="0.25">
      <c r="A642" s="21" t="s">
        <v>3378</v>
      </c>
      <c r="B642" s="21" t="s">
        <v>4067</v>
      </c>
      <c r="C642" s="21" t="s">
        <v>4061</v>
      </c>
    </row>
    <row r="643" spans="1:3" x14ac:dyDescent="0.25">
      <c r="A643" s="21" t="s">
        <v>3292</v>
      </c>
      <c r="B643" s="21" t="s">
        <v>4068</v>
      </c>
      <c r="C643" s="21" t="s">
        <v>4061</v>
      </c>
    </row>
    <row r="644" spans="1:3" x14ac:dyDescent="0.25">
      <c r="A644" s="21" t="s">
        <v>3292</v>
      </c>
      <c r="B644" s="21" t="s">
        <v>4069</v>
      </c>
      <c r="C644" s="21" t="s">
        <v>4061</v>
      </c>
    </row>
    <row r="645" spans="1:3" x14ac:dyDescent="0.25">
      <c r="A645" s="21" t="s">
        <v>3384</v>
      </c>
      <c r="B645" s="21" t="s">
        <v>4070</v>
      </c>
      <c r="C645" s="21" t="s">
        <v>4061</v>
      </c>
    </row>
    <row r="646" spans="1:3" x14ac:dyDescent="0.25">
      <c r="A646" s="21" t="s">
        <v>3795</v>
      </c>
      <c r="B646" s="21" t="s">
        <v>4071</v>
      </c>
      <c r="C646" s="21" t="s">
        <v>4061</v>
      </c>
    </row>
    <row r="647" spans="1:3" x14ac:dyDescent="0.25">
      <c r="A647" s="21" t="s">
        <v>3479</v>
      </c>
      <c r="B647" s="21" t="s">
        <v>4072</v>
      </c>
      <c r="C647" s="21" t="s">
        <v>4061</v>
      </c>
    </row>
    <row r="648" spans="1:3" x14ac:dyDescent="0.25">
      <c r="A648" s="21" t="s">
        <v>3479</v>
      </c>
      <c r="B648" s="21" t="s">
        <v>4073</v>
      </c>
      <c r="C648" s="21" t="s">
        <v>4061</v>
      </c>
    </row>
    <row r="649" spans="1:3" x14ac:dyDescent="0.25">
      <c r="A649" s="21" t="s">
        <v>3667</v>
      </c>
      <c r="B649" s="21" t="s">
        <v>4074</v>
      </c>
      <c r="C649" s="21" t="s">
        <v>4061</v>
      </c>
    </row>
    <row r="650" spans="1:3" x14ac:dyDescent="0.25">
      <c r="A650" s="21" t="s">
        <v>3489</v>
      </c>
      <c r="B650" s="21" t="s">
        <v>4075</v>
      </c>
      <c r="C650" s="21" t="s">
        <v>4061</v>
      </c>
    </row>
    <row r="651" spans="1:3" x14ac:dyDescent="0.25">
      <c r="A651" s="21" t="s">
        <v>3306</v>
      </c>
      <c r="B651" s="21" t="s">
        <v>4076</v>
      </c>
      <c r="C651" s="21" t="s">
        <v>4061</v>
      </c>
    </row>
    <row r="652" spans="1:3" x14ac:dyDescent="0.25">
      <c r="A652" s="21" t="s">
        <v>3308</v>
      </c>
      <c r="B652" s="21" t="s">
        <v>4077</v>
      </c>
      <c r="C652" s="21" t="s">
        <v>4061</v>
      </c>
    </row>
    <row r="653" spans="1:3" x14ac:dyDescent="0.25">
      <c r="A653" s="21" t="s">
        <v>3312</v>
      </c>
      <c r="B653" s="21" t="s">
        <v>4078</v>
      </c>
      <c r="C653" s="21" t="s">
        <v>4061</v>
      </c>
    </row>
    <row r="654" spans="1:3" x14ac:dyDescent="0.25">
      <c r="A654" s="21" t="s">
        <v>3312</v>
      </c>
      <c r="B654" s="21" t="s">
        <v>4079</v>
      </c>
      <c r="C654" s="21" t="s">
        <v>4061</v>
      </c>
    </row>
    <row r="655" spans="1:3" x14ac:dyDescent="0.25">
      <c r="A655" s="21" t="s">
        <v>3312</v>
      </c>
      <c r="B655" s="21" t="s">
        <v>4080</v>
      </c>
      <c r="C655" s="21" t="s">
        <v>4061</v>
      </c>
    </row>
    <row r="656" spans="1:3" x14ac:dyDescent="0.25">
      <c r="A656" s="21" t="s">
        <v>3314</v>
      </c>
      <c r="B656" s="21" t="s">
        <v>4081</v>
      </c>
      <c r="C656" s="21" t="s">
        <v>4061</v>
      </c>
    </row>
    <row r="657" spans="1:3" x14ac:dyDescent="0.25">
      <c r="A657" s="21" t="s">
        <v>3429</v>
      </c>
      <c r="B657" s="21" t="s">
        <v>4082</v>
      </c>
      <c r="C657" s="21" t="s">
        <v>4061</v>
      </c>
    </row>
    <row r="658" spans="1:3" x14ac:dyDescent="0.25">
      <c r="A658" s="21" t="s">
        <v>3318</v>
      </c>
      <c r="B658" s="21" t="s">
        <v>4083</v>
      </c>
      <c r="C658" s="21" t="s">
        <v>4061</v>
      </c>
    </row>
    <row r="659" spans="1:3" x14ac:dyDescent="0.25">
      <c r="A659" s="21" t="s">
        <v>3320</v>
      </c>
      <c r="B659" s="21" t="s">
        <v>4084</v>
      </c>
      <c r="C659" s="21" t="s">
        <v>4061</v>
      </c>
    </row>
    <row r="660" spans="1:3" x14ac:dyDescent="0.25">
      <c r="A660" s="21" t="s">
        <v>3437</v>
      </c>
      <c r="B660" s="21" t="s">
        <v>4085</v>
      </c>
      <c r="C660" s="21" t="s">
        <v>4061</v>
      </c>
    </row>
    <row r="661" spans="1:3" x14ac:dyDescent="0.25">
      <c r="A661" s="21" t="s">
        <v>3437</v>
      </c>
      <c r="B661" s="21" t="s">
        <v>4086</v>
      </c>
      <c r="C661" s="21" t="s">
        <v>4061</v>
      </c>
    </row>
    <row r="662" spans="1:3" x14ac:dyDescent="0.25">
      <c r="A662" s="21" t="s">
        <v>3500</v>
      </c>
      <c r="B662" s="21" t="s">
        <v>4087</v>
      </c>
      <c r="C662" s="21" t="s">
        <v>4061</v>
      </c>
    </row>
    <row r="663" spans="1:3" x14ac:dyDescent="0.25">
      <c r="A663" s="21" t="s">
        <v>3324</v>
      </c>
      <c r="B663" s="21" t="s">
        <v>4088</v>
      </c>
      <c r="C663" s="21" t="s">
        <v>4061</v>
      </c>
    </row>
    <row r="664" spans="1:3" x14ac:dyDescent="0.25">
      <c r="A664" s="21" t="s">
        <v>3326</v>
      </c>
      <c r="B664" s="21" t="s">
        <v>4089</v>
      </c>
      <c r="C664" s="21" t="s">
        <v>4061</v>
      </c>
    </row>
    <row r="665" spans="1:3" x14ac:dyDescent="0.25">
      <c r="A665" s="21" t="s">
        <v>3326</v>
      </c>
      <c r="B665" s="21" t="s">
        <v>4090</v>
      </c>
      <c r="C665" s="21" t="s">
        <v>4061</v>
      </c>
    </row>
    <row r="666" spans="1:3" x14ac:dyDescent="0.25">
      <c r="A666" s="21" t="s">
        <v>3619</v>
      </c>
      <c r="B666" s="21" t="s">
        <v>4091</v>
      </c>
      <c r="C666" s="21" t="s">
        <v>4061</v>
      </c>
    </row>
    <row r="667" spans="1:3" x14ac:dyDescent="0.25">
      <c r="A667" s="21" t="s">
        <v>3508</v>
      </c>
      <c r="B667" s="21" t="s">
        <v>4092</v>
      </c>
      <c r="C667" s="21" t="s">
        <v>4061</v>
      </c>
    </row>
    <row r="668" spans="1:3" x14ac:dyDescent="0.25">
      <c r="A668" s="21" t="s">
        <v>4006</v>
      </c>
      <c r="B668" s="21" t="s">
        <v>4093</v>
      </c>
      <c r="C668" s="21" t="s">
        <v>4061</v>
      </c>
    </row>
    <row r="669" spans="1:3" x14ac:dyDescent="0.25">
      <c r="A669" s="21" t="s">
        <v>3340</v>
      </c>
      <c r="B669" s="21" t="s">
        <v>4094</v>
      </c>
      <c r="C669" s="21" t="s">
        <v>4061</v>
      </c>
    </row>
    <row r="670" spans="1:3" x14ac:dyDescent="0.25">
      <c r="A670" s="21" t="s">
        <v>3344</v>
      </c>
      <c r="B670" s="21" t="s">
        <v>4095</v>
      </c>
      <c r="C670" s="21" t="s">
        <v>4061</v>
      </c>
    </row>
    <row r="671" spans="1:3" x14ac:dyDescent="0.25">
      <c r="A671" s="21" t="s">
        <v>3346</v>
      </c>
      <c r="B671" s="21" t="s">
        <v>4096</v>
      </c>
      <c r="C671" s="21" t="s">
        <v>4061</v>
      </c>
    </row>
    <row r="672" spans="1:3" x14ac:dyDescent="0.25">
      <c r="A672" s="21" t="s">
        <v>3346</v>
      </c>
      <c r="B672" s="21" t="s">
        <v>4097</v>
      </c>
      <c r="C672" s="21" t="s">
        <v>4061</v>
      </c>
    </row>
    <row r="673" spans="1:3" x14ac:dyDescent="0.25">
      <c r="A673" s="21" t="s">
        <v>3348</v>
      </c>
      <c r="B673" s="21" t="s">
        <v>4098</v>
      </c>
      <c r="C673" s="21" t="s">
        <v>4061</v>
      </c>
    </row>
    <row r="674" spans="1:3" x14ac:dyDescent="0.25">
      <c r="A674" s="21" t="s">
        <v>3350</v>
      </c>
      <c r="B674" s="21" t="s">
        <v>4099</v>
      </c>
      <c r="C674" s="21" t="s">
        <v>4061</v>
      </c>
    </row>
    <row r="675" spans="1:3" x14ac:dyDescent="0.25">
      <c r="A675" s="21" t="s">
        <v>3459</v>
      </c>
      <c r="B675" s="21" t="s">
        <v>4100</v>
      </c>
      <c r="C675" s="21" t="s">
        <v>4061</v>
      </c>
    </row>
    <row r="676" spans="1:3" x14ac:dyDescent="0.25">
      <c r="A676" s="21" t="s">
        <v>3354</v>
      </c>
      <c r="B676" s="21" t="s">
        <v>4101</v>
      </c>
      <c r="C676" s="21" t="s">
        <v>4061</v>
      </c>
    </row>
    <row r="677" spans="1:3" x14ac:dyDescent="0.25">
      <c r="A677" s="21" t="s">
        <v>4796</v>
      </c>
      <c r="B677" s="21" t="s">
        <v>4805</v>
      </c>
      <c r="C677" s="21" t="s">
        <v>4104</v>
      </c>
    </row>
    <row r="678" spans="1:3" x14ac:dyDescent="0.25">
      <c r="A678" s="21" t="s">
        <v>4781</v>
      </c>
      <c r="B678" s="21" t="s">
        <v>4782</v>
      </c>
      <c r="C678" s="21" t="s">
        <v>4104</v>
      </c>
    </row>
    <row r="679" spans="1:3" x14ac:dyDescent="0.25">
      <c r="A679" s="21" t="s">
        <v>4102</v>
      </c>
      <c r="B679" s="21" t="s">
        <v>4103</v>
      </c>
      <c r="C679" s="21" t="s">
        <v>4104</v>
      </c>
    </row>
    <row r="680" spans="1:3" x14ac:dyDescent="0.25">
      <c r="A680" s="21" t="s">
        <v>4105</v>
      </c>
      <c r="B680" s="21" t="s">
        <v>4106</v>
      </c>
      <c r="C680" s="21" t="s">
        <v>4104</v>
      </c>
    </row>
    <row r="681" spans="1:3" x14ac:dyDescent="0.25">
      <c r="A681" s="21" t="s">
        <v>3751</v>
      </c>
      <c r="B681" s="21" t="s">
        <v>4107</v>
      </c>
      <c r="C681" s="21" t="s">
        <v>4104</v>
      </c>
    </row>
    <row r="682" spans="1:3" x14ac:dyDescent="0.25">
      <c r="A682" s="21" t="s">
        <v>3751</v>
      </c>
      <c r="B682" s="21" t="s">
        <v>4108</v>
      </c>
      <c r="C682" s="21" t="s">
        <v>4104</v>
      </c>
    </row>
    <row r="683" spans="1:3" x14ac:dyDescent="0.25">
      <c r="A683" s="21" t="s">
        <v>3372</v>
      </c>
      <c r="B683" s="21" t="s">
        <v>4109</v>
      </c>
      <c r="C683" s="21" t="s">
        <v>4104</v>
      </c>
    </row>
    <row r="684" spans="1:3" x14ac:dyDescent="0.25">
      <c r="A684" s="21" t="s">
        <v>3288</v>
      </c>
      <c r="B684" s="21" t="s">
        <v>4110</v>
      </c>
      <c r="C684" s="21" t="s">
        <v>4104</v>
      </c>
    </row>
    <row r="685" spans="1:3" x14ac:dyDescent="0.25">
      <c r="A685" s="21" t="s">
        <v>3586</v>
      </c>
      <c r="B685" s="21" t="s">
        <v>4111</v>
      </c>
      <c r="C685" s="21" t="s">
        <v>4104</v>
      </c>
    </row>
    <row r="686" spans="1:3" x14ac:dyDescent="0.25">
      <c r="A686" s="21" t="s">
        <v>3586</v>
      </c>
      <c r="B686" s="21" t="s">
        <v>4112</v>
      </c>
      <c r="C686" s="21" t="s">
        <v>4104</v>
      </c>
    </row>
    <row r="687" spans="1:3" x14ac:dyDescent="0.25">
      <c r="A687" s="21" t="s">
        <v>3586</v>
      </c>
      <c r="B687" s="21" t="s">
        <v>4113</v>
      </c>
      <c r="C687" s="21" t="s">
        <v>4104</v>
      </c>
    </row>
    <row r="688" spans="1:3" x14ac:dyDescent="0.25">
      <c r="A688" s="21" t="s">
        <v>3472</v>
      </c>
      <c r="B688" s="21" t="s">
        <v>4114</v>
      </c>
      <c r="C688" s="21" t="s">
        <v>4104</v>
      </c>
    </row>
    <row r="689" spans="1:3" x14ac:dyDescent="0.25">
      <c r="A689" s="21" t="s">
        <v>3472</v>
      </c>
      <c r="B689" s="21" t="s">
        <v>4115</v>
      </c>
      <c r="C689" s="21" t="s">
        <v>4104</v>
      </c>
    </row>
    <row r="690" spans="1:3" x14ac:dyDescent="0.25">
      <c r="A690" s="21" t="s">
        <v>3472</v>
      </c>
      <c r="B690" s="21" t="s">
        <v>4116</v>
      </c>
      <c r="C690" s="21" t="s">
        <v>4104</v>
      </c>
    </row>
    <row r="691" spans="1:3" x14ac:dyDescent="0.25">
      <c r="A691" s="21" t="s">
        <v>3472</v>
      </c>
      <c r="B691" s="21" t="s">
        <v>4117</v>
      </c>
      <c r="C691" s="21" t="s">
        <v>4104</v>
      </c>
    </row>
    <row r="692" spans="1:3" x14ac:dyDescent="0.25">
      <c r="A692" s="21" t="s">
        <v>3381</v>
      </c>
      <c r="B692" s="21" t="s">
        <v>4118</v>
      </c>
      <c r="C692" s="21" t="s">
        <v>4104</v>
      </c>
    </row>
    <row r="693" spans="1:3" x14ac:dyDescent="0.25">
      <c r="A693" s="21" t="s">
        <v>3381</v>
      </c>
      <c r="B693" s="21" t="s">
        <v>4119</v>
      </c>
      <c r="C693" s="21" t="s">
        <v>4104</v>
      </c>
    </row>
    <row r="694" spans="1:3" x14ac:dyDescent="0.25">
      <c r="A694" s="21" t="s">
        <v>3292</v>
      </c>
      <c r="B694" s="21" t="s">
        <v>4120</v>
      </c>
      <c r="C694" s="21" t="s">
        <v>4104</v>
      </c>
    </row>
    <row r="695" spans="1:3" x14ac:dyDescent="0.25">
      <c r="A695" s="21" t="s">
        <v>3292</v>
      </c>
      <c r="B695" s="21" t="s">
        <v>4121</v>
      </c>
      <c r="C695" s="21" t="s">
        <v>4104</v>
      </c>
    </row>
    <row r="696" spans="1:3" x14ac:dyDescent="0.25">
      <c r="A696" s="21" t="s">
        <v>3479</v>
      </c>
      <c r="B696" s="21" t="s">
        <v>4122</v>
      </c>
      <c r="C696" s="21" t="s">
        <v>4104</v>
      </c>
    </row>
    <row r="697" spans="1:3" x14ac:dyDescent="0.25">
      <c r="A697" s="21" t="s">
        <v>3800</v>
      </c>
      <c r="B697" s="21" t="s">
        <v>4123</v>
      </c>
      <c r="C697" s="21" t="s">
        <v>4104</v>
      </c>
    </row>
    <row r="698" spans="1:3" x14ac:dyDescent="0.25">
      <c r="A698" s="21" t="s">
        <v>3669</v>
      </c>
      <c r="B698" s="21" t="s">
        <v>4124</v>
      </c>
      <c r="C698" s="21" t="s">
        <v>4104</v>
      </c>
    </row>
    <row r="699" spans="1:3" x14ac:dyDescent="0.25">
      <c r="A699" s="21" t="s">
        <v>3410</v>
      </c>
      <c r="B699" s="21" t="s">
        <v>4125</v>
      </c>
      <c r="C699" s="21" t="s">
        <v>4104</v>
      </c>
    </row>
    <row r="700" spans="1:3" x14ac:dyDescent="0.25">
      <c r="A700" s="21" t="s">
        <v>3306</v>
      </c>
      <c r="B700" s="21" t="s">
        <v>4126</v>
      </c>
      <c r="C700" s="21" t="s">
        <v>4104</v>
      </c>
    </row>
    <row r="701" spans="1:3" x14ac:dyDescent="0.25">
      <c r="A701" s="21" t="s">
        <v>3306</v>
      </c>
      <c r="B701" s="21" t="s">
        <v>4127</v>
      </c>
      <c r="C701" s="21" t="s">
        <v>4104</v>
      </c>
    </row>
    <row r="702" spans="1:3" x14ac:dyDescent="0.25">
      <c r="A702" s="21" t="s">
        <v>3308</v>
      </c>
      <c r="B702" s="21" t="s">
        <v>4128</v>
      </c>
      <c r="C702" s="21" t="s">
        <v>4104</v>
      </c>
    </row>
    <row r="703" spans="1:3" x14ac:dyDescent="0.25">
      <c r="A703" s="21" t="s">
        <v>3312</v>
      </c>
      <c r="B703" s="21" t="s">
        <v>4129</v>
      </c>
      <c r="C703" s="21" t="s">
        <v>4104</v>
      </c>
    </row>
    <row r="704" spans="1:3" x14ac:dyDescent="0.25">
      <c r="A704" s="21" t="s">
        <v>3316</v>
      </c>
      <c r="B704" s="21" t="s">
        <v>4130</v>
      </c>
      <c r="C704" s="21" t="s">
        <v>4104</v>
      </c>
    </row>
    <row r="705" spans="1:3" x14ac:dyDescent="0.25">
      <c r="A705" s="21" t="s">
        <v>3429</v>
      </c>
      <c r="B705" s="21" t="s">
        <v>4131</v>
      </c>
      <c r="C705" s="21" t="s">
        <v>4104</v>
      </c>
    </row>
    <row r="706" spans="1:3" x14ac:dyDescent="0.25">
      <c r="A706" s="21" t="s">
        <v>3318</v>
      </c>
      <c r="B706" s="21" t="s">
        <v>4132</v>
      </c>
      <c r="C706" s="21" t="s">
        <v>4104</v>
      </c>
    </row>
    <row r="707" spans="1:3" x14ac:dyDescent="0.25">
      <c r="A707" s="21" t="s">
        <v>3318</v>
      </c>
      <c r="B707" s="21" t="s">
        <v>4133</v>
      </c>
      <c r="C707" s="21" t="s">
        <v>4104</v>
      </c>
    </row>
    <row r="708" spans="1:3" x14ac:dyDescent="0.25">
      <c r="A708" s="21" t="s">
        <v>3318</v>
      </c>
      <c r="B708" s="21" t="s">
        <v>4134</v>
      </c>
      <c r="C708" s="21" t="s">
        <v>4104</v>
      </c>
    </row>
    <row r="709" spans="1:3" x14ac:dyDescent="0.25">
      <c r="A709" s="21" t="s">
        <v>3318</v>
      </c>
      <c r="B709" s="21" t="s">
        <v>4135</v>
      </c>
      <c r="C709" s="21" t="s">
        <v>4104</v>
      </c>
    </row>
    <row r="710" spans="1:3" x14ac:dyDescent="0.25">
      <c r="A710" s="21" t="s">
        <v>3320</v>
      </c>
      <c r="B710" s="21" t="s">
        <v>4136</v>
      </c>
      <c r="C710" s="21" t="s">
        <v>4104</v>
      </c>
    </row>
    <row r="711" spans="1:3" x14ac:dyDescent="0.25">
      <c r="A711" s="21" t="s">
        <v>3320</v>
      </c>
      <c r="B711" s="21" t="s">
        <v>4137</v>
      </c>
      <c r="C711" s="21" t="s">
        <v>4104</v>
      </c>
    </row>
    <row r="712" spans="1:3" x14ac:dyDescent="0.25">
      <c r="A712" s="21" t="s">
        <v>3500</v>
      </c>
      <c r="B712" s="21" t="s">
        <v>4138</v>
      </c>
      <c r="C712" s="21" t="s">
        <v>4104</v>
      </c>
    </row>
    <row r="713" spans="1:3" x14ac:dyDescent="0.25">
      <c r="A713" s="21" t="s">
        <v>3500</v>
      </c>
      <c r="B713" s="21" t="s">
        <v>4139</v>
      </c>
      <c r="C713" s="21" t="s">
        <v>4104</v>
      </c>
    </row>
    <row r="714" spans="1:3" x14ac:dyDescent="0.25">
      <c r="A714" s="21" t="s">
        <v>3322</v>
      </c>
      <c r="B714" s="21" t="s">
        <v>4140</v>
      </c>
      <c r="C714" s="21" t="s">
        <v>4104</v>
      </c>
    </row>
    <row r="715" spans="1:3" x14ac:dyDescent="0.25">
      <c r="A715" s="21" t="s">
        <v>3322</v>
      </c>
      <c r="B715" s="21" t="s">
        <v>4141</v>
      </c>
      <c r="C715" s="21" t="s">
        <v>4104</v>
      </c>
    </row>
    <row r="716" spans="1:3" x14ac:dyDescent="0.25">
      <c r="A716" s="21" t="s">
        <v>3322</v>
      </c>
      <c r="B716" s="21" t="s">
        <v>4142</v>
      </c>
      <c r="C716" s="21" t="s">
        <v>4104</v>
      </c>
    </row>
    <row r="717" spans="1:3" x14ac:dyDescent="0.25">
      <c r="A717" s="21" t="s">
        <v>3322</v>
      </c>
      <c r="B717" s="21" t="s">
        <v>4143</v>
      </c>
      <c r="C717" s="21" t="s">
        <v>4104</v>
      </c>
    </row>
    <row r="718" spans="1:3" x14ac:dyDescent="0.25">
      <c r="A718" s="21" t="s">
        <v>3506</v>
      </c>
      <c r="B718" s="21" t="s">
        <v>4144</v>
      </c>
      <c r="C718" s="21" t="s">
        <v>4104</v>
      </c>
    </row>
    <row r="719" spans="1:3" x14ac:dyDescent="0.25">
      <c r="A719" s="21" t="s">
        <v>3619</v>
      </c>
      <c r="B719" s="21" t="s">
        <v>4145</v>
      </c>
      <c r="C719" s="21" t="s">
        <v>4104</v>
      </c>
    </row>
    <row r="720" spans="1:3" x14ac:dyDescent="0.25">
      <c r="A720" s="21" t="s">
        <v>3444</v>
      </c>
      <c r="B720" s="21" t="s">
        <v>4146</v>
      </c>
      <c r="C720" s="21" t="s">
        <v>4104</v>
      </c>
    </row>
    <row r="721" spans="1:3" x14ac:dyDescent="0.25">
      <c r="A721" s="21" t="s">
        <v>3630</v>
      </c>
      <c r="B721" s="21" t="s">
        <v>4147</v>
      </c>
      <c r="C721" s="21" t="s">
        <v>4104</v>
      </c>
    </row>
    <row r="722" spans="1:3" x14ac:dyDescent="0.25">
      <c r="A722" s="21" t="s">
        <v>4148</v>
      </c>
      <c r="B722" s="21" t="s">
        <v>4149</v>
      </c>
      <c r="C722" s="21" t="s">
        <v>4104</v>
      </c>
    </row>
    <row r="723" spans="1:3" x14ac:dyDescent="0.25">
      <c r="A723" s="21" t="s">
        <v>3346</v>
      </c>
      <c r="B723" s="21" t="s">
        <v>4150</v>
      </c>
      <c r="C723" s="21" t="s">
        <v>4104</v>
      </c>
    </row>
    <row r="724" spans="1:3" x14ac:dyDescent="0.25">
      <c r="A724" s="21" t="s">
        <v>3348</v>
      </c>
      <c r="B724" s="21" t="s">
        <v>4151</v>
      </c>
      <c r="C724" s="21" t="s">
        <v>4104</v>
      </c>
    </row>
    <row r="725" spans="1:3" x14ac:dyDescent="0.25">
      <c r="A725" s="21" t="s">
        <v>3350</v>
      </c>
      <c r="B725" s="21" t="s">
        <v>4152</v>
      </c>
      <c r="C725" s="21" t="s">
        <v>4104</v>
      </c>
    </row>
    <row r="726" spans="1:3" x14ac:dyDescent="0.25">
      <c r="A726" s="21" t="s">
        <v>3350</v>
      </c>
      <c r="B726" s="21" t="s">
        <v>4153</v>
      </c>
      <c r="C726" s="21" t="s">
        <v>4104</v>
      </c>
    </row>
    <row r="727" spans="1:3" x14ac:dyDescent="0.25">
      <c r="A727" s="21" t="s">
        <v>3350</v>
      </c>
      <c r="B727" s="21" t="s">
        <v>4154</v>
      </c>
      <c r="C727" s="21" t="s">
        <v>4104</v>
      </c>
    </row>
    <row r="728" spans="1:3" x14ac:dyDescent="0.25">
      <c r="A728" s="21" t="s">
        <v>3459</v>
      </c>
      <c r="B728" s="21" t="s">
        <v>4155</v>
      </c>
      <c r="C728" s="21" t="s">
        <v>4104</v>
      </c>
    </row>
    <row r="729" spans="1:3" x14ac:dyDescent="0.25">
      <c r="A729" s="21" t="s">
        <v>3459</v>
      </c>
      <c r="B729" s="21" t="s">
        <v>4156</v>
      </c>
      <c r="C729" s="21" t="s">
        <v>4104</v>
      </c>
    </row>
    <row r="730" spans="1:3" x14ac:dyDescent="0.25">
      <c r="A730" s="21" t="s">
        <v>3354</v>
      </c>
      <c r="B730" s="21" t="s">
        <v>4157</v>
      </c>
      <c r="C730" s="21" t="s">
        <v>4104</v>
      </c>
    </row>
    <row r="731" spans="1:3" x14ac:dyDescent="0.25">
      <c r="A731" s="21" t="s">
        <v>3354</v>
      </c>
      <c r="B731" s="21" t="s">
        <v>4158</v>
      </c>
      <c r="C731" s="21" t="s">
        <v>4104</v>
      </c>
    </row>
    <row r="732" spans="1:3" x14ac:dyDescent="0.25">
      <c r="A732" s="21" t="s">
        <v>3354</v>
      </c>
      <c r="B732" s="21" t="s">
        <v>4159</v>
      </c>
      <c r="C732" s="21" t="s">
        <v>4104</v>
      </c>
    </row>
    <row r="733" spans="1:3" x14ac:dyDescent="0.25">
      <c r="A733" s="21" t="s">
        <v>3354</v>
      </c>
      <c r="B733" s="21" t="s">
        <v>4160</v>
      </c>
      <c r="C733" s="21" t="s">
        <v>4104</v>
      </c>
    </row>
    <row r="734" spans="1:3" x14ac:dyDescent="0.25">
      <c r="A734" s="21" t="s">
        <v>3356</v>
      </c>
      <c r="B734" s="21" t="s">
        <v>4161</v>
      </c>
      <c r="C734" s="21" t="s">
        <v>4104</v>
      </c>
    </row>
    <row r="735" spans="1:3" x14ac:dyDescent="0.25">
      <c r="A735" s="21" t="s">
        <v>3356</v>
      </c>
      <c r="B735" s="21" t="s">
        <v>4162</v>
      </c>
      <c r="C735" s="21" t="s">
        <v>4104</v>
      </c>
    </row>
    <row r="736" spans="1:3" x14ac:dyDescent="0.25">
      <c r="A736" s="21" t="s">
        <v>3361</v>
      </c>
      <c r="B736" s="21" t="s">
        <v>4163</v>
      </c>
      <c r="C736" s="21" t="s">
        <v>4104</v>
      </c>
    </row>
    <row r="737" spans="1:3" x14ac:dyDescent="0.25">
      <c r="A737" s="21" t="s">
        <v>3361</v>
      </c>
      <c r="B737" s="21" t="s">
        <v>4164</v>
      </c>
      <c r="C737" s="21" t="s">
        <v>4104</v>
      </c>
    </row>
    <row r="738" spans="1:3" x14ac:dyDescent="0.25">
      <c r="A738" s="21" t="s">
        <v>3361</v>
      </c>
      <c r="B738" s="21" t="s">
        <v>4165</v>
      </c>
      <c r="C738" s="21" t="s">
        <v>4104</v>
      </c>
    </row>
    <row r="739" spans="1:3" x14ac:dyDescent="0.25">
      <c r="A739" s="21" t="s">
        <v>3369</v>
      </c>
      <c r="B739" s="21" t="s">
        <v>4166</v>
      </c>
      <c r="C739" s="21" t="s">
        <v>4167</v>
      </c>
    </row>
    <row r="740" spans="1:3" x14ac:dyDescent="0.25">
      <c r="A740" s="21" t="s">
        <v>3751</v>
      </c>
      <c r="B740" s="21" t="s">
        <v>4168</v>
      </c>
      <c r="C740" s="21" t="s">
        <v>4167</v>
      </c>
    </row>
    <row r="741" spans="1:3" x14ac:dyDescent="0.25">
      <c r="A741" s="21" t="s">
        <v>4063</v>
      </c>
      <c r="B741" s="21" t="s">
        <v>4169</v>
      </c>
      <c r="C741" s="21" t="s">
        <v>4167</v>
      </c>
    </row>
    <row r="742" spans="1:3" x14ac:dyDescent="0.25">
      <c r="A742" s="21" t="s">
        <v>3547</v>
      </c>
      <c r="B742" s="21" t="s">
        <v>4170</v>
      </c>
      <c r="C742" s="21" t="s">
        <v>4167</v>
      </c>
    </row>
    <row r="743" spans="1:3" x14ac:dyDescent="0.25">
      <c r="A743" s="21" t="s">
        <v>3285</v>
      </c>
      <c r="B743" s="21" t="s">
        <v>4171</v>
      </c>
      <c r="C743" s="21" t="s">
        <v>4167</v>
      </c>
    </row>
    <row r="744" spans="1:3" x14ac:dyDescent="0.25">
      <c r="A744" s="21" t="s">
        <v>3549</v>
      </c>
      <c r="B744" s="21" t="s">
        <v>4172</v>
      </c>
      <c r="C744" s="21" t="s">
        <v>4167</v>
      </c>
    </row>
    <row r="745" spans="1:3" x14ac:dyDescent="0.25">
      <c r="A745" s="21" t="s">
        <v>3468</v>
      </c>
      <c r="B745" s="21" t="s">
        <v>4173</v>
      </c>
      <c r="C745" s="21" t="s">
        <v>4167</v>
      </c>
    </row>
    <row r="746" spans="1:3" x14ac:dyDescent="0.25">
      <c r="A746" s="21" t="s">
        <v>3288</v>
      </c>
      <c r="B746" s="21" t="s">
        <v>4174</v>
      </c>
      <c r="C746" s="21" t="s">
        <v>4167</v>
      </c>
    </row>
    <row r="747" spans="1:3" x14ac:dyDescent="0.25">
      <c r="A747" s="21" t="s">
        <v>4175</v>
      </c>
      <c r="B747" s="21" t="s">
        <v>4176</v>
      </c>
      <c r="C747" s="21" t="s">
        <v>4167</v>
      </c>
    </row>
    <row r="748" spans="1:3" x14ac:dyDescent="0.25">
      <c r="A748" s="21" t="s">
        <v>3290</v>
      </c>
      <c r="B748" s="21" t="s">
        <v>4177</v>
      </c>
      <c r="C748" s="21" t="s">
        <v>4167</v>
      </c>
    </row>
    <row r="749" spans="1:3" x14ac:dyDescent="0.25">
      <c r="A749" s="21" t="s">
        <v>3378</v>
      </c>
      <c r="B749" s="21" t="s">
        <v>4178</v>
      </c>
      <c r="C749" s="21" t="s">
        <v>4167</v>
      </c>
    </row>
    <row r="750" spans="1:3" x14ac:dyDescent="0.25">
      <c r="A750" s="21" t="s">
        <v>3292</v>
      </c>
      <c r="B750" s="21" t="s">
        <v>4179</v>
      </c>
      <c r="C750" s="21" t="s">
        <v>4167</v>
      </c>
    </row>
    <row r="751" spans="1:3" x14ac:dyDescent="0.25">
      <c r="A751" s="21" t="s">
        <v>3795</v>
      </c>
      <c r="B751" s="21" t="s">
        <v>4180</v>
      </c>
      <c r="C751" s="21" t="s">
        <v>4167</v>
      </c>
    </row>
    <row r="752" spans="1:3" x14ac:dyDescent="0.25">
      <c r="A752" s="21" t="s">
        <v>3479</v>
      </c>
      <c r="B752" s="21" t="s">
        <v>4181</v>
      </c>
      <c r="C752" s="21" t="s">
        <v>4167</v>
      </c>
    </row>
    <row r="753" spans="1:3" x14ac:dyDescent="0.25">
      <c r="A753" s="21" t="s">
        <v>3806</v>
      </c>
      <c r="B753" s="21" t="s">
        <v>4182</v>
      </c>
      <c r="C753" s="21" t="s">
        <v>4167</v>
      </c>
    </row>
    <row r="754" spans="1:3" x14ac:dyDescent="0.25">
      <c r="A754" s="21" t="s">
        <v>3591</v>
      </c>
      <c r="B754" s="21" t="s">
        <v>4183</v>
      </c>
      <c r="C754" s="21" t="s">
        <v>4167</v>
      </c>
    </row>
    <row r="755" spans="1:3" x14ac:dyDescent="0.25">
      <c r="A755" s="21" t="s">
        <v>3294</v>
      </c>
      <c r="B755" s="21" t="s">
        <v>4184</v>
      </c>
      <c r="C755" s="21" t="s">
        <v>4167</v>
      </c>
    </row>
    <row r="756" spans="1:3" x14ac:dyDescent="0.25">
      <c r="A756" s="21" t="s">
        <v>3486</v>
      </c>
      <c r="B756" s="21" t="s">
        <v>4185</v>
      </c>
      <c r="C756" s="21" t="s">
        <v>4167</v>
      </c>
    </row>
    <row r="757" spans="1:3" x14ac:dyDescent="0.25">
      <c r="A757" s="21" t="s">
        <v>3489</v>
      </c>
      <c r="B757" s="21" t="s">
        <v>4186</v>
      </c>
      <c r="C757" s="21" t="s">
        <v>4167</v>
      </c>
    </row>
    <row r="758" spans="1:3" x14ac:dyDescent="0.25">
      <c r="A758" s="21" t="s">
        <v>3302</v>
      </c>
      <c r="B758" s="21" t="s">
        <v>4187</v>
      </c>
      <c r="C758" s="21" t="s">
        <v>4167</v>
      </c>
    </row>
    <row r="759" spans="1:3" x14ac:dyDescent="0.25">
      <c r="A759" s="21" t="s">
        <v>3304</v>
      </c>
      <c r="B759" s="21" t="s">
        <v>4188</v>
      </c>
      <c r="C759" s="21" t="s">
        <v>4167</v>
      </c>
    </row>
    <row r="760" spans="1:3" x14ac:dyDescent="0.25">
      <c r="A760" s="21" t="s">
        <v>3306</v>
      </c>
      <c r="B760" s="21" t="s">
        <v>4189</v>
      </c>
      <c r="C760" s="21" t="s">
        <v>4167</v>
      </c>
    </row>
    <row r="761" spans="1:3" x14ac:dyDescent="0.25">
      <c r="A761" s="21" t="s">
        <v>3308</v>
      </c>
      <c r="B761" s="21" t="s">
        <v>4190</v>
      </c>
      <c r="C761" s="21" t="s">
        <v>4167</v>
      </c>
    </row>
    <row r="762" spans="1:3" x14ac:dyDescent="0.25">
      <c r="A762" s="21" t="s">
        <v>3310</v>
      </c>
      <c r="B762" s="21" t="s">
        <v>4191</v>
      </c>
      <c r="C762" s="21" t="s">
        <v>4167</v>
      </c>
    </row>
    <row r="763" spans="1:3" x14ac:dyDescent="0.25">
      <c r="A763" s="21" t="s">
        <v>3312</v>
      </c>
      <c r="B763" s="21" t="s">
        <v>4192</v>
      </c>
      <c r="C763" s="21" t="s">
        <v>4167</v>
      </c>
    </row>
    <row r="764" spans="1:3" x14ac:dyDescent="0.25">
      <c r="A764" s="21" t="s">
        <v>3314</v>
      </c>
      <c r="B764" s="21" t="s">
        <v>4193</v>
      </c>
      <c r="C764" s="21" t="s">
        <v>4167</v>
      </c>
    </row>
    <row r="765" spans="1:3" x14ac:dyDescent="0.25">
      <c r="A765" s="21" t="s">
        <v>3316</v>
      </c>
      <c r="B765" s="21" t="s">
        <v>4194</v>
      </c>
      <c r="C765" s="21" t="s">
        <v>4167</v>
      </c>
    </row>
    <row r="766" spans="1:3" x14ac:dyDescent="0.25">
      <c r="A766" s="21" t="s">
        <v>3500</v>
      </c>
      <c r="B766" s="21" t="s">
        <v>4195</v>
      </c>
      <c r="C766" s="21" t="s">
        <v>4167</v>
      </c>
    </row>
    <row r="767" spans="1:3" x14ac:dyDescent="0.25">
      <c r="A767" s="21" t="s">
        <v>3322</v>
      </c>
      <c r="B767" s="21" t="s">
        <v>4196</v>
      </c>
      <c r="C767" s="21" t="s">
        <v>4167</v>
      </c>
    </row>
    <row r="768" spans="1:3" x14ac:dyDescent="0.25">
      <c r="A768" s="21" t="s">
        <v>3617</v>
      </c>
      <c r="B768" s="21" t="s">
        <v>4197</v>
      </c>
      <c r="C768" s="21" t="s">
        <v>4167</v>
      </c>
    </row>
    <row r="769" spans="1:3" x14ac:dyDescent="0.25">
      <c r="A769" s="21" t="s">
        <v>3617</v>
      </c>
      <c r="B769" s="21" t="s">
        <v>4198</v>
      </c>
      <c r="C769" s="21" t="s">
        <v>4167</v>
      </c>
    </row>
    <row r="770" spans="1:3" x14ac:dyDescent="0.25">
      <c r="A770" s="21" t="s">
        <v>3346</v>
      </c>
      <c r="B770" s="21" t="s">
        <v>4199</v>
      </c>
      <c r="C770" s="21" t="s">
        <v>4167</v>
      </c>
    </row>
    <row r="771" spans="1:3" x14ac:dyDescent="0.25">
      <c r="A771" s="21" t="s">
        <v>3346</v>
      </c>
      <c r="B771" s="21" t="s">
        <v>4200</v>
      </c>
      <c r="C771" s="21" t="s">
        <v>4167</v>
      </c>
    </row>
    <row r="772" spans="1:3" x14ac:dyDescent="0.25">
      <c r="A772" s="21" t="s">
        <v>3350</v>
      </c>
      <c r="B772" s="21" t="s">
        <v>4201</v>
      </c>
      <c r="C772" s="21" t="s">
        <v>4167</v>
      </c>
    </row>
    <row r="773" spans="1:3" x14ac:dyDescent="0.25">
      <c r="A773" s="21" t="s">
        <v>3459</v>
      </c>
      <c r="B773" s="21" t="s">
        <v>4202</v>
      </c>
      <c r="C773" s="21" t="s">
        <v>4167</v>
      </c>
    </row>
    <row r="774" spans="1:3" x14ac:dyDescent="0.25">
      <c r="A774" s="21" t="s">
        <v>3354</v>
      </c>
      <c r="B774" s="21" t="s">
        <v>4203</v>
      </c>
      <c r="C774" s="21" t="s">
        <v>4167</v>
      </c>
    </row>
    <row r="775" spans="1:3" x14ac:dyDescent="0.25">
      <c r="A775" s="21" t="s">
        <v>3359</v>
      </c>
      <c r="B775" s="21" t="s">
        <v>4204</v>
      </c>
      <c r="C775" s="21" t="s">
        <v>4167</v>
      </c>
    </row>
    <row r="776" spans="1:3" x14ac:dyDescent="0.25">
      <c r="A776" s="21" t="s">
        <v>3361</v>
      </c>
      <c r="B776" s="21" t="s">
        <v>4205</v>
      </c>
      <c r="C776" s="21" t="s">
        <v>4167</v>
      </c>
    </row>
    <row r="777" spans="1:3" x14ac:dyDescent="0.25">
      <c r="A777" s="21" t="s">
        <v>3539</v>
      </c>
      <c r="B777" s="21" t="s">
        <v>4206</v>
      </c>
      <c r="C777" s="21" t="s">
        <v>4207</v>
      </c>
    </row>
    <row r="778" spans="1:3" x14ac:dyDescent="0.25">
      <c r="A778" s="21" t="s">
        <v>3539</v>
      </c>
      <c r="B778" s="21" t="s">
        <v>4208</v>
      </c>
      <c r="C778" s="21" t="s">
        <v>4207</v>
      </c>
    </row>
    <row r="779" spans="1:3" x14ac:dyDescent="0.25">
      <c r="A779" s="21" t="s">
        <v>3470</v>
      </c>
      <c r="B779" s="21" t="s">
        <v>4209</v>
      </c>
      <c r="C779" s="21" t="s">
        <v>4207</v>
      </c>
    </row>
    <row r="780" spans="1:3" x14ac:dyDescent="0.25">
      <c r="A780" s="21" t="s">
        <v>3378</v>
      </c>
      <c r="B780" s="21" t="s">
        <v>4210</v>
      </c>
      <c r="C780" s="21" t="s">
        <v>4207</v>
      </c>
    </row>
    <row r="781" spans="1:3" x14ac:dyDescent="0.25">
      <c r="A781" s="21" t="s">
        <v>3378</v>
      </c>
      <c r="B781" s="21" t="s">
        <v>4211</v>
      </c>
      <c r="C781" s="21" t="s">
        <v>4207</v>
      </c>
    </row>
    <row r="782" spans="1:3" x14ac:dyDescent="0.25">
      <c r="A782" s="21" t="s">
        <v>3292</v>
      </c>
      <c r="B782" s="21" t="s">
        <v>4212</v>
      </c>
      <c r="C782" s="21" t="s">
        <v>4207</v>
      </c>
    </row>
    <row r="783" spans="1:3" x14ac:dyDescent="0.25">
      <c r="A783" s="21" t="s">
        <v>3292</v>
      </c>
      <c r="B783" s="21" t="s">
        <v>4213</v>
      </c>
      <c r="C783" s="21" t="s">
        <v>4207</v>
      </c>
    </row>
    <row r="784" spans="1:3" x14ac:dyDescent="0.25">
      <c r="A784" s="21" t="s">
        <v>3292</v>
      </c>
      <c r="B784" s="21" t="s">
        <v>4214</v>
      </c>
      <c r="C784" s="21" t="s">
        <v>4207</v>
      </c>
    </row>
    <row r="785" spans="1:3" x14ac:dyDescent="0.25">
      <c r="A785" s="21" t="s">
        <v>3795</v>
      </c>
      <c r="B785" s="21" t="s">
        <v>4215</v>
      </c>
      <c r="C785" s="21" t="s">
        <v>4207</v>
      </c>
    </row>
    <row r="786" spans="1:3" x14ac:dyDescent="0.25">
      <c r="A786" s="21" t="s">
        <v>3795</v>
      </c>
      <c r="B786" s="21" t="s">
        <v>4216</v>
      </c>
      <c r="C786" s="21" t="s">
        <v>4207</v>
      </c>
    </row>
    <row r="787" spans="1:3" x14ac:dyDescent="0.25">
      <c r="A787" s="21" t="s">
        <v>3795</v>
      </c>
      <c r="B787" s="21" t="s">
        <v>4217</v>
      </c>
      <c r="C787" s="21" t="s">
        <v>4207</v>
      </c>
    </row>
    <row r="788" spans="1:3" x14ac:dyDescent="0.25">
      <c r="A788" s="21" t="s">
        <v>3806</v>
      </c>
      <c r="B788" s="21" t="s">
        <v>4218</v>
      </c>
      <c r="C788" s="21" t="s">
        <v>4207</v>
      </c>
    </row>
    <row r="789" spans="1:3" x14ac:dyDescent="0.25">
      <c r="A789" s="21" t="s">
        <v>3294</v>
      </c>
      <c r="B789" s="21" t="s">
        <v>4219</v>
      </c>
      <c r="C789" s="21" t="s">
        <v>4207</v>
      </c>
    </row>
    <row r="790" spans="1:3" x14ac:dyDescent="0.25">
      <c r="A790" s="21" t="s">
        <v>3302</v>
      </c>
      <c r="B790" s="21" t="s">
        <v>4220</v>
      </c>
      <c r="C790" s="21" t="s">
        <v>4207</v>
      </c>
    </row>
    <row r="791" spans="1:3" x14ac:dyDescent="0.25">
      <c r="A791" s="21" t="s">
        <v>4221</v>
      </c>
      <c r="B791" s="21" t="s">
        <v>4222</v>
      </c>
      <c r="C791" s="21" t="s">
        <v>4207</v>
      </c>
    </row>
    <row r="792" spans="1:3" x14ac:dyDescent="0.25">
      <c r="A792" s="21" t="s">
        <v>3306</v>
      </c>
      <c r="B792" s="21" t="s">
        <v>4223</v>
      </c>
      <c r="C792" s="21" t="s">
        <v>4207</v>
      </c>
    </row>
    <row r="793" spans="1:3" x14ac:dyDescent="0.25">
      <c r="A793" s="21" t="s">
        <v>3310</v>
      </c>
      <c r="B793" s="21" t="s">
        <v>4224</v>
      </c>
      <c r="C793" s="21" t="s">
        <v>4207</v>
      </c>
    </row>
    <row r="794" spans="1:3" x14ac:dyDescent="0.25">
      <c r="A794" s="21" t="s">
        <v>3330</v>
      </c>
      <c r="B794" s="21" t="s">
        <v>4225</v>
      </c>
      <c r="C794" s="21" t="s">
        <v>4207</v>
      </c>
    </row>
    <row r="795" spans="1:3" x14ac:dyDescent="0.25">
      <c r="A795" s="21" t="s">
        <v>3330</v>
      </c>
      <c r="B795" s="21" t="s">
        <v>4226</v>
      </c>
      <c r="C795" s="21" t="s">
        <v>4207</v>
      </c>
    </row>
    <row r="796" spans="1:3" x14ac:dyDescent="0.25">
      <c r="A796" s="21" t="s">
        <v>4063</v>
      </c>
      <c r="B796" s="21" t="s">
        <v>4227</v>
      </c>
      <c r="C796" s="21" t="s">
        <v>4228</v>
      </c>
    </row>
    <row r="797" spans="1:3" x14ac:dyDescent="0.25">
      <c r="A797" s="21" t="s">
        <v>4063</v>
      </c>
      <c r="B797" s="21" t="s">
        <v>4229</v>
      </c>
      <c r="C797" s="21" t="s">
        <v>4228</v>
      </c>
    </row>
    <row r="798" spans="1:3" x14ac:dyDescent="0.25">
      <c r="A798" s="21" t="s">
        <v>3470</v>
      </c>
      <c r="B798" s="21" t="s">
        <v>4230</v>
      </c>
      <c r="C798" s="21" t="s">
        <v>4228</v>
      </c>
    </row>
    <row r="799" spans="1:3" x14ac:dyDescent="0.25">
      <c r="A799" s="21" t="s">
        <v>3472</v>
      </c>
      <c r="B799" s="21" t="s">
        <v>4231</v>
      </c>
      <c r="C799" s="21" t="s">
        <v>4228</v>
      </c>
    </row>
    <row r="800" spans="1:3" x14ac:dyDescent="0.25">
      <c r="A800" s="21" t="s">
        <v>3381</v>
      </c>
      <c r="B800" s="21" t="s">
        <v>4232</v>
      </c>
      <c r="C800" s="21" t="s">
        <v>4228</v>
      </c>
    </row>
    <row r="801" spans="1:3" x14ac:dyDescent="0.25">
      <c r="A801" s="21" t="s">
        <v>3292</v>
      </c>
      <c r="B801" s="21" t="s">
        <v>4233</v>
      </c>
      <c r="C801" s="21" t="s">
        <v>4228</v>
      </c>
    </row>
    <row r="802" spans="1:3" x14ac:dyDescent="0.25">
      <c r="A802" s="21" t="s">
        <v>3479</v>
      </c>
      <c r="B802" s="21" t="s">
        <v>4234</v>
      </c>
      <c r="C802" s="21" t="s">
        <v>4228</v>
      </c>
    </row>
    <row r="803" spans="1:3" x14ac:dyDescent="0.25">
      <c r="A803" s="21" t="s">
        <v>3404</v>
      </c>
      <c r="B803" s="21" t="s">
        <v>4235</v>
      </c>
      <c r="C803" s="21" t="s">
        <v>4228</v>
      </c>
    </row>
    <row r="804" spans="1:3" x14ac:dyDescent="0.25">
      <c r="A804" s="21" t="s">
        <v>3298</v>
      </c>
      <c r="B804" s="21" t="s">
        <v>4236</v>
      </c>
      <c r="C804" s="21" t="s">
        <v>4228</v>
      </c>
    </row>
    <row r="805" spans="1:3" x14ac:dyDescent="0.25">
      <c r="A805" s="21" t="s">
        <v>3410</v>
      </c>
      <c r="B805" s="21" t="s">
        <v>4237</v>
      </c>
      <c r="C805" s="21" t="s">
        <v>4228</v>
      </c>
    </row>
    <row r="806" spans="1:3" x14ac:dyDescent="0.25">
      <c r="A806" s="21" t="s">
        <v>3492</v>
      </c>
      <c r="B806" s="21" t="s">
        <v>4238</v>
      </c>
      <c r="C806" s="21" t="s">
        <v>4228</v>
      </c>
    </row>
    <row r="807" spans="1:3" x14ac:dyDescent="0.25">
      <c r="A807" s="21" t="s">
        <v>3412</v>
      </c>
      <c r="B807" s="21" t="s">
        <v>4239</v>
      </c>
      <c r="C807" s="21" t="s">
        <v>4228</v>
      </c>
    </row>
    <row r="808" spans="1:3" x14ac:dyDescent="0.25">
      <c r="A808" s="21" t="s">
        <v>3415</v>
      </c>
      <c r="B808" s="21" t="s">
        <v>4240</v>
      </c>
      <c r="C808" s="21" t="s">
        <v>4228</v>
      </c>
    </row>
    <row r="809" spans="1:3" x14ac:dyDescent="0.25">
      <c r="A809" s="21" t="s">
        <v>3417</v>
      </c>
      <c r="B809" s="21" t="s">
        <v>4241</v>
      </c>
      <c r="C809" s="21" t="s">
        <v>4228</v>
      </c>
    </row>
    <row r="810" spans="1:3" x14ac:dyDescent="0.25">
      <c r="A810" s="21" t="s">
        <v>3308</v>
      </c>
      <c r="B810" s="21" t="s">
        <v>4242</v>
      </c>
      <c r="C810" s="21" t="s">
        <v>4228</v>
      </c>
    </row>
    <row r="811" spans="1:3" x14ac:dyDescent="0.25">
      <c r="A811" s="21" t="s">
        <v>3310</v>
      </c>
      <c r="B811" s="21" t="s">
        <v>4243</v>
      </c>
      <c r="C811" s="21" t="s">
        <v>4228</v>
      </c>
    </row>
    <row r="812" spans="1:3" x14ac:dyDescent="0.25">
      <c r="A812" s="21" t="s">
        <v>3314</v>
      </c>
      <c r="B812" s="21" t="s">
        <v>4244</v>
      </c>
      <c r="C812" s="21" t="s">
        <v>4228</v>
      </c>
    </row>
    <row r="813" spans="1:3" x14ac:dyDescent="0.25">
      <c r="A813" s="21" t="s">
        <v>3316</v>
      </c>
      <c r="B813" s="21" t="s">
        <v>4245</v>
      </c>
      <c r="C813" s="21" t="s">
        <v>4228</v>
      </c>
    </row>
    <row r="814" spans="1:3" x14ac:dyDescent="0.25">
      <c r="A814" s="21" t="s">
        <v>3429</v>
      </c>
      <c r="B814" s="21" t="s">
        <v>4246</v>
      </c>
      <c r="C814" s="21" t="s">
        <v>4228</v>
      </c>
    </row>
    <row r="815" spans="1:3" x14ac:dyDescent="0.25">
      <c r="A815" s="21" t="s">
        <v>3318</v>
      </c>
      <c r="B815" s="21" t="s">
        <v>4247</v>
      </c>
      <c r="C815" s="21" t="s">
        <v>4228</v>
      </c>
    </row>
    <row r="816" spans="1:3" x14ac:dyDescent="0.25">
      <c r="A816" s="21" t="s">
        <v>3320</v>
      </c>
      <c r="B816" s="21" t="s">
        <v>4248</v>
      </c>
      <c r="C816" s="21" t="s">
        <v>4228</v>
      </c>
    </row>
    <row r="817" spans="1:3" x14ac:dyDescent="0.25">
      <c r="A817" s="21" t="s">
        <v>3437</v>
      </c>
      <c r="B817" s="21" t="s">
        <v>4249</v>
      </c>
      <c r="C817" s="21" t="s">
        <v>4228</v>
      </c>
    </row>
    <row r="818" spans="1:3" x14ac:dyDescent="0.25">
      <c r="A818" s="21" t="s">
        <v>3322</v>
      </c>
      <c r="B818" s="21" t="s">
        <v>4250</v>
      </c>
      <c r="C818" s="21" t="s">
        <v>4228</v>
      </c>
    </row>
    <row r="819" spans="1:3" x14ac:dyDescent="0.25">
      <c r="A819" s="21" t="s">
        <v>3328</v>
      </c>
      <c r="B819" s="21" t="s">
        <v>4251</v>
      </c>
      <c r="C819" s="21" t="s">
        <v>4228</v>
      </c>
    </row>
    <row r="820" spans="1:3" x14ac:dyDescent="0.25">
      <c r="A820" s="21" t="s">
        <v>3328</v>
      </c>
      <c r="B820" s="21" t="s">
        <v>4252</v>
      </c>
      <c r="C820" s="21" t="s">
        <v>4228</v>
      </c>
    </row>
    <row r="821" spans="1:3" x14ac:dyDescent="0.25">
      <c r="A821" s="21" t="s">
        <v>3619</v>
      </c>
      <c r="B821" s="21" t="s">
        <v>4253</v>
      </c>
      <c r="C821" s="21" t="s">
        <v>4228</v>
      </c>
    </row>
    <row r="822" spans="1:3" x14ac:dyDescent="0.25">
      <c r="A822" s="21" t="s">
        <v>3623</v>
      </c>
      <c r="B822" s="21" t="s">
        <v>4254</v>
      </c>
      <c r="C822" s="21" t="s">
        <v>4228</v>
      </c>
    </row>
    <row r="823" spans="1:3" x14ac:dyDescent="0.25">
      <c r="A823" s="21" t="s">
        <v>3508</v>
      </c>
      <c r="B823" s="21" t="s">
        <v>4255</v>
      </c>
      <c r="C823" s="21" t="s">
        <v>4228</v>
      </c>
    </row>
    <row r="824" spans="1:3" x14ac:dyDescent="0.25">
      <c r="A824" s="21" t="s">
        <v>4148</v>
      </c>
      <c r="B824" s="21" t="s">
        <v>4256</v>
      </c>
      <c r="C824" s="21" t="s">
        <v>4228</v>
      </c>
    </row>
    <row r="825" spans="1:3" x14ac:dyDescent="0.25">
      <c r="A825" s="21" t="s">
        <v>3336</v>
      </c>
      <c r="B825" s="21" t="s">
        <v>4257</v>
      </c>
      <c r="C825" s="21" t="s">
        <v>4228</v>
      </c>
    </row>
    <row r="826" spans="1:3" x14ac:dyDescent="0.25">
      <c r="A826" s="21" t="s">
        <v>3513</v>
      </c>
      <c r="B826" s="21" t="s">
        <v>4258</v>
      </c>
      <c r="C826" s="21" t="s">
        <v>4228</v>
      </c>
    </row>
    <row r="827" spans="1:3" x14ac:dyDescent="0.25">
      <c r="A827" s="21" t="s">
        <v>3452</v>
      </c>
      <c r="B827" s="21" t="s">
        <v>4259</v>
      </c>
      <c r="C827" s="21" t="s">
        <v>4228</v>
      </c>
    </row>
    <row r="828" spans="1:3" x14ac:dyDescent="0.25">
      <c r="A828" s="21" t="s">
        <v>3346</v>
      </c>
      <c r="B828" s="21" t="s">
        <v>4260</v>
      </c>
      <c r="C828" s="21" t="s">
        <v>4228</v>
      </c>
    </row>
    <row r="829" spans="1:3" x14ac:dyDescent="0.25">
      <c r="A829" s="21" t="s">
        <v>3348</v>
      </c>
      <c r="B829" s="21" t="s">
        <v>4261</v>
      </c>
      <c r="C829" s="21" t="s">
        <v>4228</v>
      </c>
    </row>
    <row r="830" spans="1:3" x14ac:dyDescent="0.25">
      <c r="A830" s="21" t="s">
        <v>3359</v>
      </c>
      <c r="B830" s="21" t="s">
        <v>4262</v>
      </c>
      <c r="C830" s="21" t="s">
        <v>4228</v>
      </c>
    </row>
    <row r="831" spans="1:3" x14ac:dyDescent="0.25">
      <c r="A831" s="21" t="s">
        <v>3361</v>
      </c>
      <c r="B831" s="21" t="s">
        <v>4263</v>
      </c>
      <c r="C831" s="21" t="s">
        <v>4228</v>
      </c>
    </row>
    <row r="832" spans="1:3" x14ac:dyDescent="0.25">
      <c r="A832" s="21" t="s">
        <v>3549</v>
      </c>
      <c r="B832" s="21" t="s">
        <v>4264</v>
      </c>
      <c r="C832" s="21" t="s">
        <v>4265</v>
      </c>
    </row>
    <row r="833" spans="1:3" x14ac:dyDescent="0.25">
      <c r="A833" s="21" t="s">
        <v>3375</v>
      </c>
      <c r="B833" s="21" t="s">
        <v>4266</v>
      </c>
      <c r="C833" s="21" t="s">
        <v>4265</v>
      </c>
    </row>
    <row r="834" spans="1:3" x14ac:dyDescent="0.25">
      <c r="A834" s="21" t="s">
        <v>3472</v>
      </c>
      <c r="B834" s="21" t="s">
        <v>4267</v>
      </c>
      <c r="C834" s="21" t="s">
        <v>4265</v>
      </c>
    </row>
    <row r="835" spans="1:3" x14ac:dyDescent="0.25">
      <c r="A835" s="21" t="s">
        <v>3290</v>
      </c>
      <c r="B835" s="21" t="s">
        <v>4268</v>
      </c>
      <c r="C835" s="21" t="s">
        <v>4265</v>
      </c>
    </row>
    <row r="836" spans="1:3" x14ac:dyDescent="0.25">
      <c r="A836" s="21" t="s">
        <v>4269</v>
      </c>
      <c r="B836" s="21" t="s">
        <v>4270</v>
      </c>
      <c r="C836" s="21" t="s">
        <v>4265</v>
      </c>
    </row>
    <row r="837" spans="1:3" x14ac:dyDescent="0.25">
      <c r="A837" s="21" t="s">
        <v>3292</v>
      </c>
      <c r="B837" s="21" t="s">
        <v>4271</v>
      </c>
      <c r="C837" s="21" t="s">
        <v>4265</v>
      </c>
    </row>
    <row r="838" spans="1:3" x14ac:dyDescent="0.25">
      <c r="A838" s="21" t="s">
        <v>3795</v>
      </c>
      <c r="B838" s="21" t="s">
        <v>4272</v>
      </c>
      <c r="C838" s="21" t="s">
        <v>4265</v>
      </c>
    </row>
    <row r="839" spans="1:3" x14ac:dyDescent="0.25">
      <c r="A839" s="21" t="s">
        <v>3591</v>
      </c>
      <c r="B839" s="21" t="s">
        <v>4273</v>
      </c>
      <c r="C839" s="21" t="s">
        <v>4265</v>
      </c>
    </row>
    <row r="840" spans="1:3" x14ac:dyDescent="0.25">
      <c r="A840" s="21" t="s">
        <v>3663</v>
      </c>
      <c r="B840" s="21" t="s">
        <v>4274</v>
      </c>
      <c r="C840" s="21" t="s">
        <v>4265</v>
      </c>
    </row>
    <row r="841" spans="1:3" x14ac:dyDescent="0.25">
      <c r="A841" s="21" t="s">
        <v>3399</v>
      </c>
      <c r="B841" s="21" t="s">
        <v>4275</v>
      </c>
      <c r="C841" s="21" t="s">
        <v>4265</v>
      </c>
    </row>
    <row r="842" spans="1:3" x14ac:dyDescent="0.25">
      <c r="A842" s="21" t="s">
        <v>3300</v>
      </c>
      <c r="B842" s="21" t="s">
        <v>4276</v>
      </c>
      <c r="C842" s="21" t="s">
        <v>4265</v>
      </c>
    </row>
    <row r="843" spans="1:3" x14ac:dyDescent="0.25">
      <c r="A843" s="21" t="s">
        <v>3415</v>
      </c>
      <c r="B843" s="21" t="s">
        <v>4277</v>
      </c>
      <c r="C843" s="21" t="s">
        <v>4265</v>
      </c>
    </row>
    <row r="844" spans="1:3" x14ac:dyDescent="0.25">
      <c r="A844" s="21" t="s">
        <v>3417</v>
      </c>
      <c r="B844" s="21" t="s">
        <v>4278</v>
      </c>
      <c r="C844" s="21" t="s">
        <v>4265</v>
      </c>
    </row>
    <row r="845" spans="1:3" x14ac:dyDescent="0.25">
      <c r="A845" s="21" t="s">
        <v>4279</v>
      </c>
      <c r="B845" s="21" t="s">
        <v>4280</v>
      </c>
      <c r="C845" s="21" t="s">
        <v>4265</v>
      </c>
    </row>
    <row r="846" spans="1:3" x14ac:dyDescent="0.25">
      <c r="A846" s="21" t="s">
        <v>3419</v>
      </c>
      <c r="B846" s="21" t="s">
        <v>4281</v>
      </c>
      <c r="C846" s="21" t="s">
        <v>4265</v>
      </c>
    </row>
    <row r="847" spans="1:3" x14ac:dyDescent="0.25">
      <c r="A847" s="21" t="s">
        <v>4221</v>
      </c>
      <c r="B847" s="21" t="s">
        <v>4282</v>
      </c>
      <c r="C847" s="21" t="s">
        <v>4265</v>
      </c>
    </row>
    <row r="848" spans="1:3" x14ac:dyDescent="0.25">
      <c r="A848" s="21" t="s">
        <v>3304</v>
      </c>
      <c r="B848" s="21" t="s">
        <v>4283</v>
      </c>
      <c r="C848" s="21" t="s">
        <v>4265</v>
      </c>
    </row>
    <row r="849" spans="1:3" x14ac:dyDescent="0.25">
      <c r="A849" s="21" t="s">
        <v>3308</v>
      </c>
      <c r="B849" s="21" t="s">
        <v>4284</v>
      </c>
      <c r="C849" s="21" t="s">
        <v>4265</v>
      </c>
    </row>
    <row r="850" spans="1:3" x14ac:dyDescent="0.25">
      <c r="A850" s="21" t="s">
        <v>3314</v>
      </c>
      <c r="B850" s="21" t="s">
        <v>4285</v>
      </c>
      <c r="C850" s="21" t="s">
        <v>4265</v>
      </c>
    </row>
    <row r="851" spans="1:3" x14ac:dyDescent="0.25">
      <c r="A851" s="21" t="s">
        <v>3318</v>
      </c>
      <c r="B851" s="21" t="s">
        <v>4286</v>
      </c>
      <c r="C851" s="21" t="s">
        <v>4265</v>
      </c>
    </row>
    <row r="852" spans="1:3" x14ac:dyDescent="0.25">
      <c r="A852" s="21" t="s">
        <v>3320</v>
      </c>
      <c r="B852" s="21" t="s">
        <v>4287</v>
      </c>
      <c r="C852" s="21" t="s">
        <v>4265</v>
      </c>
    </row>
    <row r="853" spans="1:3" x14ac:dyDescent="0.25">
      <c r="A853" s="21" t="s">
        <v>3437</v>
      </c>
      <c r="B853" s="21" t="s">
        <v>4288</v>
      </c>
      <c r="C853" s="21" t="s">
        <v>4265</v>
      </c>
    </row>
    <row r="854" spans="1:3" x14ac:dyDescent="0.25">
      <c r="A854" s="21" t="s">
        <v>3615</v>
      </c>
      <c r="B854" s="21" t="s">
        <v>4289</v>
      </c>
      <c r="C854" s="21" t="s">
        <v>4265</v>
      </c>
    </row>
    <row r="855" spans="1:3" x14ac:dyDescent="0.25">
      <c r="A855" s="21" t="s">
        <v>3619</v>
      </c>
      <c r="B855" s="21" t="s">
        <v>4290</v>
      </c>
      <c r="C855" s="21" t="s">
        <v>4265</v>
      </c>
    </row>
    <row r="856" spans="1:3" x14ac:dyDescent="0.25">
      <c r="A856" s="21" t="s">
        <v>3623</v>
      </c>
      <c r="B856" s="21" t="s">
        <v>4291</v>
      </c>
      <c r="C856" s="21" t="s">
        <v>4265</v>
      </c>
    </row>
    <row r="857" spans="1:3" x14ac:dyDescent="0.25">
      <c r="A857" s="21" t="s">
        <v>3510</v>
      </c>
      <c r="B857" s="21" t="s">
        <v>4292</v>
      </c>
      <c r="C857" s="21" t="s">
        <v>4265</v>
      </c>
    </row>
    <row r="858" spans="1:3" x14ac:dyDescent="0.25">
      <c r="A858" s="21" t="s">
        <v>3336</v>
      </c>
      <c r="B858" s="21" t="s">
        <v>4293</v>
      </c>
      <c r="C858" s="21" t="s">
        <v>4265</v>
      </c>
    </row>
    <row r="859" spans="1:3" x14ac:dyDescent="0.25">
      <c r="A859" s="21" t="s">
        <v>3448</v>
      </c>
      <c r="B859" s="21" t="s">
        <v>4294</v>
      </c>
      <c r="C859" s="21" t="s">
        <v>4265</v>
      </c>
    </row>
    <row r="860" spans="1:3" x14ac:dyDescent="0.25">
      <c r="A860" s="21" t="s">
        <v>3340</v>
      </c>
      <c r="B860" s="21" t="s">
        <v>4295</v>
      </c>
      <c r="C860" s="21" t="s">
        <v>4265</v>
      </c>
    </row>
    <row r="861" spans="1:3" x14ac:dyDescent="0.25">
      <c r="A861" s="21" t="s">
        <v>3344</v>
      </c>
      <c r="B861" s="21" t="s">
        <v>4296</v>
      </c>
      <c r="C861" s="21" t="s">
        <v>4265</v>
      </c>
    </row>
    <row r="862" spans="1:3" x14ac:dyDescent="0.25">
      <c r="A862" s="21" t="s">
        <v>3346</v>
      </c>
      <c r="B862" s="21" t="s">
        <v>4297</v>
      </c>
      <c r="C862" s="21" t="s">
        <v>4265</v>
      </c>
    </row>
    <row r="863" spans="1:3" x14ac:dyDescent="0.25">
      <c r="A863" s="21" t="s">
        <v>3350</v>
      </c>
      <c r="B863" s="21" t="s">
        <v>4298</v>
      </c>
      <c r="C863" s="21" t="s">
        <v>4265</v>
      </c>
    </row>
    <row r="864" spans="1:3" x14ac:dyDescent="0.25">
      <c r="A864" s="21" t="s">
        <v>3459</v>
      </c>
      <c r="B864" s="21" t="s">
        <v>4299</v>
      </c>
      <c r="C864" s="21" t="s">
        <v>4265</v>
      </c>
    </row>
    <row r="865" spans="1:3" x14ac:dyDescent="0.25">
      <c r="A865" s="21" t="s">
        <v>3354</v>
      </c>
      <c r="B865" s="21" t="s">
        <v>4300</v>
      </c>
      <c r="C865" s="21" t="s">
        <v>4265</v>
      </c>
    </row>
    <row r="866" spans="1:3" x14ac:dyDescent="0.25">
      <c r="A866" s="21" t="s">
        <v>3356</v>
      </c>
      <c r="B866" s="21" t="s">
        <v>4301</v>
      </c>
      <c r="C866" s="21" t="s">
        <v>4265</v>
      </c>
    </row>
    <row r="867" spans="1:3" x14ac:dyDescent="0.25">
      <c r="A867" s="21" t="s">
        <v>3361</v>
      </c>
      <c r="B867" s="21" t="s">
        <v>4302</v>
      </c>
      <c r="C867" s="21" t="s">
        <v>4265</v>
      </c>
    </row>
    <row r="868" spans="1:3" x14ac:dyDescent="0.25">
      <c r="A868" s="21" t="s">
        <v>4803</v>
      </c>
      <c r="B868" s="21" t="s">
        <v>4810</v>
      </c>
      <c r="C868" s="21" t="s">
        <v>4304</v>
      </c>
    </row>
    <row r="869" spans="1:3" x14ac:dyDescent="0.25">
      <c r="A869" s="21" t="s">
        <v>4796</v>
      </c>
      <c r="B869" s="21" t="s">
        <v>4797</v>
      </c>
      <c r="C869" s="21" t="s">
        <v>4304</v>
      </c>
    </row>
    <row r="870" spans="1:3" x14ac:dyDescent="0.25">
      <c r="A870" s="21" t="s">
        <v>3537</v>
      </c>
      <c r="B870" s="21" t="s">
        <v>4303</v>
      </c>
      <c r="C870" s="21" t="s">
        <v>4304</v>
      </c>
    </row>
    <row r="871" spans="1:3" x14ac:dyDescent="0.25">
      <c r="A871" s="21" t="s">
        <v>3539</v>
      </c>
      <c r="B871" s="21" t="s">
        <v>4305</v>
      </c>
      <c r="C871" s="21" t="s">
        <v>4304</v>
      </c>
    </row>
    <row r="872" spans="1:3" x14ac:dyDescent="0.25">
      <c r="A872" s="21" t="s">
        <v>3372</v>
      </c>
      <c r="B872" s="21" t="s">
        <v>4306</v>
      </c>
      <c r="C872" s="21" t="s">
        <v>4304</v>
      </c>
    </row>
    <row r="873" spans="1:3" x14ac:dyDescent="0.25">
      <c r="A873" s="21" t="s">
        <v>3470</v>
      </c>
      <c r="B873" s="21" t="s">
        <v>4307</v>
      </c>
      <c r="C873" s="21" t="s">
        <v>4304</v>
      </c>
    </row>
    <row r="874" spans="1:3" x14ac:dyDescent="0.25">
      <c r="A874" s="21" t="s">
        <v>3555</v>
      </c>
      <c r="B874" s="21" t="s">
        <v>4308</v>
      </c>
      <c r="C874" s="21" t="s">
        <v>4304</v>
      </c>
    </row>
    <row r="875" spans="1:3" x14ac:dyDescent="0.25">
      <c r="A875" s="21" t="s">
        <v>3472</v>
      </c>
      <c r="B875" s="21" t="s">
        <v>4309</v>
      </c>
      <c r="C875" s="21" t="s">
        <v>4304</v>
      </c>
    </row>
    <row r="876" spans="1:3" x14ac:dyDescent="0.25">
      <c r="A876" s="21" t="s">
        <v>3472</v>
      </c>
      <c r="B876" s="21" t="s">
        <v>4310</v>
      </c>
      <c r="C876" s="21" t="s">
        <v>4304</v>
      </c>
    </row>
    <row r="877" spans="1:3" x14ac:dyDescent="0.25">
      <c r="A877" s="21" t="s">
        <v>3384</v>
      </c>
      <c r="B877" s="21" t="s">
        <v>4311</v>
      </c>
      <c r="C877" s="21" t="s">
        <v>4304</v>
      </c>
    </row>
    <row r="878" spans="1:3" x14ac:dyDescent="0.25">
      <c r="A878" s="21" t="s">
        <v>3800</v>
      </c>
      <c r="B878" s="21" t="s">
        <v>4312</v>
      </c>
      <c r="C878" s="21" t="s">
        <v>4304</v>
      </c>
    </row>
    <row r="879" spans="1:3" x14ac:dyDescent="0.25">
      <c r="A879" s="21" t="s">
        <v>3558</v>
      </c>
      <c r="B879" s="21" t="s">
        <v>4313</v>
      </c>
      <c r="C879" s="21" t="s">
        <v>4304</v>
      </c>
    </row>
    <row r="880" spans="1:3" x14ac:dyDescent="0.25">
      <c r="A880" s="21" t="s">
        <v>3294</v>
      </c>
      <c r="B880" s="21" t="s">
        <v>4314</v>
      </c>
      <c r="C880" s="21" t="s">
        <v>4304</v>
      </c>
    </row>
    <row r="881" spans="1:3" x14ac:dyDescent="0.25">
      <c r="A881" s="21" t="s">
        <v>3489</v>
      </c>
      <c r="B881" s="21" t="s">
        <v>4315</v>
      </c>
      <c r="C881" s="21" t="s">
        <v>4304</v>
      </c>
    </row>
    <row r="882" spans="1:3" x14ac:dyDescent="0.25">
      <c r="A882" s="21" t="s">
        <v>4316</v>
      </c>
      <c r="B882" s="21" t="s">
        <v>4317</v>
      </c>
      <c r="C882" s="21" t="s">
        <v>4304</v>
      </c>
    </row>
    <row r="883" spans="1:3" x14ac:dyDescent="0.25">
      <c r="A883" s="21" t="s">
        <v>3312</v>
      </c>
      <c r="B883" s="21" t="s">
        <v>4318</v>
      </c>
      <c r="C883" s="21" t="s">
        <v>4304</v>
      </c>
    </row>
    <row r="884" spans="1:3" x14ac:dyDescent="0.25">
      <c r="A884" s="21" t="s">
        <v>3316</v>
      </c>
      <c r="B884" s="21" t="s">
        <v>4319</v>
      </c>
      <c r="C884" s="21" t="s">
        <v>4304</v>
      </c>
    </row>
    <row r="885" spans="1:3" x14ac:dyDescent="0.25">
      <c r="A885" s="21" t="s">
        <v>3316</v>
      </c>
      <c r="B885" s="21" t="s">
        <v>4320</v>
      </c>
      <c r="C885" s="21" t="s">
        <v>4304</v>
      </c>
    </row>
    <row r="886" spans="1:3" x14ac:dyDescent="0.25">
      <c r="A886" s="21" t="s">
        <v>3429</v>
      </c>
      <c r="B886" s="21" t="s">
        <v>4321</v>
      </c>
      <c r="C886" s="21" t="s">
        <v>4304</v>
      </c>
    </row>
    <row r="887" spans="1:3" x14ac:dyDescent="0.25">
      <c r="A887" s="21" t="s">
        <v>3429</v>
      </c>
      <c r="B887" s="21" t="s">
        <v>4322</v>
      </c>
      <c r="C887" s="21" t="s">
        <v>4304</v>
      </c>
    </row>
    <row r="888" spans="1:3" x14ac:dyDescent="0.25">
      <c r="A888" s="21" t="s">
        <v>3318</v>
      </c>
      <c r="B888" s="21" t="s">
        <v>4323</v>
      </c>
      <c r="C888" s="21" t="s">
        <v>4304</v>
      </c>
    </row>
    <row r="889" spans="1:3" x14ac:dyDescent="0.25">
      <c r="A889" s="21" t="s">
        <v>3437</v>
      </c>
      <c r="B889" s="21" t="s">
        <v>4324</v>
      </c>
      <c r="C889" s="21" t="s">
        <v>4304</v>
      </c>
    </row>
    <row r="890" spans="1:3" x14ac:dyDescent="0.25">
      <c r="A890" s="21" t="s">
        <v>3500</v>
      </c>
      <c r="B890" s="21" t="s">
        <v>4325</v>
      </c>
      <c r="C890" s="21" t="s">
        <v>4304</v>
      </c>
    </row>
    <row r="891" spans="1:3" x14ac:dyDescent="0.25">
      <c r="A891" s="21" t="s">
        <v>3500</v>
      </c>
      <c r="B891" s="21" t="s">
        <v>4326</v>
      </c>
      <c r="C891" s="21" t="s">
        <v>4304</v>
      </c>
    </row>
    <row r="892" spans="1:3" x14ac:dyDescent="0.25">
      <c r="A892" s="21" t="s">
        <v>3619</v>
      </c>
      <c r="B892" s="21" t="s">
        <v>4327</v>
      </c>
      <c r="C892" s="21" t="s">
        <v>4304</v>
      </c>
    </row>
    <row r="893" spans="1:3" x14ac:dyDescent="0.25">
      <c r="A893" s="21" t="s">
        <v>3630</v>
      </c>
      <c r="B893" s="21" t="s">
        <v>4328</v>
      </c>
      <c r="C893" s="21" t="s">
        <v>4304</v>
      </c>
    </row>
    <row r="894" spans="1:3" x14ac:dyDescent="0.25">
      <c r="A894" s="21" t="s">
        <v>4148</v>
      </c>
      <c r="B894" s="21" t="s">
        <v>4329</v>
      </c>
      <c r="C894" s="21" t="s">
        <v>4304</v>
      </c>
    </row>
    <row r="895" spans="1:3" x14ac:dyDescent="0.25">
      <c r="A895" s="21" t="s">
        <v>3334</v>
      </c>
      <c r="B895" s="21" t="s">
        <v>4330</v>
      </c>
      <c r="C895" s="21" t="s">
        <v>4304</v>
      </c>
    </row>
    <row r="896" spans="1:3" x14ac:dyDescent="0.25">
      <c r="A896" s="21" t="s">
        <v>3336</v>
      </c>
      <c r="B896" s="21" t="s">
        <v>4331</v>
      </c>
      <c r="C896" s="21" t="s">
        <v>4304</v>
      </c>
    </row>
    <row r="897" spans="1:3" x14ac:dyDescent="0.25">
      <c r="A897" s="21" t="s">
        <v>3338</v>
      </c>
      <c r="B897" s="21" t="s">
        <v>4332</v>
      </c>
      <c r="C897" s="21" t="s">
        <v>4304</v>
      </c>
    </row>
    <row r="898" spans="1:3" x14ac:dyDescent="0.25">
      <c r="A898" s="21" t="s">
        <v>3338</v>
      </c>
      <c r="B898" s="21" t="s">
        <v>4333</v>
      </c>
      <c r="C898" s="21" t="s">
        <v>4304</v>
      </c>
    </row>
    <row r="899" spans="1:3" x14ac:dyDescent="0.25">
      <c r="A899" s="21" t="s">
        <v>3450</v>
      </c>
      <c r="B899" s="21" t="s">
        <v>4334</v>
      </c>
      <c r="C899" s="21" t="s">
        <v>4304</v>
      </c>
    </row>
    <row r="900" spans="1:3" x14ac:dyDescent="0.25">
      <c r="A900" s="21" t="s">
        <v>3513</v>
      </c>
      <c r="B900" s="21" t="s">
        <v>4335</v>
      </c>
      <c r="C900" s="21" t="s">
        <v>4304</v>
      </c>
    </row>
    <row r="901" spans="1:3" x14ac:dyDescent="0.25">
      <c r="A901" s="21" t="s">
        <v>3516</v>
      </c>
      <c r="B901" s="21" t="s">
        <v>4336</v>
      </c>
      <c r="C901" s="21" t="s">
        <v>4304</v>
      </c>
    </row>
    <row r="902" spans="1:3" x14ac:dyDescent="0.25">
      <c r="A902" s="21" t="s">
        <v>3344</v>
      </c>
      <c r="B902" s="21" t="s">
        <v>4337</v>
      </c>
      <c r="C902" s="21" t="s">
        <v>4304</v>
      </c>
    </row>
    <row r="903" spans="1:3" x14ac:dyDescent="0.25">
      <c r="A903" s="21" t="s">
        <v>3346</v>
      </c>
      <c r="B903" s="21" t="s">
        <v>4338</v>
      </c>
      <c r="C903" s="21" t="s">
        <v>4304</v>
      </c>
    </row>
    <row r="904" spans="1:3" x14ac:dyDescent="0.25">
      <c r="A904" s="21" t="s">
        <v>3348</v>
      </c>
      <c r="B904" s="21" t="s">
        <v>4339</v>
      </c>
      <c r="C904" s="21" t="s">
        <v>4304</v>
      </c>
    </row>
    <row r="905" spans="1:3" x14ac:dyDescent="0.25">
      <c r="A905" s="21" t="s">
        <v>3350</v>
      </c>
      <c r="B905" s="21" t="s">
        <v>4340</v>
      </c>
      <c r="C905" s="21" t="s">
        <v>4304</v>
      </c>
    </row>
    <row r="906" spans="1:3" x14ac:dyDescent="0.25">
      <c r="A906" s="21" t="s">
        <v>3352</v>
      </c>
      <c r="B906" s="21" t="s">
        <v>4341</v>
      </c>
      <c r="C906" s="21" t="s">
        <v>4304</v>
      </c>
    </row>
    <row r="907" spans="1:3" x14ac:dyDescent="0.25">
      <c r="A907" s="21" t="s">
        <v>3354</v>
      </c>
      <c r="B907" s="21" t="s">
        <v>4342</v>
      </c>
      <c r="C907" s="21" t="s">
        <v>4304</v>
      </c>
    </row>
    <row r="908" spans="1:3" x14ac:dyDescent="0.25">
      <c r="A908" s="21" t="s">
        <v>3356</v>
      </c>
      <c r="B908" s="21" t="s">
        <v>4343</v>
      </c>
      <c r="C908" s="21" t="s">
        <v>4304</v>
      </c>
    </row>
    <row r="909" spans="1:3" x14ac:dyDescent="0.25">
      <c r="A909" s="21" t="s">
        <v>3359</v>
      </c>
      <c r="B909" s="21" t="s">
        <v>4344</v>
      </c>
      <c r="C909" s="21" t="s">
        <v>4304</v>
      </c>
    </row>
    <row r="910" spans="1:3" x14ac:dyDescent="0.25">
      <c r="A910" s="21" t="s">
        <v>4345</v>
      </c>
      <c r="B910" s="21" t="s">
        <v>4346</v>
      </c>
      <c r="C910" s="21" t="s">
        <v>4304</v>
      </c>
    </row>
    <row r="911" spans="1:3" x14ac:dyDescent="0.25">
      <c r="A911" s="21" t="s">
        <v>3361</v>
      </c>
      <c r="B911" s="21" t="s">
        <v>4347</v>
      </c>
      <c r="C911" s="21" t="s">
        <v>4304</v>
      </c>
    </row>
    <row r="912" spans="1:3" x14ac:dyDescent="0.25">
      <c r="A912" s="21" t="s">
        <v>3535</v>
      </c>
      <c r="B912" s="21" t="s">
        <v>4348</v>
      </c>
      <c r="C912" s="21" t="s">
        <v>4349</v>
      </c>
    </row>
    <row r="913" spans="1:3" x14ac:dyDescent="0.25">
      <c r="A913" s="21" t="s">
        <v>3535</v>
      </c>
      <c r="B913" s="21" t="s">
        <v>4350</v>
      </c>
      <c r="C913" s="21" t="s">
        <v>4349</v>
      </c>
    </row>
    <row r="914" spans="1:3" x14ac:dyDescent="0.25">
      <c r="A914" s="21" t="s">
        <v>3547</v>
      </c>
      <c r="B914" s="21" t="s">
        <v>4351</v>
      </c>
      <c r="C914" s="21" t="s">
        <v>4349</v>
      </c>
    </row>
    <row r="915" spans="1:3" x14ac:dyDescent="0.25">
      <c r="A915" s="21" t="s">
        <v>3547</v>
      </c>
      <c r="B915" s="21" t="s">
        <v>4352</v>
      </c>
      <c r="C915" s="21" t="s">
        <v>4349</v>
      </c>
    </row>
    <row r="916" spans="1:3" x14ac:dyDescent="0.25">
      <c r="A916" s="21" t="s">
        <v>3657</v>
      </c>
      <c r="B916" s="21" t="s">
        <v>4353</v>
      </c>
      <c r="C916" s="21" t="s">
        <v>4349</v>
      </c>
    </row>
    <row r="917" spans="1:3" x14ac:dyDescent="0.25">
      <c r="A917" s="21" t="s">
        <v>3375</v>
      </c>
      <c r="B917" s="21" t="s">
        <v>4354</v>
      </c>
      <c r="C917" s="21" t="s">
        <v>4349</v>
      </c>
    </row>
    <row r="918" spans="1:3" x14ac:dyDescent="0.25">
      <c r="A918" s="21" t="s">
        <v>3378</v>
      </c>
      <c r="B918" s="21" t="s">
        <v>4355</v>
      </c>
      <c r="C918" s="21" t="s">
        <v>4349</v>
      </c>
    </row>
    <row r="919" spans="1:3" x14ac:dyDescent="0.25">
      <c r="A919" s="21" t="s">
        <v>3378</v>
      </c>
      <c r="B919" s="21" t="s">
        <v>4356</v>
      </c>
      <c r="C919" s="21" t="s">
        <v>4349</v>
      </c>
    </row>
    <row r="920" spans="1:3" x14ac:dyDescent="0.25">
      <c r="A920" s="21" t="s">
        <v>3378</v>
      </c>
      <c r="B920" s="21" t="s">
        <v>4357</v>
      </c>
      <c r="C920" s="21" t="s">
        <v>4349</v>
      </c>
    </row>
    <row r="921" spans="1:3" x14ac:dyDescent="0.25">
      <c r="A921" s="21" t="s">
        <v>3381</v>
      </c>
      <c r="B921" s="21" t="s">
        <v>4358</v>
      </c>
      <c r="C921" s="21" t="s">
        <v>4349</v>
      </c>
    </row>
    <row r="922" spans="1:3" x14ac:dyDescent="0.25">
      <c r="A922" s="21" t="s">
        <v>3795</v>
      </c>
      <c r="B922" s="21" t="s">
        <v>4359</v>
      </c>
      <c r="C922" s="21" t="s">
        <v>4349</v>
      </c>
    </row>
    <row r="923" spans="1:3" x14ac:dyDescent="0.25">
      <c r="A923" s="21" t="s">
        <v>3479</v>
      </c>
      <c r="B923" s="21" t="s">
        <v>4360</v>
      </c>
      <c r="C923" s="21" t="s">
        <v>4349</v>
      </c>
    </row>
    <row r="924" spans="1:3" x14ac:dyDescent="0.25">
      <c r="A924" s="21" t="s">
        <v>3479</v>
      </c>
      <c r="B924" s="21" t="s">
        <v>4361</v>
      </c>
      <c r="C924" s="21" t="s">
        <v>4349</v>
      </c>
    </row>
    <row r="925" spans="1:3" x14ac:dyDescent="0.25">
      <c r="A925" s="21" t="s">
        <v>3558</v>
      </c>
      <c r="B925" s="21" t="s">
        <v>4362</v>
      </c>
      <c r="C925" s="21" t="s">
        <v>4349</v>
      </c>
    </row>
    <row r="926" spans="1:3" x14ac:dyDescent="0.25">
      <c r="A926" s="21" t="s">
        <v>3806</v>
      </c>
      <c r="B926" s="21" t="s">
        <v>4363</v>
      </c>
      <c r="C926" s="21" t="s">
        <v>4349</v>
      </c>
    </row>
    <row r="927" spans="1:3" x14ac:dyDescent="0.25">
      <c r="A927" s="21" t="s">
        <v>3591</v>
      </c>
      <c r="B927" s="21" t="s">
        <v>4364</v>
      </c>
      <c r="C927" s="21" t="s">
        <v>4349</v>
      </c>
    </row>
    <row r="928" spans="1:3" x14ac:dyDescent="0.25">
      <c r="A928" s="21" t="s">
        <v>3395</v>
      </c>
      <c r="B928" s="21" t="s">
        <v>4365</v>
      </c>
      <c r="C928" s="21" t="s">
        <v>4349</v>
      </c>
    </row>
    <row r="929" spans="1:3" x14ac:dyDescent="0.25">
      <c r="A929" s="21" t="s">
        <v>3395</v>
      </c>
      <c r="B929" s="21" t="s">
        <v>4366</v>
      </c>
      <c r="C929" s="21" t="s">
        <v>4349</v>
      </c>
    </row>
    <row r="930" spans="1:3" x14ac:dyDescent="0.25">
      <c r="A930" s="21" t="s">
        <v>3395</v>
      </c>
      <c r="B930" s="21" t="s">
        <v>4367</v>
      </c>
      <c r="C930" s="21" t="s">
        <v>4349</v>
      </c>
    </row>
    <row r="931" spans="1:3" x14ac:dyDescent="0.25">
      <c r="A931" s="21" t="s">
        <v>3395</v>
      </c>
      <c r="B931" s="21" t="s">
        <v>4368</v>
      </c>
      <c r="C931" s="21" t="s">
        <v>4349</v>
      </c>
    </row>
    <row r="932" spans="1:3" x14ac:dyDescent="0.25">
      <c r="A932" s="21" t="s">
        <v>3395</v>
      </c>
      <c r="B932" s="21" t="s">
        <v>4369</v>
      </c>
      <c r="C932" s="21" t="s">
        <v>4349</v>
      </c>
    </row>
    <row r="933" spans="1:3" x14ac:dyDescent="0.25">
      <c r="A933" s="21" t="s">
        <v>3395</v>
      </c>
      <c r="B933" s="21" t="s">
        <v>4370</v>
      </c>
      <c r="C933" s="21" t="s">
        <v>4349</v>
      </c>
    </row>
    <row r="934" spans="1:3" x14ac:dyDescent="0.25">
      <c r="A934" s="21" t="s">
        <v>3395</v>
      </c>
      <c r="B934" s="21" t="s">
        <v>4371</v>
      </c>
      <c r="C934" s="21" t="s">
        <v>4349</v>
      </c>
    </row>
    <row r="935" spans="1:3" x14ac:dyDescent="0.25">
      <c r="A935" s="21" t="s">
        <v>3404</v>
      </c>
      <c r="B935" s="21" t="s">
        <v>4372</v>
      </c>
      <c r="C935" s="21" t="s">
        <v>4349</v>
      </c>
    </row>
    <row r="936" spans="1:3" x14ac:dyDescent="0.25">
      <c r="A936" s="21" t="s">
        <v>3308</v>
      </c>
      <c r="B936" s="21" t="s">
        <v>4373</v>
      </c>
      <c r="C936" s="21" t="s">
        <v>4349</v>
      </c>
    </row>
    <row r="937" spans="1:3" x14ac:dyDescent="0.25">
      <c r="A937" s="21" t="s">
        <v>3312</v>
      </c>
      <c r="B937" s="21" t="s">
        <v>4374</v>
      </c>
      <c r="C937" s="21" t="s">
        <v>4349</v>
      </c>
    </row>
    <row r="938" spans="1:3" x14ac:dyDescent="0.25">
      <c r="A938" s="21" t="s">
        <v>3314</v>
      </c>
      <c r="B938" s="21" t="s">
        <v>4375</v>
      </c>
      <c r="C938" s="21" t="s">
        <v>4349</v>
      </c>
    </row>
    <row r="939" spans="1:3" x14ac:dyDescent="0.25">
      <c r="A939" s="21" t="s">
        <v>3608</v>
      </c>
      <c r="B939" s="21" t="s">
        <v>4376</v>
      </c>
      <c r="C939" s="21" t="s">
        <v>4349</v>
      </c>
    </row>
    <row r="940" spans="1:3" x14ac:dyDescent="0.25">
      <c r="A940" s="21" t="s">
        <v>3429</v>
      </c>
      <c r="B940" s="21" t="s">
        <v>4377</v>
      </c>
      <c r="C940" s="21" t="s">
        <v>4349</v>
      </c>
    </row>
    <row r="941" spans="1:3" x14ac:dyDescent="0.25">
      <c r="A941" s="21" t="s">
        <v>3429</v>
      </c>
      <c r="B941" s="21" t="s">
        <v>4378</v>
      </c>
      <c r="C941" s="21" t="s">
        <v>4349</v>
      </c>
    </row>
    <row r="942" spans="1:3" x14ac:dyDescent="0.25">
      <c r="A942" s="21" t="s">
        <v>3429</v>
      </c>
      <c r="B942" s="21" t="s">
        <v>4379</v>
      </c>
      <c r="C942" s="21" t="s">
        <v>4349</v>
      </c>
    </row>
    <row r="943" spans="1:3" x14ac:dyDescent="0.25">
      <c r="A943" s="21" t="s">
        <v>3429</v>
      </c>
      <c r="B943" s="21" t="s">
        <v>4380</v>
      </c>
      <c r="C943" s="21" t="s">
        <v>4349</v>
      </c>
    </row>
    <row r="944" spans="1:3" x14ac:dyDescent="0.25">
      <c r="A944" s="21" t="s">
        <v>3429</v>
      </c>
      <c r="B944" s="21" t="s">
        <v>4381</v>
      </c>
      <c r="C944" s="21" t="s">
        <v>4349</v>
      </c>
    </row>
    <row r="945" spans="1:3" x14ac:dyDescent="0.25">
      <c r="A945" s="21" t="s">
        <v>3318</v>
      </c>
      <c r="B945" s="21" t="s">
        <v>4382</v>
      </c>
      <c r="C945" s="21" t="s">
        <v>4349</v>
      </c>
    </row>
    <row r="946" spans="1:3" x14ac:dyDescent="0.25">
      <c r="A946" s="21" t="s">
        <v>3318</v>
      </c>
      <c r="B946" s="21" t="s">
        <v>4383</v>
      </c>
      <c r="C946" s="21" t="s">
        <v>4349</v>
      </c>
    </row>
    <row r="947" spans="1:3" x14ac:dyDescent="0.25">
      <c r="A947" s="21" t="s">
        <v>3318</v>
      </c>
      <c r="B947" s="21" t="s">
        <v>4384</v>
      </c>
      <c r="C947" s="21" t="s">
        <v>4349</v>
      </c>
    </row>
    <row r="948" spans="1:3" x14ac:dyDescent="0.25">
      <c r="A948" s="21" t="s">
        <v>3318</v>
      </c>
      <c r="B948" s="21" t="s">
        <v>4385</v>
      </c>
      <c r="C948" s="21" t="s">
        <v>4349</v>
      </c>
    </row>
    <row r="949" spans="1:3" x14ac:dyDescent="0.25">
      <c r="A949" s="21" t="s">
        <v>3320</v>
      </c>
      <c r="B949" s="21" t="s">
        <v>4386</v>
      </c>
      <c r="C949" s="21" t="s">
        <v>4349</v>
      </c>
    </row>
    <row r="950" spans="1:3" x14ac:dyDescent="0.25">
      <c r="A950" s="21" t="s">
        <v>3320</v>
      </c>
      <c r="B950" s="21" t="s">
        <v>4387</v>
      </c>
      <c r="C950" s="21" t="s">
        <v>4349</v>
      </c>
    </row>
    <row r="951" spans="1:3" x14ac:dyDescent="0.25">
      <c r="A951" s="21" t="s">
        <v>3437</v>
      </c>
      <c r="B951" s="21" t="s">
        <v>4388</v>
      </c>
      <c r="C951" s="21" t="s">
        <v>4349</v>
      </c>
    </row>
    <row r="952" spans="1:3" x14ac:dyDescent="0.25">
      <c r="A952" s="21" t="s">
        <v>3437</v>
      </c>
      <c r="B952" s="21" t="s">
        <v>4389</v>
      </c>
      <c r="C952" s="21" t="s">
        <v>4349</v>
      </c>
    </row>
    <row r="953" spans="1:3" x14ac:dyDescent="0.25">
      <c r="A953" s="21" t="s">
        <v>3500</v>
      </c>
      <c r="B953" s="21" t="s">
        <v>4390</v>
      </c>
      <c r="C953" s="21" t="s">
        <v>4349</v>
      </c>
    </row>
    <row r="954" spans="1:3" x14ac:dyDescent="0.25">
      <c r="A954" s="21" t="s">
        <v>3326</v>
      </c>
      <c r="B954" s="21" t="s">
        <v>4391</v>
      </c>
      <c r="C954" s="21" t="s">
        <v>4349</v>
      </c>
    </row>
    <row r="955" spans="1:3" x14ac:dyDescent="0.25">
      <c r="A955" s="21" t="s">
        <v>3570</v>
      </c>
      <c r="B955" s="21" t="s">
        <v>4392</v>
      </c>
      <c r="C955" s="21" t="s">
        <v>4349</v>
      </c>
    </row>
    <row r="956" spans="1:3" x14ac:dyDescent="0.25">
      <c r="A956" s="21" t="s">
        <v>3508</v>
      </c>
      <c r="B956" s="21" t="s">
        <v>4393</v>
      </c>
      <c r="C956" s="21" t="s">
        <v>4349</v>
      </c>
    </row>
    <row r="957" spans="1:3" x14ac:dyDescent="0.25">
      <c r="A957" s="21" t="s">
        <v>4394</v>
      </c>
      <c r="B957" s="21" t="s">
        <v>4395</v>
      </c>
      <c r="C957" s="21" t="s">
        <v>4349</v>
      </c>
    </row>
    <row r="958" spans="1:3" x14ac:dyDescent="0.25">
      <c r="A958" s="21" t="s">
        <v>3510</v>
      </c>
      <c r="B958" s="21" t="s">
        <v>4396</v>
      </c>
      <c r="C958" s="21" t="s">
        <v>4349</v>
      </c>
    </row>
    <row r="959" spans="1:3" x14ac:dyDescent="0.25">
      <c r="A959" s="21" t="s">
        <v>3342</v>
      </c>
      <c r="B959" s="21" t="s">
        <v>4397</v>
      </c>
      <c r="C959" s="21" t="s">
        <v>4349</v>
      </c>
    </row>
    <row r="960" spans="1:3" x14ac:dyDescent="0.25">
      <c r="A960" s="21" t="s">
        <v>3346</v>
      </c>
      <c r="B960" s="21" t="s">
        <v>4398</v>
      </c>
      <c r="C960" s="21" t="s">
        <v>4349</v>
      </c>
    </row>
    <row r="961" spans="1:3" x14ac:dyDescent="0.25">
      <c r="A961" s="21" t="s">
        <v>3348</v>
      </c>
      <c r="B961" s="21" t="s">
        <v>4399</v>
      </c>
      <c r="C961" s="21" t="s">
        <v>4349</v>
      </c>
    </row>
    <row r="962" spans="1:3" x14ac:dyDescent="0.25">
      <c r="A962" s="21" t="s">
        <v>3348</v>
      </c>
      <c r="B962" s="21" t="s">
        <v>4400</v>
      </c>
      <c r="C962" s="21" t="s">
        <v>4349</v>
      </c>
    </row>
    <row r="963" spans="1:3" x14ac:dyDescent="0.25">
      <c r="A963" s="21" t="s">
        <v>3348</v>
      </c>
      <c r="B963" s="21" t="s">
        <v>4401</v>
      </c>
      <c r="C963" s="21" t="s">
        <v>4349</v>
      </c>
    </row>
    <row r="964" spans="1:3" x14ac:dyDescent="0.25">
      <c r="A964" s="21" t="s">
        <v>3350</v>
      </c>
      <c r="B964" s="21" t="s">
        <v>4402</v>
      </c>
      <c r="C964" s="21" t="s">
        <v>4349</v>
      </c>
    </row>
    <row r="965" spans="1:3" x14ac:dyDescent="0.25">
      <c r="A965" s="21" t="s">
        <v>3350</v>
      </c>
      <c r="B965" s="21" t="s">
        <v>4403</v>
      </c>
      <c r="C965" s="21" t="s">
        <v>4349</v>
      </c>
    </row>
    <row r="966" spans="1:3" x14ac:dyDescent="0.25">
      <c r="A966" s="21" t="s">
        <v>3350</v>
      </c>
      <c r="B966" s="21" t="s">
        <v>4404</v>
      </c>
      <c r="C966" s="21" t="s">
        <v>4349</v>
      </c>
    </row>
    <row r="967" spans="1:3" x14ac:dyDescent="0.25">
      <c r="A967" s="21" t="s">
        <v>3350</v>
      </c>
      <c r="B967" s="21" t="s">
        <v>4405</v>
      </c>
      <c r="C967" s="21" t="s">
        <v>4349</v>
      </c>
    </row>
    <row r="968" spans="1:3" x14ac:dyDescent="0.25">
      <c r="A968" s="21" t="s">
        <v>3350</v>
      </c>
      <c r="B968" s="21" t="s">
        <v>4406</v>
      </c>
      <c r="C968" s="21" t="s">
        <v>4349</v>
      </c>
    </row>
    <row r="969" spans="1:3" x14ac:dyDescent="0.25">
      <c r="A969" s="21" t="s">
        <v>3352</v>
      </c>
      <c r="B969" s="21" t="s">
        <v>4407</v>
      </c>
      <c r="C969" s="21" t="s">
        <v>4349</v>
      </c>
    </row>
    <row r="970" spans="1:3" x14ac:dyDescent="0.25">
      <c r="A970" s="21" t="s">
        <v>3459</v>
      </c>
      <c r="B970" s="21" t="s">
        <v>4408</v>
      </c>
      <c r="C970" s="21" t="s">
        <v>4349</v>
      </c>
    </row>
    <row r="971" spans="1:3" x14ac:dyDescent="0.25">
      <c r="A971" s="21" t="s">
        <v>3354</v>
      </c>
      <c r="B971" s="21" t="s">
        <v>4409</v>
      </c>
      <c r="C971" s="21" t="s">
        <v>4349</v>
      </c>
    </row>
    <row r="972" spans="1:3" x14ac:dyDescent="0.25">
      <c r="A972" s="21" t="s">
        <v>3354</v>
      </c>
      <c r="B972" s="21" t="s">
        <v>4410</v>
      </c>
      <c r="C972" s="21" t="s">
        <v>4349</v>
      </c>
    </row>
    <row r="973" spans="1:3" x14ac:dyDescent="0.25">
      <c r="A973" s="21" t="s">
        <v>3354</v>
      </c>
      <c r="B973" s="21" t="s">
        <v>4411</v>
      </c>
      <c r="C973" s="21" t="s">
        <v>4349</v>
      </c>
    </row>
    <row r="974" spans="1:3" x14ac:dyDescent="0.25">
      <c r="A974" s="21" t="s">
        <v>3354</v>
      </c>
      <c r="B974" s="21" t="s">
        <v>4412</v>
      </c>
      <c r="C974" s="21" t="s">
        <v>4349</v>
      </c>
    </row>
    <row r="975" spans="1:3" x14ac:dyDescent="0.25">
      <c r="A975" s="21" t="s">
        <v>3354</v>
      </c>
      <c r="B975" s="21" t="s">
        <v>4413</v>
      </c>
      <c r="C975" s="21" t="s">
        <v>4349</v>
      </c>
    </row>
    <row r="976" spans="1:3" x14ac:dyDescent="0.25">
      <c r="A976" s="21" t="s">
        <v>3354</v>
      </c>
      <c r="B976" s="21" t="s">
        <v>4414</v>
      </c>
      <c r="C976" s="21" t="s">
        <v>4349</v>
      </c>
    </row>
    <row r="977" spans="1:3" x14ac:dyDescent="0.25">
      <c r="A977" s="21" t="s">
        <v>3356</v>
      </c>
      <c r="B977" s="21" t="s">
        <v>4415</v>
      </c>
      <c r="C977" s="21" t="s">
        <v>4349</v>
      </c>
    </row>
    <row r="978" spans="1:3" x14ac:dyDescent="0.25">
      <c r="A978" s="21" t="s">
        <v>3359</v>
      </c>
      <c r="B978" s="21" t="s">
        <v>4416</v>
      </c>
      <c r="C978" s="21" t="s">
        <v>4349</v>
      </c>
    </row>
    <row r="979" spans="1:3" x14ac:dyDescent="0.25">
      <c r="A979" s="21" t="s">
        <v>3361</v>
      </c>
      <c r="B979" s="21" t="s">
        <v>4417</v>
      </c>
      <c r="C979" s="21" t="s">
        <v>4349</v>
      </c>
    </row>
    <row r="980" spans="1:3" x14ac:dyDescent="0.25">
      <c r="A980" s="21" t="s">
        <v>3361</v>
      </c>
      <c r="B980" s="21" t="s">
        <v>4418</v>
      </c>
      <c r="C980" s="21" t="s">
        <v>4349</v>
      </c>
    </row>
    <row r="981" spans="1:3" x14ac:dyDescent="0.25">
      <c r="A981" s="21" t="s">
        <v>3361</v>
      </c>
      <c r="B981" s="21" t="s">
        <v>4419</v>
      </c>
      <c r="C981" s="21" t="s">
        <v>4349</v>
      </c>
    </row>
    <row r="982" spans="1:3" x14ac:dyDescent="0.25">
      <c r="A982" s="21" t="s">
        <v>4781</v>
      </c>
      <c r="B982" s="21" t="s">
        <v>4789</v>
      </c>
      <c r="C982" s="21" t="s">
        <v>4421</v>
      </c>
    </row>
    <row r="983" spans="1:3" x14ac:dyDescent="0.25">
      <c r="A983" s="21" t="s">
        <v>4102</v>
      </c>
      <c r="B983" s="21" t="s">
        <v>4778</v>
      </c>
      <c r="C983" s="21" t="s">
        <v>4421</v>
      </c>
    </row>
    <row r="984" spans="1:3" x14ac:dyDescent="0.25">
      <c r="A984" s="21" t="s">
        <v>3779</v>
      </c>
      <c r="B984" s="21" t="s">
        <v>4420</v>
      </c>
      <c r="C984" s="21" t="s">
        <v>4421</v>
      </c>
    </row>
    <row r="985" spans="1:3" x14ac:dyDescent="0.25">
      <c r="A985" s="21" t="s">
        <v>3785</v>
      </c>
      <c r="B985" s="21" t="s">
        <v>4422</v>
      </c>
      <c r="C985" s="21" t="s">
        <v>4421</v>
      </c>
    </row>
    <row r="986" spans="1:3" x14ac:dyDescent="0.25">
      <c r="A986" s="21" t="s">
        <v>3369</v>
      </c>
      <c r="B986" s="21" t="s">
        <v>4423</v>
      </c>
      <c r="C986" s="21" t="s">
        <v>4421</v>
      </c>
    </row>
    <row r="987" spans="1:3" x14ac:dyDescent="0.25">
      <c r="A987" s="21" t="s">
        <v>3751</v>
      </c>
      <c r="B987" s="21" t="s">
        <v>4424</v>
      </c>
      <c r="C987" s="21" t="s">
        <v>4421</v>
      </c>
    </row>
    <row r="988" spans="1:3" x14ac:dyDescent="0.25">
      <c r="A988" s="21" t="s">
        <v>3543</v>
      </c>
      <c r="B988" s="21" t="s">
        <v>4425</v>
      </c>
      <c r="C988" s="21" t="s">
        <v>4421</v>
      </c>
    </row>
    <row r="989" spans="1:3" x14ac:dyDescent="0.25">
      <c r="A989" s="21" t="s">
        <v>3378</v>
      </c>
      <c r="B989" s="21" t="s">
        <v>4426</v>
      </c>
      <c r="C989" s="21" t="s">
        <v>4421</v>
      </c>
    </row>
    <row r="990" spans="1:3" x14ac:dyDescent="0.25">
      <c r="A990" s="21" t="s">
        <v>3292</v>
      </c>
      <c r="B990" s="21" t="s">
        <v>4427</v>
      </c>
      <c r="C990" s="21" t="s">
        <v>4421</v>
      </c>
    </row>
    <row r="991" spans="1:3" x14ac:dyDescent="0.25">
      <c r="A991" s="21" t="s">
        <v>3292</v>
      </c>
      <c r="B991" s="21" t="s">
        <v>4428</v>
      </c>
      <c r="C991" s="21" t="s">
        <v>4421</v>
      </c>
    </row>
    <row r="992" spans="1:3" x14ac:dyDescent="0.25">
      <c r="A992" s="21" t="s">
        <v>3795</v>
      </c>
      <c r="B992" s="21" t="s">
        <v>4429</v>
      </c>
      <c r="C992" s="21" t="s">
        <v>4421</v>
      </c>
    </row>
    <row r="993" spans="1:3" x14ac:dyDescent="0.25">
      <c r="A993" s="21" t="s">
        <v>3800</v>
      </c>
      <c r="B993" s="21" t="s">
        <v>4430</v>
      </c>
      <c r="C993" s="21" t="s">
        <v>4421</v>
      </c>
    </row>
    <row r="994" spans="1:3" x14ac:dyDescent="0.25">
      <c r="A994" s="21" t="s">
        <v>3757</v>
      </c>
      <c r="B994" s="21" t="s">
        <v>4431</v>
      </c>
      <c r="C994" s="21" t="s">
        <v>4421</v>
      </c>
    </row>
    <row r="995" spans="1:3" x14ac:dyDescent="0.25">
      <c r="A995" s="21" t="s">
        <v>3591</v>
      </c>
      <c r="B995" s="21" t="s">
        <v>4432</v>
      </c>
      <c r="C995" s="21" t="s">
        <v>4421</v>
      </c>
    </row>
    <row r="996" spans="1:3" x14ac:dyDescent="0.25">
      <c r="A996" s="21" t="s">
        <v>3404</v>
      </c>
      <c r="B996" s="21" t="s">
        <v>4433</v>
      </c>
      <c r="C996" s="21" t="s">
        <v>4421</v>
      </c>
    </row>
    <row r="997" spans="1:3" x14ac:dyDescent="0.25">
      <c r="A997" s="21" t="s">
        <v>3417</v>
      </c>
      <c r="B997" s="21" t="s">
        <v>4434</v>
      </c>
      <c r="C997" s="21" t="s">
        <v>4421</v>
      </c>
    </row>
    <row r="998" spans="1:3" x14ac:dyDescent="0.25">
      <c r="A998" s="21" t="s">
        <v>3310</v>
      </c>
      <c r="B998" s="21" t="s">
        <v>4435</v>
      </c>
      <c r="C998" s="21" t="s">
        <v>4421</v>
      </c>
    </row>
    <row r="999" spans="1:3" x14ac:dyDescent="0.25">
      <c r="A999" s="21" t="s">
        <v>3312</v>
      </c>
      <c r="B999" s="21" t="s">
        <v>4436</v>
      </c>
      <c r="C999" s="21" t="s">
        <v>4421</v>
      </c>
    </row>
    <row r="1000" spans="1:3" x14ac:dyDescent="0.25">
      <c r="A1000" s="21" t="s">
        <v>3316</v>
      </c>
      <c r="B1000" s="21" t="s">
        <v>4437</v>
      </c>
      <c r="C1000" s="21" t="s">
        <v>4421</v>
      </c>
    </row>
    <row r="1001" spans="1:3" x14ac:dyDescent="0.25">
      <c r="A1001" s="21" t="s">
        <v>3608</v>
      </c>
      <c r="B1001" s="21" t="s">
        <v>4438</v>
      </c>
      <c r="C1001" s="21" t="s">
        <v>4421</v>
      </c>
    </row>
    <row r="1002" spans="1:3" x14ac:dyDescent="0.25">
      <c r="A1002" s="21" t="s">
        <v>3318</v>
      </c>
      <c r="B1002" s="21" t="s">
        <v>4439</v>
      </c>
      <c r="C1002" s="21" t="s">
        <v>4421</v>
      </c>
    </row>
    <row r="1003" spans="1:3" x14ac:dyDescent="0.25">
      <c r="A1003" s="21" t="s">
        <v>3318</v>
      </c>
      <c r="B1003" s="21" t="s">
        <v>4440</v>
      </c>
      <c r="C1003" s="21" t="s">
        <v>4421</v>
      </c>
    </row>
    <row r="1004" spans="1:3" x14ac:dyDescent="0.25">
      <c r="A1004" s="21" t="s">
        <v>3318</v>
      </c>
      <c r="B1004" s="21" t="s">
        <v>4441</v>
      </c>
      <c r="C1004" s="21" t="s">
        <v>4421</v>
      </c>
    </row>
    <row r="1005" spans="1:3" x14ac:dyDescent="0.25">
      <c r="A1005" s="21" t="s">
        <v>3320</v>
      </c>
      <c r="B1005" s="21" t="s">
        <v>4442</v>
      </c>
      <c r="C1005" s="21" t="s">
        <v>4421</v>
      </c>
    </row>
    <row r="1006" spans="1:3" x14ac:dyDescent="0.25">
      <c r="A1006" s="21" t="s">
        <v>3500</v>
      </c>
      <c r="B1006" s="21" t="s">
        <v>4443</v>
      </c>
      <c r="C1006" s="21" t="s">
        <v>4421</v>
      </c>
    </row>
    <row r="1007" spans="1:3" x14ac:dyDescent="0.25">
      <c r="A1007" s="21" t="s">
        <v>3442</v>
      </c>
      <c r="B1007" s="21" t="s">
        <v>4444</v>
      </c>
      <c r="C1007" s="21" t="s">
        <v>4421</v>
      </c>
    </row>
    <row r="1008" spans="1:3" x14ac:dyDescent="0.25">
      <c r="A1008" s="21" t="s">
        <v>3630</v>
      </c>
      <c r="B1008" s="21" t="s">
        <v>4445</v>
      </c>
      <c r="C1008" s="21" t="s">
        <v>4421</v>
      </c>
    </row>
    <row r="1009" spans="1:3" x14ac:dyDescent="0.25">
      <c r="A1009" s="21" t="s">
        <v>3446</v>
      </c>
      <c r="B1009" s="21" t="s">
        <v>4446</v>
      </c>
      <c r="C1009" s="21" t="s">
        <v>4421</v>
      </c>
    </row>
    <row r="1010" spans="1:3" x14ac:dyDescent="0.25">
      <c r="A1010" s="21" t="s">
        <v>3336</v>
      </c>
      <c r="B1010" s="21" t="s">
        <v>4447</v>
      </c>
      <c r="C1010" s="21" t="s">
        <v>4421</v>
      </c>
    </row>
    <row r="1011" spans="1:3" x14ac:dyDescent="0.25">
      <c r="A1011" s="21" t="s">
        <v>3340</v>
      </c>
      <c r="B1011" s="21" t="s">
        <v>4448</v>
      </c>
      <c r="C1011" s="21" t="s">
        <v>4421</v>
      </c>
    </row>
    <row r="1012" spans="1:3" x14ac:dyDescent="0.25">
      <c r="A1012" s="21" t="s">
        <v>3516</v>
      </c>
      <c r="B1012" s="21" t="s">
        <v>4449</v>
      </c>
      <c r="C1012" s="21" t="s">
        <v>4421</v>
      </c>
    </row>
    <row r="1013" spans="1:3" x14ac:dyDescent="0.25">
      <c r="A1013" s="21" t="s">
        <v>3452</v>
      </c>
      <c r="B1013" s="21" t="s">
        <v>4450</v>
      </c>
      <c r="C1013" s="21" t="s">
        <v>4421</v>
      </c>
    </row>
    <row r="1014" spans="1:3" x14ac:dyDescent="0.25">
      <c r="A1014" s="21" t="s">
        <v>3344</v>
      </c>
      <c r="B1014" s="21" t="s">
        <v>4451</v>
      </c>
      <c r="C1014" s="21" t="s">
        <v>4421</v>
      </c>
    </row>
    <row r="1015" spans="1:3" x14ac:dyDescent="0.25">
      <c r="A1015" s="21" t="s">
        <v>3348</v>
      </c>
      <c r="B1015" s="21" t="s">
        <v>4452</v>
      </c>
      <c r="C1015" s="21" t="s">
        <v>4421</v>
      </c>
    </row>
    <row r="1016" spans="1:3" x14ac:dyDescent="0.25">
      <c r="A1016" s="21" t="s">
        <v>3348</v>
      </c>
      <c r="B1016" s="21" t="s">
        <v>4453</v>
      </c>
      <c r="C1016" s="21" t="s">
        <v>4421</v>
      </c>
    </row>
    <row r="1017" spans="1:3" x14ac:dyDescent="0.25">
      <c r="A1017" s="21" t="s">
        <v>3350</v>
      </c>
      <c r="B1017" s="21" t="s">
        <v>4454</v>
      </c>
      <c r="C1017" s="21" t="s">
        <v>4421</v>
      </c>
    </row>
    <row r="1018" spans="1:3" x14ac:dyDescent="0.25">
      <c r="A1018" s="21" t="s">
        <v>3459</v>
      </c>
      <c r="B1018" s="21" t="s">
        <v>4455</v>
      </c>
      <c r="C1018" s="21" t="s">
        <v>4421</v>
      </c>
    </row>
    <row r="1019" spans="1:3" x14ac:dyDescent="0.25">
      <c r="A1019" s="21" t="s">
        <v>3356</v>
      </c>
      <c r="B1019" s="21" t="s">
        <v>4456</v>
      </c>
      <c r="C1019" s="21" t="s">
        <v>4421</v>
      </c>
    </row>
    <row r="1020" spans="1:3" x14ac:dyDescent="0.25">
      <c r="A1020" s="21" t="s">
        <v>3361</v>
      </c>
      <c r="B1020" s="21" t="s">
        <v>4457</v>
      </c>
      <c r="C1020" s="21" t="s">
        <v>4421</v>
      </c>
    </row>
    <row r="1021" spans="1:3" x14ac:dyDescent="0.25">
      <c r="A1021" s="21" t="s">
        <v>4102</v>
      </c>
      <c r="B1021" s="21" t="s">
        <v>4783</v>
      </c>
      <c r="C1021" s="21" t="s">
        <v>4459</v>
      </c>
    </row>
    <row r="1022" spans="1:3" x14ac:dyDescent="0.25">
      <c r="A1022" s="21" t="s">
        <v>3367</v>
      </c>
      <c r="B1022" s="21" t="s">
        <v>4458</v>
      </c>
      <c r="C1022" s="21" t="s">
        <v>4459</v>
      </c>
    </row>
    <row r="1023" spans="1:3" x14ac:dyDescent="0.25">
      <c r="A1023" s="21" t="s">
        <v>3537</v>
      </c>
      <c r="B1023" s="21" t="s">
        <v>4460</v>
      </c>
      <c r="C1023" s="21" t="s">
        <v>4459</v>
      </c>
    </row>
    <row r="1024" spans="1:3" x14ac:dyDescent="0.25">
      <c r="A1024" s="21" t="s">
        <v>3288</v>
      </c>
      <c r="B1024" s="21" t="s">
        <v>4461</v>
      </c>
      <c r="C1024" s="21" t="s">
        <v>4459</v>
      </c>
    </row>
    <row r="1025" spans="1:3" x14ac:dyDescent="0.25">
      <c r="A1025" s="21" t="s">
        <v>3472</v>
      </c>
      <c r="B1025" s="21" t="s">
        <v>4462</v>
      </c>
      <c r="C1025" s="21" t="s">
        <v>4459</v>
      </c>
    </row>
    <row r="1026" spans="1:3" x14ac:dyDescent="0.25">
      <c r="A1026" s="21" t="s">
        <v>3290</v>
      </c>
      <c r="B1026" s="21" t="s">
        <v>4463</v>
      </c>
      <c r="C1026" s="21" t="s">
        <v>4459</v>
      </c>
    </row>
    <row r="1027" spans="1:3" x14ac:dyDescent="0.25">
      <c r="A1027" s="21" t="s">
        <v>3378</v>
      </c>
      <c r="B1027" s="21" t="s">
        <v>4464</v>
      </c>
      <c r="C1027" s="21" t="s">
        <v>4459</v>
      </c>
    </row>
    <row r="1028" spans="1:3" x14ac:dyDescent="0.25">
      <c r="A1028" s="21" t="s">
        <v>3378</v>
      </c>
      <c r="B1028" s="21" t="s">
        <v>4465</v>
      </c>
      <c r="C1028" s="21" t="s">
        <v>4459</v>
      </c>
    </row>
    <row r="1029" spans="1:3" x14ac:dyDescent="0.25">
      <c r="A1029" s="21" t="s">
        <v>3558</v>
      </c>
      <c r="B1029" s="21" t="s">
        <v>4466</v>
      </c>
      <c r="C1029" s="21" t="s">
        <v>4459</v>
      </c>
    </row>
    <row r="1030" spans="1:3" x14ac:dyDescent="0.25">
      <c r="A1030" s="21" t="s">
        <v>3757</v>
      </c>
      <c r="B1030" s="21" t="s">
        <v>4467</v>
      </c>
      <c r="C1030" s="21" t="s">
        <v>4459</v>
      </c>
    </row>
    <row r="1031" spans="1:3" x14ac:dyDescent="0.25">
      <c r="A1031" s="21" t="s">
        <v>3806</v>
      </c>
      <c r="B1031" s="21" t="s">
        <v>4468</v>
      </c>
      <c r="C1031" s="21" t="s">
        <v>4459</v>
      </c>
    </row>
    <row r="1032" spans="1:3" x14ac:dyDescent="0.25">
      <c r="A1032" s="21" t="s">
        <v>3591</v>
      </c>
      <c r="B1032" s="21" t="s">
        <v>4469</v>
      </c>
      <c r="C1032" s="21" t="s">
        <v>4459</v>
      </c>
    </row>
    <row r="1033" spans="1:3" x14ac:dyDescent="0.25">
      <c r="A1033" s="21" t="s">
        <v>3395</v>
      </c>
      <c r="B1033" s="21" t="s">
        <v>4470</v>
      </c>
      <c r="C1033" s="21" t="s">
        <v>4459</v>
      </c>
    </row>
    <row r="1034" spans="1:3" x14ac:dyDescent="0.25">
      <c r="A1034" s="21" t="s">
        <v>3395</v>
      </c>
      <c r="B1034" s="21" t="s">
        <v>4471</v>
      </c>
      <c r="C1034" s="21" t="s">
        <v>4459</v>
      </c>
    </row>
    <row r="1035" spans="1:3" x14ac:dyDescent="0.25">
      <c r="A1035" s="21" t="s">
        <v>3395</v>
      </c>
      <c r="B1035" s="21" t="s">
        <v>4472</v>
      </c>
      <c r="C1035" s="21" t="s">
        <v>4459</v>
      </c>
    </row>
    <row r="1036" spans="1:3" x14ac:dyDescent="0.25">
      <c r="A1036" s="21" t="s">
        <v>3395</v>
      </c>
      <c r="B1036" s="21" t="s">
        <v>4473</v>
      </c>
      <c r="C1036" s="21" t="s">
        <v>4459</v>
      </c>
    </row>
    <row r="1037" spans="1:3" x14ac:dyDescent="0.25">
      <c r="A1037" s="21" t="s">
        <v>3395</v>
      </c>
      <c r="B1037" s="21" t="s">
        <v>4474</v>
      </c>
      <c r="C1037" s="21" t="s">
        <v>4459</v>
      </c>
    </row>
    <row r="1038" spans="1:3" x14ac:dyDescent="0.25">
      <c r="A1038" s="21" t="s">
        <v>3399</v>
      </c>
      <c r="B1038" s="21" t="s">
        <v>4475</v>
      </c>
      <c r="C1038" s="21" t="s">
        <v>4459</v>
      </c>
    </row>
    <row r="1039" spans="1:3" x14ac:dyDescent="0.25">
      <c r="A1039" s="21" t="s">
        <v>3399</v>
      </c>
      <c r="B1039" s="21" t="s">
        <v>4476</v>
      </c>
      <c r="C1039" s="21" t="s">
        <v>4459</v>
      </c>
    </row>
    <row r="1040" spans="1:3" x14ac:dyDescent="0.25">
      <c r="A1040" s="21" t="s">
        <v>3399</v>
      </c>
      <c r="B1040" s="21" t="s">
        <v>4477</v>
      </c>
      <c r="C1040" s="21" t="s">
        <v>4459</v>
      </c>
    </row>
    <row r="1041" spans="1:3" x14ac:dyDescent="0.25">
      <c r="A1041" s="21" t="s">
        <v>3399</v>
      </c>
      <c r="B1041" s="21" t="s">
        <v>4478</v>
      </c>
      <c r="C1041" s="21" t="s">
        <v>4459</v>
      </c>
    </row>
    <row r="1042" spans="1:3" x14ac:dyDescent="0.25">
      <c r="A1042" s="21" t="s">
        <v>3296</v>
      </c>
      <c r="B1042" s="21" t="s">
        <v>4479</v>
      </c>
      <c r="C1042" s="21" t="s">
        <v>4459</v>
      </c>
    </row>
    <row r="1043" spans="1:3" x14ac:dyDescent="0.25">
      <c r="A1043" s="21" t="s">
        <v>3410</v>
      </c>
      <c r="B1043" s="21" t="s">
        <v>4480</v>
      </c>
      <c r="C1043" s="21" t="s">
        <v>4459</v>
      </c>
    </row>
    <row r="1044" spans="1:3" x14ac:dyDescent="0.25">
      <c r="A1044" s="21" t="s">
        <v>3417</v>
      </c>
      <c r="B1044" s="21" t="s">
        <v>4481</v>
      </c>
      <c r="C1044" s="21" t="s">
        <v>4459</v>
      </c>
    </row>
    <row r="1045" spans="1:3" x14ac:dyDescent="0.25">
      <c r="A1045" s="21" t="s">
        <v>4316</v>
      </c>
      <c r="B1045" s="21" t="s">
        <v>4482</v>
      </c>
      <c r="C1045" s="21" t="s">
        <v>4459</v>
      </c>
    </row>
    <row r="1046" spans="1:3" x14ac:dyDescent="0.25">
      <c r="A1046" s="21" t="s">
        <v>3310</v>
      </c>
      <c r="B1046" s="21" t="s">
        <v>4483</v>
      </c>
      <c r="C1046" s="21" t="s">
        <v>4459</v>
      </c>
    </row>
    <row r="1047" spans="1:3" x14ac:dyDescent="0.25">
      <c r="A1047" s="21" t="s">
        <v>3316</v>
      </c>
      <c r="B1047" s="21" t="s">
        <v>4484</v>
      </c>
      <c r="C1047" s="21" t="s">
        <v>4459</v>
      </c>
    </row>
    <row r="1048" spans="1:3" x14ac:dyDescent="0.25">
      <c r="A1048" s="21" t="s">
        <v>3608</v>
      </c>
      <c r="B1048" s="21" t="s">
        <v>4485</v>
      </c>
      <c r="C1048" s="21" t="s">
        <v>4459</v>
      </c>
    </row>
    <row r="1049" spans="1:3" x14ac:dyDescent="0.25">
      <c r="A1049" s="21" t="s">
        <v>3429</v>
      </c>
      <c r="B1049" s="21" t="s">
        <v>4486</v>
      </c>
      <c r="C1049" s="21" t="s">
        <v>4459</v>
      </c>
    </row>
    <row r="1050" spans="1:3" x14ac:dyDescent="0.25">
      <c r="A1050" s="21" t="s">
        <v>3318</v>
      </c>
      <c r="B1050" s="21" t="s">
        <v>4487</v>
      </c>
      <c r="C1050" s="21" t="s">
        <v>4459</v>
      </c>
    </row>
    <row r="1051" spans="1:3" x14ac:dyDescent="0.25">
      <c r="A1051" s="21" t="s">
        <v>3320</v>
      </c>
      <c r="B1051" s="21" t="s">
        <v>4488</v>
      </c>
      <c r="C1051" s="21" t="s">
        <v>4459</v>
      </c>
    </row>
    <row r="1052" spans="1:3" x14ac:dyDescent="0.25">
      <c r="A1052" s="21" t="s">
        <v>3437</v>
      </c>
      <c r="B1052" s="21" t="s">
        <v>4489</v>
      </c>
      <c r="C1052" s="21" t="s">
        <v>4459</v>
      </c>
    </row>
    <row r="1053" spans="1:3" x14ac:dyDescent="0.25">
      <c r="A1053" s="21" t="s">
        <v>3437</v>
      </c>
      <c r="B1053" s="21" t="s">
        <v>4490</v>
      </c>
      <c r="C1053" s="21" t="s">
        <v>4459</v>
      </c>
    </row>
    <row r="1054" spans="1:3" x14ac:dyDescent="0.25">
      <c r="A1054" s="21" t="s">
        <v>3570</v>
      </c>
      <c r="B1054" s="21" t="s">
        <v>4491</v>
      </c>
      <c r="C1054" s="21" t="s">
        <v>4459</v>
      </c>
    </row>
    <row r="1055" spans="1:3" x14ac:dyDescent="0.25">
      <c r="A1055" s="21" t="s">
        <v>3692</v>
      </c>
      <c r="B1055" s="21" t="s">
        <v>4492</v>
      </c>
      <c r="C1055" s="21" t="s">
        <v>4459</v>
      </c>
    </row>
    <row r="1056" spans="1:3" x14ac:dyDescent="0.25">
      <c r="A1056" s="21" t="s">
        <v>3340</v>
      </c>
      <c r="B1056" s="21" t="s">
        <v>4493</v>
      </c>
      <c r="C1056" s="21" t="s">
        <v>4459</v>
      </c>
    </row>
    <row r="1057" spans="1:3" x14ac:dyDescent="0.25">
      <c r="A1057" s="21" t="s">
        <v>3342</v>
      </c>
      <c r="B1057" s="21" t="s">
        <v>4494</v>
      </c>
      <c r="C1057" s="21" t="s">
        <v>4459</v>
      </c>
    </row>
    <row r="1058" spans="1:3" x14ac:dyDescent="0.25">
      <c r="A1058" s="21" t="s">
        <v>3342</v>
      </c>
      <c r="B1058" s="21" t="s">
        <v>4495</v>
      </c>
      <c r="C1058" s="21" t="s">
        <v>4459</v>
      </c>
    </row>
    <row r="1059" spans="1:3" x14ac:dyDescent="0.25">
      <c r="A1059" s="21" t="s">
        <v>3346</v>
      </c>
      <c r="B1059" s="21" t="s">
        <v>4496</v>
      </c>
      <c r="C1059" s="21" t="s">
        <v>4459</v>
      </c>
    </row>
    <row r="1060" spans="1:3" x14ac:dyDescent="0.25">
      <c r="A1060" s="21" t="s">
        <v>3348</v>
      </c>
      <c r="B1060" s="21" t="s">
        <v>4497</v>
      </c>
      <c r="C1060" s="21" t="s">
        <v>4459</v>
      </c>
    </row>
    <row r="1061" spans="1:3" x14ac:dyDescent="0.25">
      <c r="A1061" s="21" t="s">
        <v>3348</v>
      </c>
      <c r="B1061" s="21" t="s">
        <v>4498</v>
      </c>
      <c r="C1061" s="21" t="s">
        <v>4459</v>
      </c>
    </row>
    <row r="1062" spans="1:3" x14ac:dyDescent="0.25">
      <c r="A1062" s="21" t="s">
        <v>3348</v>
      </c>
      <c r="B1062" s="21" t="s">
        <v>4499</v>
      </c>
      <c r="C1062" s="21" t="s">
        <v>4459</v>
      </c>
    </row>
    <row r="1063" spans="1:3" x14ac:dyDescent="0.25">
      <c r="A1063" s="21" t="s">
        <v>3348</v>
      </c>
      <c r="B1063" s="21" t="s">
        <v>4500</v>
      </c>
      <c r="C1063" s="21" t="s">
        <v>4459</v>
      </c>
    </row>
    <row r="1064" spans="1:3" x14ac:dyDescent="0.25">
      <c r="A1064" s="21" t="s">
        <v>3352</v>
      </c>
      <c r="B1064" s="21" t="s">
        <v>4501</v>
      </c>
      <c r="C1064" s="21" t="s">
        <v>4459</v>
      </c>
    </row>
    <row r="1065" spans="1:3" x14ac:dyDescent="0.25">
      <c r="A1065" s="21" t="s">
        <v>3354</v>
      </c>
      <c r="B1065" s="21" t="s">
        <v>4502</v>
      </c>
      <c r="C1065" s="21" t="s">
        <v>4459</v>
      </c>
    </row>
    <row r="1066" spans="1:3" x14ac:dyDescent="0.25">
      <c r="A1066" s="21" t="s">
        <v>3356</v>
      </c>
      <c r="B1066" s="21" t="s">
        <v>4503</v>
      </c>
      <c r="C1066" s="21" t="s">
        <v>4459</v>
      </c>
    </row>
    <row r="1067" spans="1:3" x14ac:dyDescent="0.25">
      <c r="A1067" s="21" t="s">
        <v>3356</v>
      </c>
      <c r="B1067" s="21" t="s">
        <v>4504</v>
      </c>
      <c r="C1067" s="21" t="s">
        <v>4459</v>
      </c>
    </row>
    <row r="1068" spans="1:3" x14ac:dyDescent="0.25">
      <c r="A1068" s="21" t="s">
        <v>3356</v>
      </c>
      <c r="B1068" s="21" t="s">
        <v>4505</v>
      </c>
      <c r="C1068" s="21" t="s">
        <v>4459</v>
      </c>
    </row>
    <row r="1069" spans="1:3" x14ac:dyDescent="0.25">
      <c r="A1069" s="21" t="s">
        <v>3356</v>
      </c>
      <c r="B1069" s="21" t="s">
        <v>4506</v>
      </c>
      <c r="C1069" s="21" t="s">
        <v>4459</v>
      </c>
    </row>
    <row r="1070" spans="1:3" x14ac:dyDescent="0.25">
      <c r="A1070" s="21" t="s">
        <v>3359</v>
      </c>
      <c r="B1070" s="21" t="s">
        <v>4507</v>
      </c>
      <c r="C1070" s="21" t="s">
        <v>4459</v>
      </c>
    </row>
    <row r="1071" spans="1:3" x14ac:dyDescent="0.25">
      <c r="A1071" s="21" t="s">
        <v>3359</v>
      </c>
      <c r="B1071" s="21" t="s">
        <v>4508</v>
      </c>
      <c r="C1071" s="21" t="s">
        <v>4459</v>
      </c>
    </row>
    <row r="1072" spans="1:3" x14ac:dyDescent="0.25">
      <c r="A1072" s="21" t="s">
        <v>3361</v>
      </c>
      <c r="B1072" s="21" t="s">
        <v>4509</v>
      </c>
      <c r="C1072" s="21" t="s">
        <v>4459</v>
      </c>
    </row>
    <row r="1073" spans="1:3" x14ac:dyDescent="0.25">
      <c r="A1073" s="21" t="s">
        <v>3361</v>
      </c>
      <c r="B1073" s="21" t="s">
        <v>4510</v>
      </c>
      <c r="C1073" s="21" t="s">
        <v>4459</v>
      </c>
    </row>
    <row r="1074" spans="1:3" x14ac:dyDescent="0.25">
      <c r="A1074" s="21" t="s">
        <v>3361</v>
      </c>
      <c r="B1074" s="21" t="s">
        <v>4511</v>
      </c>
      <c r="C1074" s="21" t="s">
        <v>4459</v>
      </c>
    </row>
    <row r="1075" spans="1:3" x14ac:dyDescent="0.25">
      <c r="A1075" s="21" t="s">
        <v>4803</v>
      </c>
      <c r="B1075" s="21" t="s">
        <v>4811</v>
      </c>
      <c r="C1075" s="21" t="s">
        <v>4514</v>
      </c>
    </row>
    <row r="1076" spans="1:3" x14ac:dyDescent="0.25">
      <c r="A1076" s="21" t="s">
        <v>4796</v>
      </c>
      <c r="B1076" s="21" t="s">
        <v>4798</v>
      </c>
      <c r="C1076" s="21" t="s">
        <v>4514</v>
      </c>
    </row>
    <row r="1077" spans="1:3" x14ac:dyDescent="0.25">
      <c r="A1077" s="21" t="s">
        <v>4781</v>
      </c>
      <c r="B1077" s="21" t="s">
        <v>4799</v>
      </c>
      <c r="C1077" s="21" t="s">
        <v>4514</v>
      </c>
    </row>
    <row r="1078" spans="1:3" x14ac:dyDescent="0.25">
      <c r="A1078" s="21" t="s">
        <v>4512</v>
      </c>
      <c r="B1078" s="21" t="s">
        <v>4513</v>
      </c>
      <c r="C1078" s="21" t="s">
        <v>4514</v>
      </c>
    </row>
    <row r="1079" spans="1:3" x14ac:dyDescent="0.25">
      <c r="A1079" s="21" t="s">
        <v>3541</v>
      </c>
      <c r="B1079" s="21" t="s">
        <v>4515</v>
      </c>
      <c r="C1079" s="21" t="s">
        <v>4514</v>
      </c>
    </row>
    <row r="1080" spans="1:3" x14ac:dyDescent="0.25">
      <c r="A1080" s="21" t="s">
        <v>3751</v>
      </c>
      <c r="B1080" s="21" t="s">
        <v>4516</v>
      </c>
      <c r="C1080" s="21" t="s">
        <v>4514</v>
      </c>
    </row>
    <row r="1081" spans="1:3" x14ac:dyDescent="0.25">
      <c r="A1081" s="21" t="s">
        <v>4063</v>
      </c>
      <c r="B1081" s="21" t="s">
        <v>4517</v>
      </c>
      <c r="C1081" s="21" t="s">
        <v>4514</v>
      </c>
    </row>
    <row r="1082" spans="1:3" x14ac:dyDescent="0.25">
      <c r="A1082" s="21" t="s">
        <v>3545</v>
      </c>
      <c r="B1082" s="21" t="s">
        <v>4518</v>
      </c>
      <c r="C1082" s="21" t="s">
        <v>4514</v>
      </c>
    </row>
    <row r="1083" spans="1:3" x14ac:dyDescent="0.25">
      <c r="A1083" s="21" t="s">
        <v>3470</v>
      </c>
      <c r="B1083" s="21" t="s">
        <v>4519</v>
      </c>
      <c r="C1083" s="21" t="s">
        <v>4514</v>
      </c>
    </row>
    <row r="1084" spans="1:3" x14ac:dyDescent="0.25">
      <c r="A1084" s="21" t="s">
        <v>3375</v>
      </c>
      <c r="B1084" s="21" t="s">
        <v>4520</v>
      </c>
      <c r="C1084" s="21" t="s">
        <v>4514</v>
      </c>
    </row>
    <row r="1085" spans="1:3" x14ac:dyDescent="0.25">
      <c r="A1085" s="21" t="s">
        <v>3288</v>
      </c>
      <c r="B1085" s="21" t="s">
        <v>4521</v>
      </c>
      <c r="C1085" s="21" t="s">
        <v>4514</v>
      </c>
    </row>
    <row r="1086" spans="1:3" x14ac:dyDescent="0.25">
      <c r="A1086" s="21" t="s">
        <v>3555</v>
      </c>
      <c r="B1086" s="21" t="s">
        <v>4522</v>
      </c>
      <c r="C1086" s="21" t="s">
        <v>4514</v>
      </c>
    </row>
    <row r="1087" spans="1:3" x14ac:dyDescent="0.25">
      <c r="A1087" s="21" t="s">
        <v>3378</v>
      </c>
      <c r="B1087" s="21" t="s">
        <v>4523</v>
      </c>
      <c r="C1087" s="21" t="s">
        <v>4514</v>
      </c>
    </row>
    <row r="1088" spans="1:3" x14ac:dyDescent="0.25">
      <c r="A1088" s="21" t="s">
        <v>3292</v>
      </c>
      <c r="B1088" s="21" t="s">
        <v>4524</v>
      </c>
      <c r="C1088" s="21" t="s">
        <v>4514</v>
      </c>
    </row>
    <row r="1089" spans="1:3" x14ac:dyDescent="0.25">
      <c r="A1089" s="21" t="s">
        <v>3384</v>
      </c>
      <c r="B1089" s="21" t="s">
        <v>4525</v>
      </c>
      <c r="C1089" s="21" t="s">
        <v>4514</v>
      </c>
    </row>
    <row r="1090" spans="1:3" x14ac:dyDescent="0.25">
      <c r="A1090" s="21" t="s">
        <v>3800</v>
      </c>
      <c r="B1090" s="21" t="s">
        <v>4526</v>
      </c>
      <c r="C1090" s="21" t="s">
        <v>4514</v>
      </c>
    </row>
    <row r="1091" spans="1:3" x14ac:dyDescent="0.25">
      <c r="A1091" s="21" t="s">
        <v>3757</v>
      </c>
      <c r="B1091" s="21" t="s">
        <v>4527</v>
      </c>
      <c r="C1091" s="21" t="s">
        <v>4514</v>
      </c>
    </row>
    <row r="1092" spans="1:3" x14ac:dyDescent="0.25">
      <c r="A1092" s="21" t="s">
        <v>3563</v>
      </c>
      <c r="B1092" s="21" t="s">
        <v>4528</v>
      </c>
      <c r="C1092" s="21" t="s">
        <v>4514</v>
      </c>
    </row>
    <row r="1093" spans="1:3" x14ac:dyDescent="0.25">
      <c r="A1093" s="21" t="s">
        <v>3302</v>
      </c>
      <c r="B1093" s="21" t="s">
        <v>4529</v>
      </c>
      <c r="C1093" s="21" t="s">
        <v>4514</v>
      </c>
    </row>
    <row r="1094" spans="1:3" x14ac:dyDescent="0.25">
      <c r="A1094" s="21" t="s">
        <v>3417</v>
      </c>
      <c r="B1094" s="21" t="s">
        <v>4530</v>
      </c>
      <c r="C1094" s="21" t="s">
        <v>4514</v>
      </c>
    </row>
    <row r="1095" spans="1:3" x14ac:dyDescent="0.25">
      <c r="A1095" s="21" t="s">
        <v>3308</v>
      </c>
      <c r="B1095" s="21" t="s">
        <v>4531</v>
      </c>
      <c r="C1095" s="21" t="s">
        <v>4514</v>
      </c>
    </row>
    <row r="1096" spans="1:3" x14ac:dyDescent="0.25">
      <c r="A1096" s="21" t="s">
        <v>3310</v>
      </c>
      <c r="B1096" s="21" t="s">
        <v>4532</v>
      </c>
      <c r="C1096" s="21" t="s">
        <v>4514</v>
      </c>
    </row>
    <row r="1097" spans="1:3" x14ac:dyDescent="0.25">
      <c r="A1097" s="21" t="s">
        <v>3312</v>
      </c>
      <c r="B1097" s="21" t="s">
        <v>4533</v>
      </c>
      <c r="C1097" s="21" t="s">
        <v>4514</v>
      </c>
    </row>
    <row r="1098" spans="1:3" x14ac:dyDescent="0.25">
      <c r="A1098" s="21" t="s">
        <v>3314</v>
      </c>
      <c r="B1098" s="21" t="s">
        <v>4534</v>
      </c>
      <c r="C1098" s="21" t="s">
        <v>4514</v>
      </c>
    </row>
    <row r="1099" spans="1:3" x14ac:dyDescent="0.25">
      <c r="A1099" s="21" t="s">
        <v>3316</v>
      </c>
      <c r="B1099" s="21" t="s">
        <v>4535</v>
      </c>
      <c r="C1099" s="21" t="s">
        <v>4514</v>
      </c>
    </row>
    <row r="1100" spans="1:3" x14ac:dyDescent="0.25">
      <c r="A1100" s="21" t="s">
        <v>3608</v>
      </c>
      <c r="B1100" s="21" t="s">
        <v>4536</v>
      </c>
      <c r="C1100" s="21" t="s">
        <v>4514</v>
      </c>
    </row>
    <row r="1101" spans="1:3" x14ac:dyDescent="0.25">
      <c r="A1101" s="21" t="s">
        <v>3429</v>
      </c>
      <c r="B1101" s="21" t="s">
        <v>4537</v>
      </c>
      <c r="C1101" s="21" t="s">
        <v>4514</v>
      </c>
    </row>
    <row r="1102" spans="1:3" x14ac:dyDescent="0.25">
      <c r="A1102" s="21" t="s">
        <v>3318</v>
      </c>
      <c r="B1102" s="21" t="s">
        <v>4538</v>
      </c>
      <c r="C1102" s="21" t="s">
        <v>4514</v>
      </c>
    </row>
    <row r="1103" spans="1:3" x14ac:dyDescent="0.25">
      <c r="A1103" s="21" t="s">
        <v>3318</v>
      </c>
      <c r="B1103" s="21" t="s">
        <v>4539</v>
      </c>
      <c r="C1103" s="21" t="s">
        <v>4514</v>
      </c>
    </row>
    <row r="1104" spans="1:3" x14ac:dyDescent="0.25">
      <c r="A1104" s="21" t="s">
        <v>3322</v>
      </c>
      <c r="B1104" s="21" t="s">
        <v>4540</v>
      </c>
      <c r="C1104" s="21" t="s">
        <v>4514</v>
      </c>
    </row>
    <row r="1105" spans="1:3" x14ac:dyDescent="0.25">
      <c r="A1105" s="21" t="s">
        <v>3328</v>
      </c>
      <c r="B1105" s="21" t="s">
        <v>4541</v>
      </c>
      <c r="C1105" s="21" t="s">
        <v>4514</v>
      </c>
    </row>
    <row r="1106" spans="1:3" x14ac:dyDescent="0.25">
      <c r="A1106" s="21" t="s">
        <v>4542</v>
      </c>
      <c r="B1106" s="21" t="s">
        <v>4543</v>
      </c>
      <c r="C1106" s="21" t="s">
        <v>4514</v>
      </c>
    </row>
    <row r="1107" spans="1:3" x14ac:dyDescent="0.25">
      <c r="A1107" s="21" t="s">
        <v>3623</v>
      </c>
      <c r="B1107" s="21" t="s">
        <v>4544</v>
      </c>
      <c r="C1107" s="21" t="s">
        <v>4514</v>
      </c>
    </row>
    <row r="1108" spans="1:3" x14ac:dyDescent="0.25">
      <c r="A1108" s="21" t="s">
        <v>3508</v>
      </c>
      <c r="B1108" s="21" t="s">
        <v>4545</v>
      </c>
      <c r="C1108" s="21" t="s">
        <v>4514</v>
      </c>
    </row>
    <row r="1109" spans="1:3" x14ac:dyDescent="0.25">
      <c r="A1109" s="21" t="s">
        <v>3513</v>
      </c>
      <c r="B1109" s="21" t="s">
        <v>4546</v>
      </c>
      <c r="C1109" s="21" t="s">
        <v>4514</v>
      </c>
    </row>
    <row r="1110" spans="1:3" x14ac:dyDescent="0.25">
      <c r="A1110" s="21" t="s">
        <v>3340</v>
      </c>
      <c r="B1110" s="21" t="s">
        <v>4547</v>
      </c>
      <c r="C1110" s="21" t="s">
        <v>4514</v>
      </c>
    </row>
    <row r="1111" spans="1:3" x14ac:dyDescent="0.25">
      <c r="A1111" s="21" t="s">
        <v>3516</v>
      </c>
      <c r="B1111" s="21" t="s">
        <v>4548</v>
      </c>
      <c r="C1111" s="21" t="s">
        <v>4514</v>
      </c>
    </row>
    <row r="1112" spans="1:3" x14ac:dyDescent="0.25">
      <c r="A1112" s="21" t="s">
        <v>3452</v>
      </c>
      <c r="B1112" s="21" t="s">
        <v>4549</v>
      </c>
      <c r="C1112" s="21" t="s">
        <v>4514</v>
      </c>
    </row>
    <row r="1113" spans="1:3" x14ac:dyDescent="0.25">
      <c r="A1113" s="21" t="s">
        <v>3346</v>
      </c>
      <c r="B1113" s="21" t="s">
        <v>4550</v>
      </c>
      <c r="C1113" s="21" t="s">
        <v>4514</v>
      </c>
    </row>
    <row r="1114" spans="1:3" x14ac:dyDescent="0.25">
      <c r="A1114" s="21" t="s">
        <v>3348</v>
      </c>
      <c r="B1114" s="21" t="s">
        <v>4551</v>
      </c>
      <c r="C1114" s="21" t="s">
        <v>4514</v>
      </c>
    </row>
    <row r="1115" spans="1:3" x14ac:dyDescent="0.25">
      <c r="A1115" s="21" t="s">
        <v>3350</v>
      </c>
      <c r="B1115" s="21" t="s">
        <v>4552</v>
      </c>
      <c r="C1115" s="21" t="s">
        <v>4514</v>
      </c>
    </row>
    <row r="1116" spans="1:3" x14ac:dyDescent="0.25">
      <c r="A1116" s="21" t="s">
        <v>3352</v>
      </c>
      <c r="B1116" s="21" t="s">
        <v>4553</v>
      </c>
      <c r="C1116" s="21" t="s">
        <v>4514</v>
      </c>
    </row>
    <row r="1117" spans="1:3" x14ac:dyDescent="0.25">
      <c r="A1117" s="21" t="s">
        <v>3459</v>
      </c>
      <c r="B1117" s="21" t="s">
        <v>4554</v>
      </c>
      <c r="C1117" s="21" t="s">
        <v>4514</v>
      </c>
    </row>
    <row r="1118" spans="1:3" x14ac:dyDescent="0.25">
      <c r="A1118" s="21" t="s">
        <v>3354</v>
      </c>
      <c r="B1118" s="21" t="s">
        <v>4555</v>
      </c>
      <c r="C1118" s="21" t="s">
        <v>4514</v>
      </c>
    </row>
    <row r="1119" spans="1:3" x14ac:dyDescent="0.25">
      <c r="A1119" s="21" t="s">
        <v>3359</v>
      </c>
      <c r="B1119" s="21" t="s">
        <v>4556</v>
      </c>
      <c r="C1119" s="21" t="s">
        <v>4514</v>
      </c>
    </row>
    <row r="1120" spans="1:3" x14ac:dyDescent="0.25">
      <c r="A1120" s="21" t="s">
        <v>3361</v>
      </c>
      <c r="B1120" s="21" t="s">
        <v>4557</v>
      </c>
      <c r="C1120" s="21" t="s">
        <v>4514</v>
      </c>
    </row>
    <row r="1121" spans="1:3" x14ac:dyDescent="0.25">
      <c r="A1121" s="21" t="s">
        <v>3652</v>
      </c>
      <c r="B1121" s="21" t="s">
        <v>4558</v>
      </c>
      <c r="C1121" s="21" t="s">
        <v>4559</v>
      </c>
    </row>
    <row r="1122" spans="1:3" x14ac:dyDescent="0.25">
      <c r="A1122" s="21" t="s">
        <v>3975</v>
      </c>
      <c r="B1122" s="21" t="s">
        <v>4560</v>
      </c>
      <c r="C1122" s="21" t="s">
        <v>4559</v>
      </c>
    </row>
    <row r="1123" spans="1:3" x14ac:dyDescent="0.25">
      <c r="A1123" s="21" t="s">
        <v>3549</v>
      </c>
      <c r="B1123" s="21" t="s">
        <v>4561</v>
      </c>
      <c r="C1123" s="21" t="s">
        <v>4559</v>
      </c>
    </row>
    <row r="1124" spans="1:3" x14ac:dyDescent="0.25">
      <c r="A1124" s="21" t="s">
        <v>3470</v>
      </c>
      <c r="B1124" s="21" t="s">
        <v>4562</v>
      </c>
      <c r="C1124" s="21" t="s">
        <v>4559</v>
      </c>
    </row>
    <row r="1125" spans="1:3" x14ac:dyDescent="0.25">
      <c r="A1125" s="21" t="s">
        <v>3288</v>
      </c>
      <c r="B1125" s="21" t="s">
        <v>4563</v>
      </c>
      <c r="C1125" s="21" t="s">
        <v>4559</v>
      </c>
    </row>
    <row r="1126" spans="1:3" x14ac:dyDescent="0.25">
      <c r="A1126" s="21" t="s">
        <v>3555</v>
      </c>
      <c r="B1126" s="21" t="s">
        <v>4564</v>
      </c>
      <c r="C1126" s="21" t="s">
        <v>4559</v>
      </c>
    </row>
    <row r="1127" spans="1:3" x14ac:dyDescent="0.25">
      <c r="A1127" s="21" t="s">
        <v>3378</v>
      </c>
      <c r="B1127" s="21" t="s">
        <v>4565</v>
      </c>
      <c r="C1127" s="21" t="s">
        <v>4559</v>
      </c>
    </row>
    <row r="1128" spans="1:3" x14ac:dyDescent="0.25">
      <c r="A1128" s="21" t="s">
        <v>3292</v>
      </c>
      <c r="B1128" s="21" t="s">
        <v>4566</v>
      </c>
      <c r="C1128" s="21" t="s">
        <v>4559</v>
      </c>
    </row>
    <row r="1129" spans="1:3" x14ac:dyDescent="0.25">
      <c r="A1129" s="21" t="s">
        <v>3558</v>
      </c>
      <c r="B1129" s="21" t="s">
        <v>4567</v>
      </c>
      <c r="C1129" s="21" t="s">
        <v>4559</v>
      </c>
    </row>
    <row r="1130" spans="1:3" x14ac:dyDescent="0.25">
      <c r="A1130" s="21" t="s">
        <v>3591</v>
      </c>
      <c r="B1130" s="21" t="s">
        <v>4568</v>
      </c>
      <c r="C1130" s="21" t="s">
        <v>4559</v>
      </c>
    </row>
    <row r="1131" spans="1:3" x14ac:dyDescent="0.25">
      <c r="A1131" s="21" t="s">
        <v>3298</v>
      </c>
      <c r="B1131" s="21" t="s">
        <v>4569</v>
      </c>
      <c r="C1131" s="21" t="s">
        <v>4559</v>
      </c>
    </row>
    <row r="1132" spans="1:3" x14ac:dyDescent="0.25">
      <c r="A1132" s="21" t="s">
        <v>3310</v>
      </c>
      <c r="B1132" s="21" t="s">
        <v>4570</v>
      </c>
      <c r="C1132" s="21" t="s">
        <v>4559</v>
      </c>
    </row>
    <row r="1133" spans="1:3" x14ac:dyDescent="0.25">
      <c r="A1133" s="21" t="s">
        <v>3316</v>
      </c>
      <c r="B1133" s="21" t="s">
        <v>4571</v>
      </c>
      <c r="C1133" s="21" t="s">
        <v>4559</v>
      </c>
    </row>
    <row r="1134" spans="1:3" x14ac:dyDescent="0.25">
      <c r="A1134" s="21" t="s">
        <v>3429</v>
      </c>
      <c r="B1134" s="21" t="s">
        <v>4572</v>
      </c>
      <c r="C1134" s="21" t="s">
        <v>4559</v>
      </c>
    </row>
    <row r="1135" spans="1:3" x14ac:dyDescent="0.25">
      <c r="A1135" s="21" t="s">
        <v>3318</v>
      </c>
      <c r="B1135" s="21" t="s">
        <v>4573</v>
      </c>
      <c r="C1135" s="21" t="s">
        <v>4559</v>
      </c>
    </row>
    <row r="1136" spans="1:3" x14ac:dyDescent="0.25">
      <c r="A1136" s="21" t="s">
        <v>3320</v>
      </c>
      <c r="B1136" s="21" t="s">
        <v>4574</v>
      </c>
      <c r="C1136" s="21" t="s">
        <v>4559</v>
      </c>
    </row>
    <row r="1137" spans="1:3" x14ac:dyDescent="0.25">
      <c r="A1137" s="21" t="s">
        <v>3326</v>
      </c>
      <c r="B1137" s="21" t="s">
        <v>4575</v>
      </c>
      <c r="C1137" s="21" t="s">
        <v>4559</v>
      </c>
    </row>
    <row r="1138" spans="1:3" x14ac:dyDescent="0.25">
      <c r="A1138" s="21" t="s">
        <v>3326</v>
      </c>
      <c r="B1138" s="21" t="s">
        <v>4575</v>
      </c>
      <c r="C1138" s="21" t="s">
        <v>4559</v>
      </c>
    </row>
    <row r="1139" spans="1:3" x14ac:dyDescent="0.25">
      <c r="A1139" s="21" t="s">
        <v>3689</v>
      </c>
      <c r="B1139" s="21" t="s">
        <v>4576</v>
      </c>
      <c r="C1139" s="21" t="s">
        <v>4559</v>
      </c>
    </row>
    <row r="1140" spans="1:3" x14ac:dyDescent="0.25">
      <c r="A1140" s="21" t="s">
        <v>3513</v>
      </c>
      <c r="B1140" s="21" t="s">
        <v>4577</v>
      </c>
      <c r="C1140" s="21" t="s">
        <v>4559</v>
      </c>
    </row>
    <row r="1141" spans="1:3" x14ac:dyDescent="0.25">
      <c r="A1141" s="21" t="s">
        <v>3452</v>
      </c>
      <c r="B1141" s="21" t="s">
        <v>4578</v>
      </c>
      <c r="C1141" s="21" t="s">
        <v>4559</v>
      </c>
    </row>
    <row r="1142" spans="1:3" x14ac:dyDescent="0.25">
      <c r="A1142" s="21" t="s">
        <v>3344</v>
      </c>
      <c r="B1142" s="21" t="s">
        <v>4579</v>
      </c>
      <c r="C1142" s="21" t="s">
        <v>4559</v>
      </c>
    </row>
    <row r="1143" spans="1:3" x14ac:dyDescent="0.25">
      <c r="A1143" s="21" t="s">
        <v>3348</v>
      </c>
      <c r="B1143" s="21" t="s">
        <v>4580</v>
      </c>
      <c r="C1143" s="21" t="s">
        <v>4559</v>
      </c>
    </row>
    <row r="1144" spans="1:3" x14ac:dyDescent="0.25">
      <c r="A1144" s="21" t="s">
        <v>3350</v>
      </c>
      <c r="B1144" s="21" t="s">
        <v>4581</v>
      </c>
      <c r="C1144" s="21" t="s">
        <v>4559</v>
      </c>
    </row>
    <row r="1145" spans="1:3" x14ac:dyDescent="0.25">
      <c r="A1145" s="21" t="s">
        <v>3459</v>
      </c>
      <c r="B1145" s="21" t="s">
        <v>4582</v>
      </c>
      <c r="C1145" s="21" t="s">
        <v>4559</v>
      </c>
    </row>
    <row r="1146" spans="1:3" x14ac:dyDescent="0.25">
      <c r="A1146" s="21" t="s">
        <v>3354</v>
      </c>
      <c r="B1146" s="21" t="s">
        <v>4583</v>
      </c>
      <c r="C1146" s="21" t="s">
        <v>4559</v>
      </c>
    </row>
    <row r="1147" spans="1:3" x14ac:dyDescent="0.25">
      <c r="A1147" s="21" t="s">
        <v>3356</v>
      </c>
      <c r="B1147" s="21" t="s">
        <v>4584</v>
      </c>
      <c r="C1147" s="21" t="s">
        <v>4559</v>
      </c>
    </row>
    <row r="1148" spans="1:3" x14ac:dyDescent="0.25">
      <c r="A1148" s="21" t="s">
        <v>3356</v>
      </c>
      <c r="B1148" s="21" t="s">
        <v>4585</v>
      </c>
      <c r="C1148" s="21" t="s">
        <v>4559</v>
      </c>
    </row>
    <row r="1149" spans="1:3" x14ac:dyDescent="0.25">
      <c r="A1149" s="21" t="s">
        <v>4345</v>
      </c>
      <c r="B1149" s="21" t="s">
        <v>4586</v>
      </c>
      <c r="C1149" s="21" t="s">
        <v>4559</v>
      </c>
    </row>
    <row r="1150" spans="1:3" x14ac:dyDescent="0.25">
      <c r="A1150" s="21" t="s">
        <v>4781</v>
      </c>
      <c r="B1150" s="21" t="s">
        <v>4784</v>
      </c>
      <c r="C1150" s="21" t="s">
        <v>4589</v>
      </c>
    </row>
    <row r="1151" spans="1:3" x14ac:dyDescent="0.25">
      <c r="A1151" s="21" t="s">
        <v>4587</v>
      </c>
      <c r="B1151" s="21" t="s">
        <v>4588</v>
      </c>
      <c r="C1151" s="21" t="s">
        <v>4589</v>
      </c>
    </row>
    <row r="1152" spans="1:3" x14ac:dyDescent="0.25">
      <c r="A1152" s="21" t="s">
        <v>3785</v>
      </c>
      <c r="B1152" s="21" t="s">
        <v>4590</v>
      </c>
      <c r="C1152" s="21" t="s">
        <v>4589</v>
      </c>
    </row>
    <row r="1153" spans="1:3" x14ac:dyDescent="0.25">
      <c r="A1153" s="21" t="s">
        <v>3975</v>
      </c>
      <c r="B1153" s="21" t="s">
        <v>4591</v>
      </c>
      <c r="C1153" s="21" t="s">
        <v>4589</v>
      </c>
    </row>
    <row r="1154" spans="1:3" x14ac:dyDescent="0.25">
      <c r="A1154" s="21" t="s">
        <v>3547</v>
      </c>
      <c r="B1154" s="21" t="s">
        <v>4592</v>
      </c>
      <c r="C1154" s="21" t="s">
        <v>4589</v>
      </c>
    </row>
    <row r="1155" spans="1:3" x14ac:dyDescent="0.25">
      <c r="A1155" s="21" t="s">
        <v>3549</v>
      </c>
      <c r="B1155" s="21" t="s">
        <v>4593</v>
      </c>
      <c r="C1155" s="21" t="s">
        <v>4589</v>
      </c>
    </row>
    <row r="1156" spans="1:3" x14ac:dyDescent="0.25">
      <c r="A1156" s="21" t="s">
        <v>3657</v>
      </c>
      <c r="B1156" s="21" t="s">
        <v>4594</v>
      </c>
      <c r="C1156" s="21" t="s">
        <v>4589</v>
      </c>
    </row>
    <row r="1157" spans="1:3" x14ac:dyDescent="0.25">
      <c r="A1157" s="21" t="s">
        <v>3468</v>
      </c>
      <c r="B1157" s="21" t="s">
        <v>4595</v>
      </c>
      <c r="C1157" s="21" t="s">
        <v>4589</v>
      </c>
    </row>
    <row r="1158" spans="1:3" x14ac:dyDescent="0.25">
      <c r="A1158" s="21" t="s">
        <v>3555</v>
      </c>
      <c r="B1158" s="21" t="s">
        <v>4596</v>
      </c>
      <c r="C1158" s="21" t="s">
        <v>4589</v>
      </c>
    </row>
    <row r="1159" spans="1:3" x14ac:dyDescent="0.25">
      <c r="A1159" s="21" t="s">
        <v>3378</v>
      </c>
      <c r="B1159" s="21" t="s">
        <v>4597</v>
      </c>
      <c r="C1159" s="21" t="s">
        <v>4589</v>
      </c>
    </row>
    <row r="1160" spans="1:3" x14ac:dyDescent="0.25">
      <c r="A1160" s="21" t="s">
        <v>3381</v>
      </c>
      <c r="B1160" s="21" t="s">
        <v>4598</v>
      </c>
      <c r="C1160" s="21" t="s">
        <v>4589</v>
      </c>
    </row>
    <row r="1161" spans="1:3" x14ac:dyDescent="0.25">
      <c r="A1161" s="21" t="s">
        <v>3292</v>
      </c>
      <c r="B1161" s="21" t="s">
        <v>4599</v>
      </c>
      <c r="C1161" s="21" t="s">
        <v>4589</v>
      </c>
    </row>
    <row r="1162" spans="1:3" x14ac:dyDescent="0.25">
      <c r="A1162" s="21" t="s">
        <v>3292</v>
      </c>
      <c r="B1162" s="21" t="s">
        <v>4600</v>
      </c>
      <c r="C1162" s="21" t="s">
        <v>4589</v>
      </c>
    </row>
    <row r="1163" spans="1:3" x14ac:dyDescent="0.25">
      <c r="A1163" s="21" t="s">
        <v>3479</v>
      </c>
      <c r="B1163" s="21" t="s">
        <v>4601</v>
      </c>
      <c r="C1163" s="21" t="s">
        <v>4589</v>
      </c>
    </row>
    <row r="1164" spans="1:3" x14ac:dyDescent="0.25">
      <c r="A1164" s="21" t="s">
        <v>3591</v>
      </c>
      <c r="B1164" s="21" t="s">
        <v>4602</v>
      </c>
      <c r="C1164" s="21" t="s">
        <v>4589</v>
      </c>
    </row>
    <row r="1165" spans="1:3" x14ac:dyDescent="0.25">
      <c r="A1165" s="21" t="s">
        <v>3663</v>
      </c>
      <c r="B1165" s="21" t="s">
        <v>4603</v>
      </c>
      <c r="C1165" s="21" t="s">
        <v>4589</v>
      </c>
    </row>
    <row r="1166" spans="1:3" x14ac:dyDescent="0.25">
      <c r="A1166" s="21" t="s">
        <v>3395</v>
      </c>
      <c r="B1166" s="21" t="s">
        <v>4604</v>
      </c>
      <c r="C1166" s="21" t="s">
        <v>4589</v>
      </c>
    </row>
    <row r="1167" spans="1:3" x14ac:dyDescent="0.25">
      <c r="A1167" s="21" t="s">
        <v>3399</v>
      </c>
      <c r="B1167" s="21" t="s">
        <v>4605</v>
      </c>
      <c r="C1167" s="21" t="s">
        <v>4589</v>
      </c>
    </row>
    <row r="1168" spans="1:3" x14ac:dyDescent="0.25">
      <c r="A1168" s="21" t="s">
        <v>3399</v>
      </c>
      <c r="B1168" s="21" t="s">
        <v>4606</v>
      </c>
      <c r="C1168" s="21" t="s">
        <v>4589</v>
      </c>
    </row>
    <row r="1169" spans="1:3" x14ac:dyDescent="0.25">
      <c r="A1169" s="21" t="s">
        <v>3296</v>
      </c>
      <c r="B1169" s="21" t="s">
        <v>4607</v>
      </c>
      <c r="C1169" s="21" t="s">
        <v>4589</v>
      </c>
    </row>
    <row r="1170" spans="1:3" x14ac:dyDescent="0.25">
      <c r="A1170" s="21" t="s">
        <v>3298</v>
      </c>
      <c r="B1170" s="21" t="s">
        <v>4608</v>
      </c>
      <c r="C1170" s="21" t="s">
        <v>4589</v>
      </c>
    </row>
    <row r="1171" spans="1:3" x14ac:dyDescent="0.25">
      <c r="A1171" s="21" t="s">
        <v>3298</v>
      </c>
      <c r="B1171" s="21" t="s">
        <v>4609</v>
      </c>
      <c r="C1171" s="21" t="s">
        <v>4589</v>
      </c>
    </row>
    <row r="1172" spans="1:3" x14ac:dyDescent="0.25">
      <c r="A1172" s="21" t="s">
        <v>3408</v>
      </c>
      <c r="B1172" s="21" t="s">
        <v>4610</v>
      </c>
      <c r="C1172" s="21" t="s">
        <v>4589</v>
      </c>
    </row>
    <row r="1173" spans="1:3" x14ac:dyDescent="0.25">
      <c r="A1173" s="21" t="s">
        <v>3410</v>
      </c>
      <c r="B1173" s="21" t="s">
        <v>4611</v>
      </c>
      <c r="C1173" s="21" t="s">
        <v>4589</v>
      </c>
    </row>
    <row r="1174" spans="1:3" x14ac:dyDescent="0.25">
      <c r="A1174" s="21" t="s">
        <v>3419</v>
      </c>
      <c r="B1174" s="21" t="s">
        <v>4612</v>
      </c>
      <c r="C1174" s="21" t="s">
        <v>4589</v>
      </c>
    </row>
    <row r="1175" spans="1:3" x14ac:dyDescent="0.25">
      <c r="A1175" s="21" t="s">
        <v>3308</v>
      </c>
      <c r="B1175" s="21" t="s">
        <v>4613</v>
      </c>
      <c r="C1175" s="21" t="s">
        <v>4589</v>
      </c>
    </row>
    <row r="1176" spans="1:3" x14ac:dyDescent="0.25">
      <c r="A1176" s="21" t="s">
        <v>3314</v>
      </c>
      <c r="B1176" s="21" t="s">
        <v>4614</v>
      </c>
      <c r="C1176" s="21" t="s">
        <v>4589</v>
      </c>
    </row>
    <row r="1177" spans="1:3" x14ac:dyDescent="0.25">
      <c r="A1177" s="21" t="s">
        <v>3316</v>
      </c>
      <c r="B1177" s="21" t="s">
        <v>4615</v>
      </c>
      <c r="C1177" s="21" t="s">
        <v>4589</v>
      </c>
    </row>
    <row r="1178" spans="1:3" x14ac:dyDescent="0.25">
      <c r="A1178" s="21" t="s">
        <v>3318</v>
      </c>
      <c r="B1178" s="21" t="s">
        <v>4616</v>
      </c>
      <c r="C1178" s="21" t="s">
        <v>4589</v>
      </c>
    </row>
    <row r="1179" spans="1:3" x14ac:dyDescent="0.25">
      <c r="A1179" s="21" t="s">
        <v>3318</v>
      </c>
      <c r="B1179" s="21" t="s">
        <v>4617</v>
      </c>
      <c r="C1179" s="21" t="s">
        <v>4589</v>
      </c>
    </row>
    <row r="1180" spans="1:3" x14ac:dyDescent="0.25">
      <c r="A1180" s="21" t="s">
        <v>3318</v>
      </c>
      <c r="B1180" s="21" t="s">
        <v>4618</v>
      </c>
      <c r="C1180" s="21" t="s">
        <v>4589</v>
      </c>
    </row>
    <row r="1181" spans="1:3" x14ac:dyDescent="0.25">
      <c r="A1181" s="21" t="s">
        <v>3318</v>
      </c>
      <c r="B1181" s="21" t="s">
        <v>4619</v>
      </c>
      <c r="C1181" s="21" t="s">
        <v>4589</v>
      </c>
    </row>
    <row r="1182" spans="1:3" x14ac:dyDescent="0.25">
      <c r="A1182" s="21" t="s">
        <v>3318</v>
      </c>
      <c r="B1182" s="21" t="s">
        <v>4620</v>
      </c>
      <c r="C1182" s="21" t="s">
        <v>4589</v>
      </c>
    </row>
    <row r="1183" spans="1:3" x14ac:dyDescent="0.25">
      <c r="A1183" s="21" t="s">
        <v>3320</v>
      </c>
      <c r="B1183" s="21" t="s">
        <v>4621</v>
      </c>
      <c r="C1183" s="21" t="s">
        <v>4589</v>
      </c>
    </row>
    <row r="1184" spans="1:3" x14ac:dyDescent="0.25">
      <c r="A1184" s="21" t="s">
        <v>3320</v>
      </c>
      <c r="B1184" s="21" t="s">
        <v>4622</v>
      </c>
      <c r="C1184" s="21" t="s">
        <v>4589</v>
      </c>
    </row>
    <row r="1185" spans="1:3" x14ac:dyDescent="0.25">
      <c r="A1185" s="21" t="s">
        <v>3437</v>
      </c>
      <c r="B1185" s="21" t="s">
        <v>4623</v>
      </c>
      <c r="C1185" s="21" t="s">
        <v>4589</v>
      </c>
    </row>
    <row r="1186" spans="1:3" x14ac:dyDescent="0.25">
      <c r="A1186" s="21" t="s">
        <v>3500</v>
      </c>
      <c r="B1186" s="21" t="s">
        <v>4624</v>
      </c>
      <c r="C1186" s="21" t="s">
        <v>4589</v>
      </c>
    </row>
    <row r="1187" spans="1:3" x14ac:dyDescent="0.25">
      <c r="A1187" s="21" t="s">
        <v>3500</v>
      </c>
      <c r="B1187" s="21" t="s">
        <v>4625</v>
      </c>
      <c r="C1187" s="21" t="s">
        <v>4589</v>
      </c>
    </row>
    <row r="1188" spans="1:3" x14ac:dyDescent="0.25">
      <c r="A1188" s="21" t="s">
        <v>4148</v>
      </c>
      <c r="B1188" s="21" t="s">
        <v>4626</v>
      </c>
      <c r="C1188" s="21" t="s">
        <v>4589</v>
      </c>
    </row>
    <row r="1189" spans="1:3" x14ac:dyDescent="0.25">
      <c r="A1189" s="21" t="s">
        <v>3334</v>
      </c>
      <c r="B1189" s="21" t="s">
        <v>4627</v>
      </c>
      <c r="C1189" s="21" t="s">
        <v>4589</v>
      </c>
    </row>
    <row r="1190" spans="1:3" x14ac:dyDescent="0.25">
      <c r="A1190" s="21" t="s">
        <v>3448</v>
      </c>
      <c r="B1190" s="21" t="s">
        <v>4628</v>
      </c>
      <c r="C1190" s="21" t="s">
        <v>4589</v>
      </c>
    </row>
    <row r="1191" spans="1:3" x14ac:dyDescent="0.25">
      <c r="A1191" s="21" t="s">
        <v>3338</v>
      </c>
      <c r="B1191" s="21" t="s">
        <v>4629</v>
      </c>
      <c r="C1191" s="21" t="s">
        <v>4589</v>
      </c>
    </row>
    <row r="1192" spans="1:3" x14ac:dyDescent="0.25">
      <c r="A1192" s="21" t="s">
        <v>3513</v>
      </c>
      <c r="B1192" s="21" t="s">
        <v>4630</v>
      </c>
      <c r="C1192" s="21" t="s">
        <v>4589</v>
      </c>
    </row>
    <row r="1193" spans="1:3" x14ac:dyDescent="0.25">
      <c r="A1193" s="21" t="s">
        <v>3340</v>
      </c>
      <c r="B1193" s="21" t="s">
        <v>4631</v>
      </c>
      <c r="C1193" s="21" t="s">
        <v>4589</v>
      </c>
    </row>
    <row r="1194" spans="1:3" x14ac:dyDescent="0.25">
      <c r="A1194" s="21" t="s">
        <v>3342</v>
      </c>
      <c r="B1194" s="21" t="s">
        <v>4632</v>
      </c>
      <c r="C1194" s="21" t="s">
        <v>4589</v>
      </c>
    </row>
    <row r="1195" spans="1:3" x14ac:dyDescent="0.25">
      <c r="A1195" s="21" t="s">
        <v>3452</v>
      </c>
      <c r="B1195" s="21" t="s">
        <v>4633</v>
      </c>
      <c r="C1195" s="21" t="s">
        <v>4589</v>
      </c>
    </row>
    <row r="1196" spans="1:3" x14ac:dyDescent="0.25">
      <c r="A1196" s="21" t="s">
        <v>3520</v>
      </c>
      <c r="B1196" s="21" t="s">
        <v>4634</v>
      </c>
      <c r="C1196" s="21" t="s">
        <v>4589</v>
      </c>
    </row>
    <row r="1197" spans="1:3" x14ac:dyDescent="0.25">
      <c r="A1197" s="21" t="s">
        <v>3520</v>
      </c>
      <c r="B1197" s="21" t="s">
        <v>4635</v>
      </c>
      <c r="C1197" s="21" t="s">
        <v>4589</v>
      </c>
    </row>
    <row r="1198" spans="1:3" x14ac:dyDescent="0.25">
      <c r="A1198" s="21" t="s">
        <v>3348</v>
      </c>
      <c r="B1198" s="21" t="s">
        <v>4636</v>
      </c>
      <c r="C1198" s="21" t="s">
        <v>4589</v>
      </c>
    </row>
    <row r="1199" spans="1:3" x14ac:dyDescent="0.25">
      <c r="A1199" s="21" t="s">
        <v>3350</v>
      </c>
      <c r="B1199" s="21" t="s">
        <v>4637</v>
      </c>
      <c r="C1199" s="21" t="s">
        <v>4589</v>
      </c>
    </row>
    <row r="1200" spans="1:3" x14ac:dyDescent="0.25">
      <c r="A1200" s="21" t="s">
        <v>3352</v>
      </c>
      <c r="B1200" s="21" t="s">
        <v>4638</v>
      </c>
      <c r="C1200" s="21" t="s">
        <v>4589</v>
      </c>
    </row>
    <row r="1201" spans="1:3" x14ac:dyDescent="0.25">
      <c r="A1201" s="21" t="s">
        <v>3459</v>
      </c>
      <c r="B1201" s="21" t="s">
        <v>4639</v>
      </c>
      <c r="C1201" s="21" t="s">
        <v>4589</v>
      </c>
    </row>
    <row r="1202" spans="1:3" x14ac:dyDescent="0.25">
      <c r="A1202" s="21" t="s">
        <v>3354</v>
      </c>
      <c r="B1202" s="21" t="s">
        <v>4640</v>
      </c>
      <c r="C1202" s="21" t="s">
        <v>4589</v>
      </c>
    </row>
    <row r="1203" spans="1:3" x14ac:dyDescent="0.25">
      <c r="A1203" s="21" t="s">
        <v>3356</v>
      </c>
      <c r="B1203" s="21" t="s">
        <v>4641</v>
      </c>
      <c r="C1203" s="21" t="s">
        <v>4589</v>
      </c>
    </row>
    <row r="1204" spans="1:3" x14ac:dyDescent="0.25">
      <c r="A1204" s="21" t="s">
        <v>3359</v>
      </c>
      <c r="B1204" s="21" t="s">
        <v>4642</v>
      </c>
      <c r="C1204" s="21" t="s">
        <v>4589</v>
      </c>
    </row>
    <row r="1205" spans="1:3" x14ac:dyDescent="0.25">
      <c r="A1205" s="21" t="s">
        <v>3361</v>
      </c>
      <c r="B1205" s="21" t="s">
        <v>4643</v>
      </c>
      <c r="C1205" s="21" t="s">
        <v>4589</v>
      </c>
    </row>
    <row r="1206" spans="1:3" x14ac:dyDescent="0.25">
      <c r="A1206" s="21" t="s">
        <v>3541</v>
      </c>
      <c r="B1206" s="21" t="s">
        <v>4644</v>
      </c>
      <c r="C1206" s="21" t="s">
        <v>4645</v>
      </c>
    </row>
    <row r="1207" spans="1:3" x14ac:dyDescent="0.25">
      <c r="A1207" s="21" t="s">
        <v>3545</v>
      </c>
      <c r="B1207" s="21" t="s">
        <v>4646</v>
      </c>
      <c r="C1207" s="21" t="s">
        <v>4645</v>
      </c>
    </row>
    <row r="1208" spans="1:3" x14ac:dyDescent="0.25">
      <c r="A1208" s="21" t="s">
        <v>3657</v>
      </c>
      <c r="B1208" s="21" t="s">
        <v>4647</v>
      </c>
      <c r="C1208" s="21" t="s">
        <v>4645</v>
      </c>
    </row>
    <row r="1209" spans="1:3" x14ac:dyDescent="0.25">
      <c r="A1209" s="21" t="s">
        <v>3375</v>
      </c>
      <c r="B1209" s="21" t="s">
        <v>4648</v>
      </c>
      <c r="C1209" s="21" t="s">
        <v>4645</v>
      </c>
    </row>
    <row r="1210" spans="1:3" x14ac:dyDescent="0.25">
      <c r="A1210" s="21" t="s">
        <v>3555</v>
      </c>
      <c r="B1210" s="21" t="s">
        <v>4649</v>
      </c>
      <c r="C1210" s="21" t="s">
        <v>4645</v>
      </c>
    </row>
    <row r="1211" spans="1:3" x14ac:dyDescent="0.25">
      <c r="A1211" s="21" t="s">
        <v>3472</v>
      </c>
      <c r="B1211" s="21" t="s">
        <v>4650</v>
      </c>
      <c r="C1211" s="21" t="s">
        <v>4645</v>
      </c>
    </row>
    <row r="1212" spans="1:3" x14ac:dyDescent="0.25">
      <c r="A1212" s="21" t="s">
        <v>3378</v>
      </c>
      <c r="B1212" s="21" t="s">
        <v>4651</v>
      </c>
      <c r="C1212" s="21" t="s">
        <v>4645</v>
      </c>
    </row>
    <row r="1213" spans="1:3" x14ac:dyDescent="0.25">
      <c r="A1213" s="21" t="s">
        <v>3292</v>
      </c>
      <c r="B1213" s="21" t="s">
        <v>4652</v>
      </c>
      <c r="C1213" s="21" t="s">
        <v>4645</v>
      </c>
    </row>
    <row r="1214" spans="1:3" x14ac:dyDescent="0.25">
      <c r="A1214" s="21" t="s">
        <v>3384</v>
      </c>
      <c r="B1214" s="21" t="s">
        <v>4653</v>
      </c>
      <c r="C1214" s="21" t="s">
        <v>4645</v>
      </c>
    </row>
    <row r="1215" spans="1:3" x14ac:dyDescent="0.25">
      <c r="A1215" s="21" t="s">
        <v>3800</v>
      </c>
      <c r="B1215" s="21" t="s">
        <v>4654</v>
      </c>
      <c r="C1215" s="21" t="s">
        <v>4645</v>
      </c>
    </row>
    <row r="1216" spans="1:3" x14ac:dyDescent="0.25">
      <c r="A1216" s="21" t="s">
        <v>3294</v>
      </c>
      <c r="B1216" s="21" t="s">
        <v>4655</v>
      </c>
      <c r="C1216" s="21" t="s">
        <v>4645</v>
      </c>
    </row>
    <row r="1217" spans="1:3" x14ac:dyDescent="0.25">
      <c r="A1217" s="21" t="s">
        <v>3395</v>
      </c>
      <c r="B1217" s="21" t="s">
        <v>4656</v>
      </c>
      <c r="C1217" s="21" t="s">
        <v>4645</v>
      </c>
    </row>
    <row r="1218" spans="1:3" x14ac:dyDescent="0.25">
      <c r="A1218" s="21" t="s">
        <v>3399</v>
      </c>
      <c r="B1218" s="21" t="s">
        <v>4657</v>
      </c>
      <c r="C1218" s="21" t="s">
        <v>4645</v>
      </c>
    </row>
    <row r="1219" spans="1:3" x14ac:dyDescent="0.25">
      <c r="A1219" s="21" t="s">
        <v>3404</v>
      </c>
      <c r="B1219" s="21" t="s">
        <v>4658</v>
      </c>
      <c r="C1219" s="21" t="s">
        <v>4645</v>
      </c>
    </row>
    <row r="1220" spans="1:3" x14ac:dyDescent="0.25">
      <c r="A1220" s="21" t="s">
        <v>3667</v>
      </c>
      <c r="B1220" s="21" t="s">
        <v>4659</v>
      </c>
      <c r="C1220" s="21" t="s">
        <v>4645</v>
      </c>
    </row>
    <row r="1221" spans="1:3" x14ac:dyDescent="0.25">
      <c r="A1221" s="21" t="s">
        <v>3492</v>
      </c>
      <c r="B1221" s="21" t="s">
        <v>4660</v>
      </c>
      <c r="C1221" s="21" t="s">
        <v>4645</v>
      </c>
    </row>
    <row r="1222" spans="1:3" x14ac:dyDescent="0.25">
      <c r="A1222" s="21" t="s">
        <v>3417</v>
      </c>
      <c r="B1222" s="21" t="s">
        <v>4661</v>
      </c>
      <c r="C1222" s="21" t="s">
        <v>4645</v>
      </c>
    </row>
    <row r="1223" spans="1:3" x14ac:dyDescent="0.25">
      <c r="A1223" s="21" t="s">
        <v>4221</v>
      </c>
      <c r="B1223" s="21" t="s">
        <v>4662</v>
      </c>
      <c r="C1223" s="21" t="s">
        <v>4645</v>
      </c>
    </row>
    <row r="1224" spans="1:3" x14ac:dyDescent="0.25">
      <c r="A1224" s="21" t="s">
        <v>3308</v>
      </c>
      <c r="B1224" s="21" t="s">
        <v>4663</v>
      </c>
      <c r="C1224" s="21" t="s">
        <v>4645</v>
      </c>
    </row>
    <row r="1225" spans="1:3" x14ac:dyDescent="0.25">
      <c r="A1225" s="21" t="s">
        <v>3312</v>
      </c>
      <c r="B1225" s="21" t="s">
        <v>4664</v>
      </c>
      <c r="C1225" s="21" t="s">
        <v>4645</v>
      </c>
    </row>
    <row r="1226" spans="1:3" x14ac:dyDescent="0.25">
      <c r="A1226" s="21" t="s">
        <v>3314</v>
      </c>
      <c r="B1226" s="21" t="s">
        <v>4665</v>
      </c>
      <c r="C1226" s="21" t="s">
        <v>4645</v>
      </c>
    </row>
    <row r="1227" spans="1:3" x14ac:dyDescent="0.25">
      <c r="A1227" s="21" t="s">
        <v>3316</v>
      </c>
      <c r="B1227" s="21" t="s">
        <v>4666</v>
      </c>
      <c r="C1227" s="21" t="s">
        <v>4645</v>
      </c>
    </row>
    <row r="1228" spans="1:3" x14ac:dyDescent="0.25">
      <c r="A1228" s="21" t="s">
        <v>3608</v>
      </c>
      <c r="B1228" s="21" t="s">
        <v>4667</v>
      </c>
      <c r="C1228" s="21" t="s">
        <v>4645</v>
      </c>
    </row>
    <row r="1229" spans="1:3" x14ac:dyDescent="0.25">
      <c r="A1229" s="21" t="s">
        <v>3318</v>
      </c>
      <c r="B1229" s="21" t="s">
        <v>4668</v>
      </c>
      <c r="C1229" s="21" t="s">
        <v>4645</v>
      </c>
    </row>
    <row r="1230" spans="1:3" x14ac:dyDescent="0.25">
      <c r="A1230" s="21" t="s">
        <v>3320</v>
      </c>
      <c r="B1230" s="21" t="s">
        <v>4669</v>
      </c>
      <c r="C1230" s="21" t="s">
        <v>4645</v>
      </c>
    </row>
    <row r="1231" spans="1:3" x14ac:dyDescent="0.25">
      <c r="A1231" s="21" t="s">
        <v>3437</v>
      </c>
      <c r="B1231" s="21" t="s">
        <v>4670</v>
      </c>
      <c r="C1231" s="21" t="s">
        <v>4645</v>
      </c>
    </row>
    <row r="1232" spans="1:3" x14ac:dyDescent="0.25">
      <c r="A1232" s="21" t="s">
        <v>3324</v>
      </c>
      <c r="B1232" s="21" t="s">
        <v>4671</v>
      </c>
      <c r="C1232" s="21" t="s">
        <v>4645</v>
      </c>
    </row>
    <row r="1233" spans="1:3" x14ac:dyDescent="0.25">
      <c r="A1233" s="21" t="s">
        <v>3738</v>
      </c>
      <c r="B1233" s="21" t="s">
        <v>4672</v>
      </c>
      <c r="C1233" s="21" t="s">
        <v>4645</v>
      </c>
    </row>
    <row r="1234" spans="1:3" x14ac:dyDescent="0.25">
      <c r="A1234" s="21" t="s">
        <v>3619</v>
      </c>
      <c r="B1234" s="21" t="s">
        <v>4673</v>
      </c>
      <c r="C1234" s="21" t="s">
        <v>4645</v>
      </c>
    </row>
    <row r="1235" spans="1:3" x14ac:dyDescent="0.25">
      <c r="A1235" s="21" t="s">
        <v>3626</v>
      </c>
      <c r="B1235" s="21" t="s">
        <v>4674</v>
      </c>
      <c r="C1235" s="21" t="s">
        <v>4645</v>
      </c>
    </row>
    <row r="1236" spans="1:3" x14ac:dyDescent="0.25">
      <c r="A1236" s="21" t="s">
        <v>4006</v>
      </c>
      <c r="B1236" s="21" t="s">
        <v>4675</v>
      </c>
      <c r="C1236" s="21" t="s">
        <v>4645</v>
      </c>
    </row>
    <row r="1237" spans="1:3" x14ac:dyDescent="0.25">
      <c r="A1237" s="21" t="s">
        <v>3336</v>
      </c>
      <c r="B1237" s="21" t="s">
        <v>4676</v>
      </c>
      <c r="C1237" s="21" t="s">
        <v>4645</v>
      </c>
    </row>
    <row r="1238" spans="1:3" x14ac:dyDescent="0.25">
      <c r="A1238" s="21" t="s">
        <v>3448</v>
      </c>
      <c r="B1238" s="21" t="s">
        <v>4677</v>
      </c>
      <c r="C1238" s="21" t="s">
        <v>4645</v>
      </c>
    </row>
    <row r="1239" spans="1:3" x14ac:dyDescent="0.25">
      <c r="A1239" s="21" t="s">
        <v>3338</v>
      </c>
      <c r="B1239" s="21" t="s">
        <v>4678</v>
      </c>
      <c r="C1239" s="21" t="s">
        <v>4645</v>
      </c>
    </row>
    <row r="1240" spans="1:3" x14ac:dyDescent="0.25">
      <c r="A1240" s="21" t="s">
        <v>3513</v>
      </c>
      <c r="B1240" s="21" t="s">
        <v>4679</v>
      </c>
      <c r="C1240" s="21" t="s">
        <v>4645</v>
      </c>
    </row>
    <row r="1241" spans="1:3" x14ac:dyDescent="0.25">
      <c r="A1241" s="21" t="s">
        <v>3516</v>
      </c>
      <c r="B1241" s="21" t="s">
        <v>4680</v>
      </c>
      <c r="C1241" s="21" t="s">
        <v>4645</v>
      </c>
    </row>
    <row r="1242" spans="1:3" x14ac:dyDescent="0.25">
      <c r="A1242" s="21" t="s">
        <v>3346</v>
      </c>
      <c r="B1242" s="21" t="s">
        <v>4681</v>
      </c>
      <c r="C1242" s="21" t="s">
        <v>4645</v>
      </c>
    </row>
    <row r="1243" spans="1:3" x14ac:dyDescent="0.25">
      <c r="A1243" s="21" t="s">
        <v>3459</v>
      </c>
      <c r="B1243" s="21" t="s">
        <v>4682</v>
      </c>
      <c r="C1243" s="21" t="s">
        <v>4645</v>
      </c>
    </row>
    <row r="1244" spans="1:3" x14ac:dyDescent="0.25">
      <c r="A1244" s="21" t="s">
        <v>3354</v>
      </c>
      <c r="B1244" s="21" t="s">
        <v>4683</v>
      </c>
      <c r="C1244" s="21" t="s">
        <v>4645</v>
      </c>
    </row>
    <row r="1245" spans="1:3" x14ac:dyDescent="0.25">
      <c r="A1245" s="21" t="s">
        <v>3356</v>
      </c>
      <c r="B1245" s="21" t="s">
        <v>4684</v>
      </c>
      <c r="C1245" s="21" t="s">
        <v>4645</v>
      </c>
    </row>
    <row r="1246" spans="1:3" x14ac:dyDescent="0.25">
      <c r="A1246" s="21" t="s">
        <v>3356</v>
      </c>
      <c r="B1246" s="21" t="s">
        <v>4685</v>
      </c>
      <c r="C1246" s="21" t="s">
        <v>4645</v>
      </c>
    </row>
    <row r="1247" spans="1:3" x14ac:dyDescent="0.25">
      <c r="A1247" s="21" t="s">
        <v>3361</v>
      </c>
      <c r="B1247" s="21" t="s">
        <v>4686</v>
      </c>
      <c r="C1247" s="21" t="s">
        <v>4645</v>
      </c>
    </row>
    <row r="1248" spans="1:3" x14ac:dyDescent="0.25">
      <c r="A1248" s="21" t="s">
        <v>3975</v>
      </c>
      <c r="B1248" s="21" t="s">
        <v>4687</v>
      </c>
      <c r="C1248" s="21" t="s">
        <v>4688</v>
      </c>
    </row>
    <row r="1249" spans="1:3" x14ac:dyDescent="0.25">
      <c r="A1249" s="21" t="s">
        <v>3539</v>
      </c>
      <c r="B1249" s="21" t="s">
        <v>4689</v>
      </c>
      <c r="C1249" s="21" t="s">
        <v>4688</v>
      </c>
    </row>
    <row r="1250" spans="1:3" x14ac:dyDescent="0.25">
      <c r="A1250" s="21" t="s">
        <v>4063</v>
      </c>
      <c r="B1250" s="21" t="s">
        <v>4690</v>
      </c>
      <c r="C1250" s="21" t="s">
        <v>4688</v>
      </c>
    </row>
    <row r="1251" spans="1:3" x14ac:dyDescent="0.25">
      <c r="A1251" s="21" t="s">
        <v>3547</v>
      </c>
      <c r="B1251" s="21" t="s">
        <v>4691</v>
      </c>
      <c r="C1251" s="21" t="s">
        <v>4688</v>
      </c>
    </row>
    <row r="1252" spans="1:3" x14ac:dyDescent="0.25">
      <c r="A1252" s="21" t="s">
        <v>3470</v>
      </c>
      <c r="B1252" s="21" t="s">
        <v>4692</v>
      </c>
      <c r="C1252" s="21" t="s">
        <v>4688</v>
      </c>
    </row>
    <row r="1253" spans="1:3" x14ac:dyDescent="0.25">
      <c r="A1253" s="21" t="s">
        <v>3288</v>
      </c>
      <c r="B1253" s="21" t="s">
        <v>4693</v>
      </c>
      <c r="C1253" s="21" t="s">
        <v>4688</v>
      </c>
    </row>
    <row r="1254" spans="1:3" x14ac:dyDescent="0.25">
      <c r="A1254" s="21" t="s">
        <v>3472</v>
      </c>
      <c r="B1254" s="21" t="s">
        <v>4694</v>
      </c>
      <c r="C1254" s="21" t="s">
        <v>4688</v>
      </c>
    </row>
    <row r="1255" spans="1:3" x14ac:dyDescent="0.25">
      <c r="A1255" s="21" t="s">
        <v>3290</v>
      </c>
      <c r="B1255" s="21" t="s">
        <v>4695</v>
      </c>
      <c r="C1255" s="21" t="s">
        <v>4688</v>
      </c>
    </row>
    <row r="1256" spans="1:3" x14ac:dyDescent="0.25">
      <c r="A1256" s="21" t="s">
        <v>3292</v>
      </c>
      <c r="B1256" s="21" t="s">
        <v>4696</v>
      </c>
      <c r="C1256" s="21" t="s">
        <v>4688</v>
      </c>
    </row>
    <row r="1257" spans="1:3" x14ac:dyDescent="0.25">
      <c r="A1257" s="21" t="s">
        <v>3806</v>
      </c>
      <c r="B1257" s="21" t="s">
        <v>4697</v>
      </c>
      <c r="C1257" s="21" t="s">
        <v>4688</v>
      </c>
    </row>
    <row r="1258" spans="1:3" x14ac:dyDescent="0.25">
      <c r="A1258" s="21" t="s">
        <v>3298</v>
      </c>
      <c r="B1258" s="21" t="s">
        <v>4698</v>
      </c>
      <c r="C1258" s="21" t="s">
        <v>4688</v>
      </c>
    </row>
    <row r="1259" spans="1:3" x14ac:dyDescent="0.25">
      <c r="A1259" s="21" t="s">
        <v>3298</v>
      </c>
      <c r="B1259" s="21" t="s">
        <v>4699</v>
      </c>
      <c r="C1259" s="21" t="s">
        <v>4688</v>
      </c>
    </row>
    <row r="1260" spans="1:3" x14ac:dyDescent="0.25">
      <c r="A1260" s="21" t="s">
        <v>4700</v>
      </c>
      <c r="B1260" s="21" t="s">
        <v>4701</v>
      </c>
      <c r="C1260" s="21" t="s">
        <v>4688</v>
      </c>
    </row>
    <row r="1261" spans="1:3" x14ac:dyDescent="0.25">
      <c r="A1261" s="21" t="s">
        <v>3489</v>
      </c>
      <c r="B1261" s="21" t="s">
        <v>4702</v>
      </c>
      <c r="C1261" s="21" t="s">
        <v>4688</v>
      </c>
    </row>
    <row r="1262" spans="1:3" x14ac:dyDescent="0.25">
      <c r="A1262" s="21" t="s">
        <v>3415</v>
      </c>
      <c r="B1262" s="21" t="s">
        <v>4703</v>
      </c>
      <c r="C1262" s="21" t="s">
        <v>4688</v>
      </c>
    </row>
    <row r="1263" spans="1:3" x14ac:dyDescent="0.25">
      <c r="A1263" s="21" t="s">
        <v>3417</v>
      </c>
      <c r="B1263" s="21" t="s">
        <v>4704</v>
      </c>
      <c r="C1263" s="21" t="s">
        <v>4688</v>
      </c>
    </row>
    <row r="1264" spans="1:3" x14ac:dyDescent="0.25">
      <c r="A1264" s="21" t="s">
        <v>3606</v>
      </c>
      <c r="B1264" s="21" t="s">
        <v>4705</v>
      </c>
      <c r="C1264" s="21" t="s">
        <v>4688</v>
      </c>
    </row>
    <row r="1265" spans="1:3" x14ac:dyDescent="0.25">
      <c r="A1265" s="21" t="s">
        <v>3318</v>
      </c>
      <c r="B1265" s="21" t="s">
        <v>4706</v>
      </c>
      <c r="C1265" s="21" t="s">
        <v>4688</v>
      </c>
    </row>
    <row r="1266" spans="1:3" x14ac:dyDescent="0.25">
      <c r="A1266" s="21" t="s">
        <v>3326</v>
      </c>
      <c r="B1266" s="21" t="s">
        <v>4707</v>
      </c>
      <c r="C1266" s="21" t="s">
        <v>4688</v>
      </c>
    </row>
    <row r="1267" spans="1:3" x14ac:dyDescent="0.25">
      <c r="A1267" s="21" t="s">
        <v>4542</v>
      </c>
      <c r="B1267" s="21" t="s">
        <v>4708</v>
      </c>
      <c r="C1267" s="21" t="s">
        <v>4688</v>
      </c>
    </row>
    <row r="1268" spans="1:3" x14ac:dyDescent="0.25">
      <c r="A1268" s="21" t="s">
        <v>3444</v>
      </c>
      <c r="B1268" s="21" t="s">
        <v>4709</v>
      </c>
      <c r="C1268" s="21" t="s">
        <v>4688</v>
      </c>
    </row>
    <row r="1269" spans="1:3" x14ac:dyDescent="0.25">
      <c r="A1269" s="21" t="s">
        <v>3628</v>
      </c>
      <c r="B1269" s="21" t="s">
        <v>4710</v>
      </c>
      <c r="C1269" s="21" t="s">
        <v>4688</v>
      </c>
    </row>
    <row r="1270" spans="1:3" x14ac:dyDescent="0.25">
      <c r="A1270" s="21" t="s">
        <v>4394</v>
      </c>
      <c r="B1270" s="21" t="s">
        <v>4711</v>
      </c>
      <c r="C1270" s="21" t="s">
        <v>4688</v>
      </c>
    </row>
    <row r="1271" spans="1:3" x14ac:dyDescent="0.25">
      <c r="A1271" s="21" t="s">
        <v>4394</v>
      </c>
      <c r="B1271" s="21" t="s">
        <v>4712</v>
      </c>
      <c r="C1271" s="21" t="s">
        <v>4688</v>
      </c>
    </row>
    <row r="1272" spans="1:3" x14ac:dyDescent="0.25">
      <c r="A1272" s="21" t="s">
        <v>3744</v>
      </c>
      <c r="B1272" s="21" t="s">
        <v>4713</v>
      </c>
      <c r="C1272" s="21" t="s">
        <v>4688</v>
      </c>
    </row>
    <row r="1273" spans="1:3" x14ac:dyDescent="0.25">
      <c r="A1273" s="21" t="s">
        <v>3332</v>
      </c>
      <c r="B1273" s="21" t="s">
        <v>4714</v>
      </c>
      <c r="C1273" s="21" t="s">
        <v>4688</v>
      </c>
    </row>
    <row r="1274" spans="1:3" x14ac:dyDescent="0.25">
      <c r="A1274" s="21" t="s">
        <v>3336</v>
      </c>
      <c r="B1274" s="21" t="s">
        <v>4715</v>
      </c>
      <c r="C1274" s="21" t="s">
        <v>4688</v>
      </c>
    </row>
    <row r="1275" spans="1:3" x14ac:dyDescent="0.25">
      <c r="A1275" s="21" t="s">
        <v>3696</v>
      </c>
      <c r="B1275" s="21" t="s">
        <v>4716</v>
      </c>
      <c r="C1275" s="21" t="s">
        <v>4688</v>
      </c>
    </row>
    <row r="1276" spans="1:3" x14ac:dyDescent="0.25">
      <c r="A1276" s="21" t="s">
        <v>3696</v>
      </c>
      <c r="B1276" s="21" t="s">
        <v>4717</v>
      </c>
      <c r="C1276" s="21" t="s">
        <v>4688</v>
      </c>
    </row>
    <row r="1277" spans="1:3" x14ac:dyDescent="0.25">
      <c r="A1277" s="21" t="s">
        <v>3338</v>
      </c>
      <c r="B1277" s="21" t="s">
        <v>4718</v>
      </c>
      <c r="C1277" s="21" t="s">
        <v>4688</v>
      </c>
    </row>
    <row r="1278" spans="1:3" x14ac:dyDescent="0.25">
      <c r="A1278" s="21" t="s">
        <v>3450</v>
      </c>
      <c r="B1278" s="21" t="s">
        <v>4719</v>
      </c>
      <c r="C1278" s="21" t="s">
        <v>4688</v>
      </c>
    </row>
    <row r="1279" spans="1:3" x14ac:dyDescent="0.25">
      <c r="A1279" s="21" t="s">
        <v>3340</v>
      </c>
      <c r="B1279" s="21" t="s">
        <v>4720</v>
      </c>
      <c r="C1279" s="21" t="s">
        <v>4688</v>
      </c>
    </row>
    <row r="1280" spans="1:3" x14ac:dyDescent="0.25">
      <c r="A1280" s="21" t="s">
        <v>3340</v>
      </c>
      <c r="B1280" s="21" t="s">
        <v>4721</v>
      </c>
      <c r="C1280" s="21" t="s">
        <v>4688</v>
      </c>
    </row>
    <row r="1281" spans="1:3" x14ac:dyDescent="0.25">
      <c r="A1281" s="21" t="s">
        <v>3516</v>
      </c>
      <c r="B1281" s="21" t="s">
        <v>4722</v>
      </c>
      <c r="C1281" s="21" t="s">
        <v>4688</v>
      </c>
    </row>
    <row r="1282" spans="1:3" x14ac:dyDescent="0.25">
      <c r="A1282" s="21" t="s">
        <v>3518</v>
      </c>
      <c r="B1282" s="21" t="s">
        <v>4723</v>
      </c>
      <c r="C1282" s="21" t="s">
        <v>4688</v>
      </c>
    </row>
    <row r="1283" spans="1:3" x14ac:dyDescent="0.25">
      <c r="A1283" s="21" t="s">
        <v>3344</v>
      </c>
      <c r="B1283" s="21" t="s">
        <v>4724</v>
      </c>
      <c r="C1283" s="21" t="s">
        <v>4688</v>
      </c>
    </row>
    <row r="1284" spans="1:3" x14ac:dyDescent="0.25">
      <c r="A1284" s="21" t="s">
        <v>3346</v>
      </c>
      <c r="B1284" s="21" t="s">
        <v>4725</v>
      </c>
      <c r="C1284" s="21" t="s">
        <v>4688</v>
      </c>
    </row>
    <row r="1285" spans="1:3" x14ac:dyDescent="0.25">
      <c r="A1285" s="21" t="s">
        <v>3350</v>
      </c>
      <c r="B1285" s="21" t="s">
        <v>4726</v>
      </c>
      <c r="C1285" s="21" t="s">
        <v>4688</v>
      </c>
    </row>
    <row r="1286" spans="1:3" x14ac:dyDescent="0.25">
      <c r="A1286" s="21" t="s">
        <v>3354</v>
      </c>
      <c r="B1286" s="21" t="s">
        <v>4727</v>
      </c>
      <c r="C1286" s="21" t="s">
        <v>4688</v>
      </c>
    </row>
    <row r="1287" spans="1:3" x14ac:dyDescent="0.25">
      <c r="A1287" s="21" t="s">
        <v>3356</v>
      </c>
      <c r="B1287" s="21" t="s">
        <v>4728</v>
      </c>
      <c r="C1287" s="21" t="s">
        <v>4688</v>
      </c>
    </row>
    <row r="1288" spans="1:3" x14ac:dyDescent="0.25">
      <c r="A1288" s="21" t="s">
        <v>3359</v>
      </c>
      <c r="B1288" s="21" t="s">
        <v>4729</v>
      </c>
      <c r="C1288" s="21" t="s">
        <v>4688</v>
      </c>
    </row>
    <row r="1289" spans="1:3" x14ac:dyDescent="0.25">
      <c r="A1289" s="21" t="s">
        <v>3361</v>
      </c>
      <c r="B1289" s="21" t="s">
        <v>4730</v>
      </c>
      <c r="C1289" s="21" t="s">
        <v>4688</v>
      </c>
    </row>
    <row r="1290" spans="1:3" x14ac:dyDescent="0.25">
      <c r="A1290" s="21" t="s">
        <v>4781</v>
      </c>
      <c r="B1290" s="21" t="s">
        <v>4785</v>
      </c>
      <c r="C1290" s="21" t="s">
        <v>4732</v>
      </c>
    </row>
    <row r="1291" spans="1:3" x14ac:dyDescent="0.25">
      <c r="A1291" s="21" t="s">
        <v>3652</v>
      </c>
      <c r="B1291" s="21" t="s">
        <v>4731</v>
      </c>
      <c r="C1291" s="21" t="s">
        <v>4732</v>
      </c>
    </row>
    <row r="1292" spans="1:3" x14ac:dyDescent="0.25">
      <c r="A1292" s="21" t="s">
        <v>3541</v>
      </c>
      <c r="B1292" s="21" t="s">
        <v>4733</v>
      </c>
      <c r="C1292" s="21" t="s">
        <v>4732</v>
      </c>
    </row>
    <row r="1293" spans="1:3" x14ac:dyDescent="0.25">
      <c r="A1293" s="21" t="s">
        <v>3751</v>
      </c>
      <c r="B1293" s="21" t="s">
        <v>4734</v>
      </c>
      <c r="C1293" s="21" t="s">
        <v>4732</v>
      </c>
    </row>
    <row r="1294" spans="1:3" x14ac:dyDescent="0.25">
      <c r="A1294" s="21" t="s">
        <v>3549</v>
      </c>
      <c r="B1294" s="21" t="s">
        <v>4735</v>
      </c>
      <c r="C1294" s="21" t="s">
        <v>4732</v>
      </c>
    </row>
    <row r="1295" spans="1:3" x14ac:dyDescent="0.25">
      <c r="A1295" s="21" t="s">
        <v>3657</v>
      </c>
      <c r="B1295" s="21" t="s">
        <v>4736</v>
      </c>
      <c r="C1295" s="21" t="s">
        <v>4732</v>
      </c>
    </row>
    <row r="1296" spans="1:3" x14ac:dyDescent="0.25">
      <c r="A1296" s="21" t="s">
        <v>3378</v>
      </c>
      <c r="B1296" s="21" t="s">
        <v>4737</v>
      </c>
      <c r="C1296" s="21" t="s">
        <v>4732</v>
      </c>
    </row>
    <row r="1297" spans="1:3" x14ac:dyDescent="0.25">
      <c r="A1297" s="21" t="s">
        <v>3384</v>
      </c>
      <c r="B1297" s="21" t="s">
        <v>4738</v>
      </c>
      <c r="C1297" s="21" t="s">
        <v>4732</v>
      </c>
    </row>
    <row r="1298" spans="1:3" x14ac:dyDescent="0.25">
      <c r="A1298" s="21" t="s">
        <v>3757</v>
      </c>
      <c r="B1298" s="21" t="s">
        <v>4739</v>
      </c>
      <c r="C1298" s="21" t="s">
        <v>4732</v>
      </c>
    </row>
    <row r="1299" spans="1:3" x14ac:dyDescent="0.25">
      <c r="A1299" s="21" t="s">
        <v>3294</v>
      </c>
      <c r="B1299" s="21" t="s">
        <v>4740</v>
      </c>
      <c r="C1299" s="21" t="s">
        <v>4732</v>
      </c>
    </row>
    <row r="1300" spans="1:3" x14ac:dyDescent="0.25">
      <c r="A1300" s="21" t="s">
        <v>3395</v>
      </c>
      <c r="B1300" s="21" t="s">
        <v>4741</v>
      </c>
      <c r="C1300" s="21" t="s">
        <v>4732</v>
      </c>
    </row>
    <row r="1301" spans="1:3" x14ac:dyDescent="0.25">
      <c r="A1301" s="21" t="s">
        <v>3395</v>
      </c>
      <c r="B1301" s="21" t="s">
        <v>4742</v>
      </c>
      <c r="C1301" s="21" t="s">
        <v>4732</v>
      </c>
    </row>
    <row r="1302" spans="1:3" x14ac:dyDescent="0.25">
      <c r="A1302" s="21" t="s">
        <v>3395</v>
      </c>
      <c r="B1302" s="21" t="s">
        <v>4743</v>
      </c>
      <c r="C1302" s="21" t="s">
        <v>4732</v>
      </c>
    </row>
    <row r="1303" spans="1:3" x14ac:dyDescent="0.25">
      <c r="A1303" s="21" t="s">
        <v>3395</v>
      </c>
      <c r="B1303" s="21" t="s">
        <v>4744</v>
      </c>
      <c r="C1303" s="21" t="s">
        <v>4732</v>
      </c>
    </row>
    <row r="1304" spans="1:3" x14ac:dyDescent="0.25">
      <c r="A1304" s="21" t="s">
        <v>3395</v>
      </c>
      <c r="B1304" s="21" t="s">
        <v>4745</v>
      </c>
      <c r="C1304" s="21" t="s">
        <v>4732</v>
      </c>
    </row>
    <row r="1305" spans="1:3" x14ac:dyDescent="0.25">
      <c r="A1305" s="21" t="s">
        <v>3395</v>
      </c>
      <c r="B1305" s="21" t="s">
        <v>4746</v>
      </c>
      <c r="C1305" s="21" t="s">
        <v>4732</v>
      </c>
    </row>
    <row r="1306" spans="1:3" x14ac:dyDescent="0.25">
      <c r="A1306" s="21" t="s">
        <v>3395</v>
      </c>
      <c r="B1306" s="21" t="s">
        <v>4747</v>
      </c>
      <c r="C1306" s="21" t="s">
        <v>4732</v>
      </c>
    </row>
    <row r="1307" spans="1:3" x14ac:dyDescent="0.25">
      <c r="A1307" s="21" t="s">
        <v>3399</v>
      </c>
      <c r="B1307" s="21" t="s">
        <v>4748</v>
      </c>
      <c r="C1307" s="21" t="s">
        <v>4732</v>
      </c>
    </row>
    <row r="1308" spans="1:3" x14ac:dyDescent="0.25">
      <c r="A1308" s="21" t="s">
        <v>3399</v>
      </c>
      <c r="B1308" s="21" t="s">
        <v>4749</v>
      </c>
      <c r="C1308" s="21" t="s">
        <v>4732</v>
      </c>
    </row>
    <row r="1309" spans="1:3" x14ac:dyDescent="0.25">
      <c r="A1309" s="21" t="s">
        <v>3399</v>
      </c>
      <c r="B1309" s="21" t="s">
        <v>4750</v>
      </c>
      <c r="C1309" s="21" t="s">
        <v>4732</v>
      </c>
    </row>
    <row r="1310" spans="1:3" x14ac:dyDescent="0.25">
      <c r="A1310" s="21" t="s">
        <v>3492</v>
      </c>
      <c r="B1310" s="21" t="s">
        <v>4751</v>
      </c>
      <c r="C1310" s="21" t="s">
        <v>4732</v>
      </c>
    </row>
    <row r="1311" spans="1:3" x14ac:dyDescent="0.25">
      <c r="A1311" s="21" t="s">
        <v>4279</v>
      </c>
      <c r="B1311" s="21" t="s">
        <v>4752</v>
      </c>
      <c r="C1311" s="21" t="s">
        <v>4732</v>
      </c>
    </row>
    <row r="1312" spans="1:3" x14ac:dyDescent="0.25">
      <c r="A1312" s="21" t="s">
        <v>4221</v>
      </c>
      <c r="B1312" s="21" t="s">
        <v>4753</v>
      </c>
      <c r="C1312" s="21" t="s">
        <v>4732</v>
      </c>
    </row>
    <row r="1313" spans="1:3" x14ac:dyDescent="0.25">
      <c r="A1313" s="21" t="s">
        <v>3306</v>
      </c>
      <c r="B1313" s="21" t="s">
        <v>4754</v>
      </c>
      <c r="C1313" s="21" t="s">
        <v>4732</v>
      </c>
    </row>
    <row r="1314" spans="1:3" x14ac:dyDescent="0.25">
      <c r="A1314" s="21" t="s">
        <v>3308</v>
      </c>
      <c r="B1314" s="21" t="s">
        <v>4755</v>
      </c>
      <c r="C1314" s="21" t="s">
        <v>4732</v>
      </c>
    </row>
    <row r="1315" spans="1:3" x14ac:dyDescent="0.25">
      <c r="A1315" s="21" t="s">
        <v>3314</v>
      </c>
      <c r="B1315" s="21" t="s">
        <v>4756</v>
      </c>
      <c r="C1315" s="21" t="s">
        <v>4732</v>
      </c>
    </row>
    <row r="1316" spans="1:3" x14ac:dyDescent="0.25">
      <c r="A1316" s="21" t="s">
        <v>3314</v>
      </c>
      <c r="B1316" s="21" t="s">
        <v>4757</v>
      </c>
      <c r="C1316" s="21" t="s">
        <v>4732</v>
      </c>
    </row>
    <row r="1317" spans="1:3" x14ac:dyDescent="0.25">
      <c r="A1317" s="21" t="s">
        <v>3320</v>
      </c>
      <c r="B1317" s="21" t="s">
        <v>4758</v>
      </c>
      <c r="C1317" s="21" t="s">
        <v>4732</v>
      </c>
    </row>
    <row r="1318" spans="1:3" x14ac:dyDescent="0.25">
      <c r="A1318" s="21" t="s">
        <v>3320</v>
      </c>
      <c r="B1318" s="21" t="s">
        <v>4759</v>
      </c>
      <c r="C1318" s="21" t="s">
        <v>4732</v>
      </c>
    </row>
    <row r="1319" spans="1:3" x14ac:dyDescent="0.25">
      <c r="A1319" s="21" t="s">
        <v>3320</v>
      </c>
      <c r="B1319" s="21" t="s">
        <v>4760</v>
      </c>
      <c r="C1319" s="21" t="s">
        <v>4732</v>
      </c>
    </row>
    <row r="1320" spans="1:3" x14ac:dyDescent="0.25">
      <c r="A1320" s="21" t="s">
        <v>3320</v>
      </c>
      <c r="B1320" s="21" t="s">
        <v>4761</v>
      </c>
      <c r="C1320" s="21" t="s">
        <v>4732</v>
      </c>
    </row>
    <row r="1321" spans="1:3" x14ac:dyDescent="0.25">
      <c r="A1321" s="21" t="s">
        <v>3437</v>
      </c>
      <c r="B1321" s="21" t="s">
        <v>4762</v>
      </c>
      <c r="C1321" s="21" t="s">
        <v>4732</v>
      </c>
    </row>
    <row r="1322" spans="1:3" x14ac:dyDescent="0.25">
      <c r="A1322" s="21" t="s">
        <v>3437</v>
      </c>
      <c r="B1322" s="21" t="s">
        <v>4763</v>
      </c>
      <c r="C1322" s="21" t="s">
        <v>4732</v>
      </c>
    </row>
    <row r="1323" spans="1:3" x14ac:dyDescent="0.25">
      <c r="A1323" s="21" t="s">
        <v>3500</v>
      </c>
      <c r="B1323" s="21" t="s">
        <v>4764</v>
      </c>
      <c r="C1323" s="21" t="s">
        <v>4732</v>
      </c>
    </row>
    <row r="1324" spans="1:3" x14ac:dyDescent="0.25">
      <c r="A1324" s="21" t="s">
        <v>3500</v>
      </c>
      <c r="B1324" s="21" t="s">
        <v>4765</v>
      </c>
      <c r="C1324" s="21" t="s">
        <v>4732</v>
      </c>
    </row>
    <row r="1325" spans="1:3" x14ac:dyDescent="0.25">
      <c r="A1325" s="21" t="s">
        <v>3520</v>
      </c>
      <c r="B1325" s="21" t="s">
        <v>4766</v>
      </c>
      <c r="C1325" s="21" t="s">
        <v>4732</v>
      </c>
    </row>
    <row r="1326" spans="1:3" x14ac:dyDescent="0.25">
      <c r="A1326" s="21" t="s">
        <v>3348</v>
      </c>
      <c r="B1326" s="21" t="s">
        <v>4767</v>
      </c>
      <c r="C1326" s="21" t="s">
        <v>4732</v>
      </c>
    </row>
    <row r="1327" spans="1:3" x14ac:dyDescent="0.25">
      <c r="A1327" s="21" t="s">
        <v>3706</v>
      </c>
      <c r="B1327" s="21" t="s">
        <v>4768</v>
      </c>
      <c r="C1327" s="21" t="s">
        <v>4732</v>
      </c>
    </row>
    <row r="1328" spans="1:3" x14ac:dyDescent="0.25">
      <c r="A1328" s="21" t="s">
        <v>3350</v>
      </c>
      <c r="B1328" s="21" t="s">
        <v>4769</v>
      </c>
      <c r="C1328" s="21" t="s">
        <v>4732</v>
      </c>
    </row>
    <row r="1329" spans="1:3" x14ac:dyDescent="0.25">
      <c r="A1329" s="21" t="s">
        <v>3459</v>
      </c>
      <c r="B1329" s="21" t="s">
        <v>4770</v>
      </c>
      <c r="C1329" s="21" t="s">
        <v>4732</v>
      </c>
    </row>
    <row r="1330" spans="1:3" x14ac:dyDescent="0.25">
      <c r="A1330" s="21" t="s">
        <v>3354</v>
      </c>
      <c r="B1330" s="21" t="s">
        <v>4771</v>
      </c>
      <c r="C1330" s="21" t="s">
        <v>4732</v>
      </c>
    </row>
    <row r="1331" spans="1:3" x14ac:dyDescent="0.25">
      <c r="A1331" s="21" t="s">
        <v>3354</v>
      </c>
      <c r="B1331" s="21" t="s">
        <v>4772</v>
      </c>
      <c r="C1331" s="21" t="s">
        <v>4732</v>
      </c>
    </row>
    <row r="1332" spans="1:3" x14ac:dyDescent="0.25">
      <c r="A1332" s="21" t="s">
        <v>3356</v>
      </c>
      <c r="B1332" s="21" t="s">
        <v>4773</v>
      </c>
      <c r="C1332" s="21" t="s">
        <v>4732</v>
      </c>
    </row>
    <row r="1333" spans="1:3" x14ac:dyDescent="0.25">
      <c r="A1333" s="21" t="s">
        <v>3359</v>
      </c>
      <c r="B1333" s="21" t="s">
        <v>4774</v>
      </c>
      <c r="C1333" s="21" t="s">
        <v>4732</v>
      </c>
    </row>
    <row r="1334" spans="1:3" x14ac:dyDescent="0.25">
      <c r="A1334" s="21" t="s">
        <v>3361</v>
      </c>
      <c r="B1334" s="21" t="s">
        <v>4775</v>
      </c>
      <c r="C1334" s="21" t="s">
        <v>4732</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A0EDF-1EB3-4435-8B59-8ABD65494A26}">
  <sheetPr codeName="Planilha3"/>
  <dimension ref="A1:I2888"/>
  <sheetViews>
    <sheetView topLeftCell="A2" workbookViewId="0">
      <selection activeCell="B13" sqref="B13"/>
    </sheetView>
  </sheetViews>
  <sheetFormatPr defaultRowHeight="15" x14ac:dyDescent="0.25"/>
  <cols>
    <col min="1" max="1" width="26.85546875" bestFit="1" customWidth="1"/>
    <col min="2" max="2" width="4.28515625" bestFit="1" customWidth="1"/>
    <col min="3" max="3" width="6.42578125" bestFit="1" customWidth="1"/>
    <col min="4" max="4" width="5.5703125" bestFit="1" customWidth="1"/>
    <col min="5" max="5" width="6.28515625" bestFit="1" customWidth="1"/>
    <col min="6" max="6" width="6.7109375" bestFit="1" customWidth="1"/>
    <col min="7" max="7" width="6.42578125" bestFit="1" customWidth="1"/>
    <col min="8" max="8" width="27.85546875" bestFit="1" customWidth="1"/>
    <col min="9" max="9" width="8.140625" bestFit="1" customWidth="1"/>
    <col min="10" max="10" width="12.42578125" bestFit="1" customWidth="1"/>
    <col min="11" max="11" width="14.140625" bestFit="1" customWidth="1"/>
  </cols>
  <sheetData>
    <row r="1" spans="1:9" x14ac:dyDescent="0.25">
      <c r="A1" t="s">
        <v>0</v>
      </c>
      <c r="B1" t="s">
        <v>1</v>
      </c>
      <c r="C1" t="s">
        <v>2</v>
      </c>
      <c r="D1" t="s">
        <v>3</v>
      </c>
      <c r="E1" t="s">
        <v>4</v>
      </c>
      <c r="F1" t="s">
        <v>5</v>
      </c>
      <c r="G1" t="s">
        <v>6</v>
      </c>
      <c r="H1" t="s">
        <v>7</v>
      </c>
      <c r="I1" t="s">
        <v>2034</v>
      </c>
    </row>
    <row r="2" spans="1:9" x14ac:dyDescent="0.25">
      <c r="A2" s="21" t="s">
        <v>9</v>
      </c>
      <c r="B2">
        <v>11</v>
      </c>
      <c r="C2" s="21" t="s">
        <v>10</v>
      </c>
      <c r="D2" s="21" t="s">
        <v>11</v>
      </c>
      <c r="E2">
        <v>200</v>
      </c>
      <c r="F2">
        <v>24</v>
      </c>
      <c r="G2" s="21" t="s">
        <v>12</v>
      </c>
      <c r="H2" s="21" t="s">
        <v>13</v>
      </c>
      <c r="I2" s="21" t="s">
        <v>8</v>
      </c>
    </row>
    <row r="3" spans="1:9" x14ac:dyDescent="0.25">
      <c r="A3" s="21" t="s">
        <v>14</v>
      </c>
      <c r="B3">
        <v>51</v>
      </c>
      <c r="C3" s="21" t="s">
        <v>15</v>
      </c>
      <c r="D3" s="21" t="s">
        <v>4777</v>
      </c>
      <c r="E3">
        <v>228</v>
      </c>
      <c r="F3">
        <v>24</v>
      </c>
      <c r="G3" s="21" t="s">
        <v>16</v>
      </c>
      <c r="H3" s="21" t="s">
        <v>17</v>
      </c>
      <c r="I3" s="21" t="s">
        <v>8</v>
      </c>
    </row>
    <row r="4" spans="1:9" x14ac:dyDescent="0.25">
      <c r="A4" s="21" t="s">
        <v>18</v>
      </c>
      <c r="B4">
        <v>91</v>
      </c>
      <c r="C4" s="21" t="s">
        <v>19</v>
      </c>
      <c r="D4" s="21" t="s">
        <v>20</v>
      </c>
      <c r="E4">
        <v>290</v>
      </c>
      <c r="F4">
        <v>28</v>
      </c>
      <c r="G4" s="21" t="s">
        <v>21</v>
      </c>
      <c r="H4" s="21" t="s">
        <v>22</v>
      </c>
      <c r="I4" s="21" t="s">
        <v>8</v>
      </c>
    </row>
    <row r="5" spans="1:9" x14ac:dyDescent="0.25">
      <c r="A5" s="21" t="s">
        <v>23</v>
      </c>
      <c r="B5">
        <v>77</v>
      </c>
      <c r="C5" s="21" t="s">
        <v>19</v>
      </c>
      <c r="D5" s="21" t="s">
        <v>24</v>
      </c>
      <c r="E5">
        <v>307</v>
      </c>
      <c r="F5">
        <v>23</v>
      </c>
      <c r="G5" s="21" t="s">
        <v>25</v>
      </c>
      <c r="H5" s="21" t="s">
        <v>26</v>
      </c>
      <c r="I5" s="21" t="s">
        <v>8</v>
      </c>
    </row>
    <row r="6" spans="1:9" x14ac:dyDescent="0.25">
      <c r="A6" s="21" t="s">
        <v>27</v>
      </c>
      <c r="B6">
        <v>65</v>
      </c>
      <c r="C6" s="21" t="s">
        <v>28</v>
      </c>
      <c r="D6" s="21" t="s">
        <v>29</v>
      </c>
      <c r="E6">
        <v>325</v>
      </c>
      <c r="F6">
        <v>24</v>
      </c>
      <c r="G6" s="21" t="s">
        <v>30</v>
      </c>
      <c r="H6" s="21" t="s">
        <v>31</v>
      </c>
      <c r="I6" s="21" t="s">
        <v>8</v>
      </c>
    </row>
    <row r="7" spans="1:9" x14ac:dyDescent="0.25">
      <c r="A7" s="21" t="s">
        <v>32</v>
      </c>
      <c r="B7">
        <v>58</v>
      </c>
      <c r="C7" s="21" t="s">
        <v>19</v>
      </c>
      <c r="D7" s="21" t="s">
        <v>24</v>
      </c>
      <c r="E7">
        <v>250</v>
      </c>
      <c r="F7">
        <v>28</v>
      </c>
      <c r="G7" s="21" t="s">
        <v>30</v>
      </c>
      <c r="H7" s="21" t="s">
        <v>33</v>
      </c>
      <c r="I7" s="21" t="s">
        <v>8</v>
      </c>
    </row>
    <row r="8" spans="1:9" x14ac:dyDescent="0.25">
      <c r="A8" s="21" t="s">
        <v>34</v>
      </c>
      <c r="B8">
        <v>97</v>
      </c>
      <c r="C8" s="21" t="s">
        <v>19</v>
      </c>
      <c r="D8" s="21" t="s">
        <v>35</v>
      </c>
      <c r="E8">
        <v>266</v>
      </c>
      <c r="F8">
        <v>24</v>
      </c>
      <c r="G8" s="21" t="s">
        <v>16</v>
      </c>
      <c r="H8" s="21" t="s">
        <v>36</v>
      </c>
      <c r="I8" s="21" t="s">
        <v>8</v>
      </c>
    </row>
    <row r="9" spans="1:9" x14ac:dyDescent="0.25">
      <c r="A9" s="21" t="s">
        <v>37</v>
      </c>
      <c r="B9">
        <v>64</v>
      </c>
      <c r="C9" s="21" t="s">
        <v>28</v>
      </c>
      <c r="D9" s="21" t="s">
        <v>35</v>
      </c>
      <c r="E9">
        <v>299</v>
      </c>
      <c r="F9">
        <v>29</v>
      </c>
      <c r="G9" s="21" t="s">
        <v>38</v>
      </c>
      <c r="H9" s="21" t="s">
        <v>39</v>
      </c>
      <c r="I9" s="21" t="s">
        <v>8</v>
      </c>
    </row>
    <row r="10" spans="1:9" x14ac:dyDescent="0.25">
      <c r="A10" s="21" t="s">
        <v>40</v>
      </c>
      <c r="B10">
        <v>60</v>
      </c>
      <c r="C10" s="21" t="s">
        <v>28</v>
      </c>
      <c r="D10" s="21" t="s">
        <v>29</v>
      </c>
      <c r="E10">
        <v>300</v>
      </c>
      <c r="F10">
        <v>28</v>
      </c>
      <c r="G10" s="21" t="s">
        <v>16</v>
      </c>
      <c r="H10" s="21" t="s">
        <v>33</v>
      </c>
      <c r="I10" s="21" t="s">
        <v>8</v>
      </c>
    </row>
    <row r="11" spans="1:9" x14ac:dyDescent="0.25">
      <c r="A11" s="21" t="s">
        <v>41</v>
      </c>
      <c r="B11">
        <v>74</v>
      </c>
      <c r="C11" s="21" t="s">
        <v>28</v>
      </c>
      <c r="D11" s="21" t="s">
        <v>29</v>
      </c>
      <c r="E11">
        <v>300</v>
      </c>
      <c r="F11">
        <v>22</v>
      </c>
      <c r="G11" s="21" t="s">
        <v>25</v>
      </c>
      <c r="H11" s="21" t="s">
        <v>42</v>
      </c>
      <c r="I11" s="21" t="s">
        <v>8</v>
      </c>
    </row>
    <row r="12" spans="1:9" x14ac:dyDescent="0.25">
      <c r="A12" s="21" t="s">
        <v>43</v>
      </c>
      <c r="B12">
        <v>48</v>
      </c>
      <c r="C12" s="21" t="s">
        <v>15</v>
      </c>
      <c r="D12" s="21" t="s">
        <v>44</v>
      </c>
      <c r="E12">
        <v>233</v>
      </c>
      <c r="F12">
        <v>27</v>
      </c>
      <c r="G12" s="21" t="s">
        <v>45</v>
      </c>
      <c r="H12" s="21" t="s">
        <v>46</v>
      </c>
      <c r="I12" s="21" t="s">
        <v>8</v>
      </c>
    </row>
    <row r="13" spans="1:9" x14ac:dyDescent="0.25">
      <c r="A13" s="21" t="s">
        <v>47</v>
      </c>
      <c r="B13">
        <v>36</v>
      </c>
      <c r="C13" s="21" t="s">
        <v>48</v>
      </c>
      <c r="D13" s="21" t="s">
        <v>11</v>
      </c>
      <c r="E13">
        <v>197</v>
      </c>
      <c r="F13">
        <v>23</v>
      </c>
      <c r="G13" s="21" t="s">
        <v>25</v>
      </c>
      <c r="H13" s="21" t="s">
        <v>3251</v>
      </c>
      <c r="I13" s="21" t="s">
        <v>8</v>
      </c>
    </row>
    <row r="14" spans="1:9" x14ac:dyDescent="0.25">
      <c r="A14" s="21" t="s">
        <v>50</v>
      </c>
      <c r="B14">
        <v>32</v>
      </c>
      <c r="C14" s="21" t="s">
        <v>51</v>
      </c>
      <c r="D14" s="21" t="s">
        <v>52</v>
      </c>
      <c r="E14">
        <v>219</v>
      </c>
      <c r="F14">
        <v>21</v>
      </c>
      <c r="G14" s="21" t="s">
        <v>25</v>
      </c>
      <c r="H14" s="21" t="s">
        <v>267</v>
      </c>
      <c r="I14" s="21" t="s">
        <v>8</v>
      </c>
    </row>
    <row r="15" spans="1:9" x14ac:dyDescent="0.25">
      <c r="A15" s="21" t="s">
        <v>49</v>
      </c>
      <c r="B15">
        <v>93</v>
      </c>
      <c r="C15" s="21" t="s">
        <v>19</v>
      </c>
      <c r="D15" s="21" t="s">
        <v>24</v>
      </c>
      <c r="E15">
        <v>310</v>
      </c>
      <c r="F15">
        <v>23</v>
      </c>
      <c r="G15" s="21" t="s">
        <v>25</v>
      </c>
      <c r="H15" s="21" t="s">
        <v>3252</v>
      </c>
      <c r="I15" s="21" t="s">
        <v>8</v>
      </c>
    </row>
    <row r="16" spans="1:9" x14ac:dyDescent="0.25">
      <c r="A16" s="21" t="s">
        <v>53</v>
      </c>
      <c r="B16">
        <v>31</v>
      </c>
      <c r="C16" s="21" t="s">
        <v>48</v>
      </c>
      <c r="D16" s="21" t="s">
        <v>54</v>
      </c>
      <c r="E16">
        <v>202</v>
      </c>
      <c r="F16">
        <v>30</v>
      </c>
      <c r="G16" s="21" t="s">
        <v>21</v>
      </c>
      <c r="H16" s="21" t="s">
        <v>55</v>
      </c>
      <c r="I16" s="21" t="s">
        <v>8</v>
      </c>
    </row>
    <row r="17" spans="1:9" x14ac:dyDescent="0.25">
      <c r="A17" s="21" t="s">
        <v>56</v>
      </c>
      <c r="B17">
        <v>82</v>
      </c>
      <c r="C17" s="21" t="s">
        <v>57</v>
      </c>
      <c r="D17" s="21" t="s">
        <v>29</v>
      </c>
      <c r="E17">
        <v>235</v>
      </c>
      <c r="F17">
        <v>27</v>
      </c>
      <c r="G17" s="21" t="s">
        <v>45</v>
      </c>
      <c r="H17" s="21" t="s">
        <v>58</v>
      </c>
      <c r="I17" s="21" t="s">
        <v>8</v>
      </c>
    </row>
    <row r="18" spans="1:9" x14ac:dyDescent="0.25">
      <c r="A18" s="21" t="s">
        <v>59</v>
      </c>
      <c r="B18">
        <v>56</v>
      </c>
      <c r="C18" s="21" t="s">
        <v>19</v>
      </c>
      <c r="D18" s="21" t="s">
        <v>44</v>
      </c>
      <c r="E18">
        <v>245</v>
      </c>
      <c r="F18">
        <v>27</v>
      </c>
      <c r="G18" s="21" t="s">
        <v>38</v>
      </c>
      <c r="H18" s="21" t="s">
        <v>60</v>
      </c>
      <c r="I18" s="21" t="s">
        <v>8</v>
      </c>
    </row>
    <row r="19" spans="1:9" x14ac:dyDescent="0.25">
      <c r="A19" s="21" t="s">
        <v>61</v>
      </c>
      <c r="B19">
        <v>45</v>
      </c>
      <c r="C19" s="21" t="s">
        <v>15</v>
      </c>
      <c r="D19" s="21" t="s">
        <v>24</v>
      </c>
      <c r="E19">
        <v>223</v>
      </c>
      <c r="F19">
        <v>25</v>
      </c>
      <c r="G19" s="21" t="s">
        <v>12</v>
      </c>
      <c r="H19" s="21" t="s">
        <v>62</v>
      </c>
      <c r="I19" s="21" t="s">
        <v>8</v>
      </c>
    </row>
    <row r="20" spans="1:9" x14ac:dyDescent="0.25">
      <c r="A20" s="21" t="s">
        <v>63</v>
      </c>
      <c r="B20">
        <v>55</v>
      </c>
      <c r="C20" s="21" t="s">
        <v>19</v>
      </c>
      <c r="D20" s="21" t="s">
        <v>24</v>
      </c>
      <c r="E20">
        <v>252</v>
      </c>
      <c r="F20">
        <v>31</v>
      </c>
      <c r="G20" s="21" t="s">
        <v>64</v>
      </c>
      <c r="H20" s="21" t="s">
        <v>65</v>
      </c>
      <c r="I20" s="21" t="s">
        <v>8</v>
      </c>
    </row>
    <row r="21" spans="1:9" x14ac:dyDescent="0.25">
      <c r="A21" s="21" t="s">
        <v>66</v>
      </c>
      <c r="B21">
        <v>49</v>
      </c>
      <c r="C21" s="21" t="s">
        <v>57</v>
      </c>
      <c r="D21" s="21" t="s">
        <v>67</v>
      </c>
      <c r="E21">
        <v>248</v>
      </c>
      <c r="F21">
        <v>27</v>
      </c>
      <c r="G21" s="21" t="s">
        <v>45</v>
      </c>
      <c r="H21" s="21" t="s">
        <v>68</v>
      </c>
      <c r="I21" s="21" t="s">
        <v>8</v>
      </c>
    </row>
    <row r="22" spans="1:9" x14ac:dyDescent="0.25">
      <c r="A22" s="21" t="s">
        <v>69</v>
      </c>
      <c r="B22">
        <v>10</v>
      </c>
      <c r="C22" s="21" t="s">
        <v>70</v>
      </c>
      <c r="D22" s="21" t="s">
        <v>24</v>
      </c>
      <c r="E22">
        <v>225</v>
      </c>
      <c r="F22">
        <v>30</v>
      </c>
      <c r="G22" s="21" t="s">
        <v>64</v>
      </c>
      <c r="H22" s="21" t="s">
        <v>71</v>
      </c>
      <c r="I22" s="21" t="s">
        <v>8</v>
      </c>
    </row>
    <row r="23" spans="1:9" x14ac:dyDescent="0.25">
      <c r="A23" s="21" t="s">
        <v>72</v>
      </c>
      <c r="B23">
        <v>47</v>
      </c>
      <c r="C23" s="21" t="s">
        <v>15</v>
      </c>
      <c r="D23" s="21" t="s">
        <v>52</v>
      </c>
      <c r="E23">
        <v>225</v>
      </c>
      <c r="F23">
        <v>23</v>
      </c>
      <c r="G23" s="21" t="s">
        <v>25</v>
      </c>
      <c r="H23" s="21" t="s">
        <v>73</v>
      </c>
      <c r="I23" s="21" t="s">
        <v>8</v>
      </c>
    </row>
    <row r="24" spans="1:9" x14ac:dyDescent="0.25">
      <c r="A24" s="21" t="s">
        <v>74</v>
      </c>
      <c r="B24">
        <v>90</v>
      </c>
      <c r="C24" s="21" t="s">
        <v>19</v>
      </c>
      <c r="D24" s="21" t="s">
        <v>52</v>
      </c>
      <c r="E24">
        <v>285</v>
      </c>
      <c r="F24">
        <v>25</v>
      </c>
      <c r="G24" s="21" t="s">
        <v>12</v>
      </c>
      <c r="H24" s="21" t="s">
        <v>3251</v>
      </c>
      <c r="I24" s="21" t="s">
        <v>8</v>
      </c>
    </row>
    <row r="25" spans="1:9" x14ac:dyDescent="0.25">
      <c r="A25" s="21" t="s">
        <v>75</v>
      </c>
      <c r="B25">
        <v>9</v>
      </c>
      <c r="C25" s="21" t="s">
        <v>76</v>
      </c>
      <c r="D25" s="21" t="s">
        <v>11</v>
      </c>
      <c r="E25">
        <v>190</v>
      </c>
      <c r="F25">
        <v>39</v>
      </c>
      <c r="G25" s="21" t="s">
        <v>77</v>
      </c>
      <c r="H25" s="21" t="s">
        <v>3251</v>
      </c>
      <c r="I25" s="21" t="s">
        <v>8</v>
      </c>
    </row>
    <row r="26" spans="1:9" x14ac:dyDescent="0.25">
      <c r="A26" s="21" t="s">
        <v>78</v>
      </c>
      <c r="B26">
        <v>86</v>
      </c>
      <c r="C26" s="21" t="s">
        <v>10</v>
      </c>
      <c r="D26" s="21" t="s">
        <v>24</v>
      </c>
      <c r="E26">
        <v>200</v>
      </c>
      <c r="F26">
        <v>23</v>
      </c>
      <c r="G26" s="21" t="s">
        <v>25</v>
      </c>
      <c r="H26" s="21" t="s">
        <v>674</v>
      </c>
      <c r="I26" s="21" t="s">
        <v>8</v>
      </c>
    </row>
    <row r="27" spans="1:9" x14ac:dyDescent="0.25">
      <c r="A27" s="21" t="s">
        <v>79</v>
      </c>
      <c r="B27">
        <v>57</v>
      </c>
      <c r="C27" s="21" t="s">
        <v>15</v>
      </c>
      <c r="D27" s="21" t="s">
        <v>11</v>
      </c>
      <c r="E27">
        <v>230</v>
      </c>
      <c r="F27">
        <v>25</v>
      </c>
      <c r="G27" s="21" t="s">
        <v>16</v>
      </c>
      <c r="H27" s="21" t="s">
        <v>80</v>
      </c>
      <c r="I27" s="21" t="s">
        <v>8</v>
      </c>
    </row>
    <row r="28" spans="1:9" x14ac:dyDescent="0.25">
      <c r="A28" s="21" t="s">
        <v>81</v>
      </c>
      <c r="B28">
        <v>77</v>
      </c>
      <c r="C28" s="21" t="s">
        <v>28</v>
      </c>
      <c r="D28" s="21" t="s">
        <v>82</v>
      </c>
      <c r="E28">
        <v>332</v>
      </c>
      <c r="F28">
        <v>26</v>
      </c>
      <c r="G28" s="21" t="s">
        <v>83</v>
      </c>
      <c r="H28" s="21" t="s">
        <v>84</v>
      </c>
      <c r="I28" s="21" t="s">
        <v>8</v>
      </c>
    </row>
    <row r="29" spans="1:9" x14ac:dyDescent="0.25">
      <c r="A29" s="21" t="s">
        <v>85</v>
      </c>
      <c r="B29">
        <v>23</v>
      </c>
      <c r="C29" s="21" t="s">
        <v>51</v>
      </c>
      <c r="D29" s="21" t="s">
        <v>86</v>
      </c>
      <c r="E29">
        <v>205</v>
      </c>
      <c r="F29">
        <v>25</v>
      </c>
      <c r="G29" s="21" t="s">
        <v>12</v>
      </c>
      <c r="H29" s="21" t="s">
        <v>87</v>
      </c>
      <c r="I29" s="21" t="s">
        <v>8</v>
      </c>
    </row>
    <row r="30" spans="1:9" x14ac:dyDescent="0.25">
      <c r="A30" s="21" t="s">
        <v>88</v>
      </c>
      <c r="B30">
        <v>41</v>
      </c>
      <c r="C30" s="21" t="s">
        <v>89</v>
      </c>
      <c r="D30" s="21" t="s">
        <v>52</v>
      </c>
      <c r="E30">
        <v>205</v>
      </c>
      <c r="F30">
        <v>24</v>
      </c>
      <c r="G30" s="21" t="s">
        <v>25</v>
      </c>
      <c r="H30" s="21" t="s">
        <v>33</v>
      </c>
      <c r="I30" s="21" t="s">
        <v>8</v>
      </c>
    </row>
    <row r="31" spans="1:9" x14ac:dyDescent="0.25">
      <c r="A31" s="21" t="s">
        <v>90</v>
      </c>
      <c r="B31">
        <v>40</v>
      </c>
      <c r="C31" s="21" t="s">
        <v>91</v>
      </c>
      <c r="D31" s="21" t="s">
        <v>52</v>
      </c>
      <c r="E31">
        <v>225</v>
      </c>
      <c r="F31">
        <v>24</v>
      </c>
      <c r="G31" s="21" t="s">
        <v>83</v>
      </c>
      <c r="H31" s="21" t="s">
        <v>26</v>
      </c>
      <c r="I31" s="21" t="s">
        <v>8</v>
      </c>
    </row>
    <row r="32" spans="1:9" x14ac:dyDescent="0.25">
      <c r="A32" s="21" t="s">
        <v>92</v>
      </c>
      <c r="B32">
        <v>24</v>
      </c>
      <c r="C32" s="21" t="s">
        <v>48</v>
      </c>
      <c r="D32" s="21" t="s">
        <v>11</v>
      </c>
      <c r="E32">
        <v>196</v>
      </c>
      <c r="F32">
        <v>27</v>
      </c>
      <c r="G32" s="21" t="s">
        <v>12</v>
      </c>
      <c r="H32" s="21" t="s">
        <v>93</v>
      </c>
      <c r="I32" s="21" t="s">
        <v>8</v>
      </c>
    </row>
    <row r="33" spans="1:9" x14ac:dyDescent="0.25">
      <c r="A33" s="21" t="s">
        <v>94</v>
      </c>
      <c r="B33">
        <v>84</v>
      </c>
      <c r="C33" s="21" t="s">
        <v>57</v>
      </c>
      <c r="D33" s="21" t="s">
        <v>29</v>
      </c>
      <c r="E33">
        <v>239</v>
      </c>
      <c r="F33">
        <v>27</v>
      </c>
      <c r="G33" s="21" t="s">
        <v>12</v>
      </c>
      <c r="H33" s="21" t="s">
        <v>95</v>
      </c>
      <c r="I33" s="21" t="s">
        <v>8</v>
      </c>
    </row>
    <row r="34" spans="1:9" x14ac:dyDescent="0.25">
      <c r="A34" s="21" t="s">
        <v>96</v>
      </c>
      <c r="B34">
        <v>29</v>
      </c>
      <c r="C34" s="21" t="s">
        <v>89</v>
      </c>
      <c r="D34" s="21" t="s">
        <v>11</v>
      </c>
      <c r="E34">
        <v>200</v>
      </c>
      <c r="F34">
        <v>23</v>
      </c>
      <c r="G34" s="21" t="s">
        <v>30</v>
      </c>
      <c r="H34" s="21" t="s">
        <v>280</v>
      </c>
      <c r="I34" s="21" t="s">
        <v>8</v>
      </c>
    </row>
    <row r="35" spans="1:9" x14ac:dyDescent="0.25">
      <c r="A35" s="21" t="s">
        <v>97</v>
      </c>
      <c r="B35">
        <v>96</v>
      </c>
      <c r="C35" s="21" t="s">
        <v>19</v>
      </c>
      <c r="D35" s="21" t="s">
        <v>24</v>
      </c>
      <c r="E35">
        <v>291</v>
      </c>
      <c r="F35">
        <v>27</v>
      </c>
      <c r="G35" s="21" t="s">
        <v>45</v>
      </c>
      <c r="H35" s="21" t="s">
        <v>98</v>
      </c>
      <c r="I35" s="21" t="s">
        <v>8</v>
      </c>
    </row>
    <row r="36" spans="1:9" x14ac:dyDescent="0.25">
      <c r="A36" s="21" t="s">
        <v>99</v>
      </c>
      <c r="B36">
        <v>92</v>
      </c>
      <c r="C36" s="21" t="s">
        <v>19</v>
      </c>
      <c r="D36" s="21" t="s">
        <v>24</v>
      </c>
      <c r="E36">
        <v>275</v>
      </c>
      <c r="F36">
        <v>31</v>
      </c>
      <c r="G36" s="21" t="s">
        <v>100</v>
      </c>
      <c r="H36" s="21" t="s">
        <v>101</v>
      </c>
      <c r="I36" s="21" t="s">
        <v>8</v>
      </c>
    </row>
    <row r="37" spans="1:9" x14ac:dyDescent="0.25">
      <c r="A37" s="21" t="s">
        <v>102</v>
      </c>
      <c r="B37">
        <v>95</v>
      </c>
      <c r="C37" s="21" t="s">
        <v>19</v>
      </c>
      <c r="D37" s="21" t="s">
        <v>35</v>
      </c>
      <c r="E37">
        <v>273</v>
      </c>
      <c r="F37">
        <v>21</v>
      </c>
      <c r="G37" s="21" t="s">
        <v>25</v>
      </c>
      <c r="H37" s="21" t="s">
        <v>280</v>
      </c>
      <c r="I37" s="21" t="s">
        <v>8</v>
      </c>
    </row>
    <row r="38" spans="1:9" x14ac:dyDescent="0.25">
      <c r="A38" s="21" t="s">
        <v>103</v>
      </c>
      <c r="B38">
        <v>15</v>
      </c>
      <c r="C38" s="21" t="s">
        <v>10</v>
      </c>
      <c r="D38" s="21" t="s">
        <v>44</v>
      </c>
      <c r="E38">
        <v>212</v>
      </c>
      <c r="F38">
        <v>25</v>
      </c>
      <c r="G38" s="21" t="s">
        <v>30</v>
      </c>
      <c r="H38" s="21" t="s">
        <v>104</v>
      </c>
      <c r="I38" s="21" t="s">
        <v>8</v>
      </c>
    </row>
    <row r="39" spans="1:9" x14ac:dyDescent="0.25">
      <c r="A39" s="21" t="s">
        <v>105</v>
      </c>
      <c r="B39">
        <v>27</v>
      </c>
      <c r="C39" s="21" t="s">
        <v>48</v>
      </c>
      <c r="D39" s="21" t="s">
        <v>24</v>
      </c>
      <c r="E39">
        <v>200</v>
      </c>
      <c r="F39">
        <v>30</v>
      </c>
      <c r="G39" s="21" t="s">
        <v>64</v>
      </c>
      <c r="H39" s="21" t="s">
        <v>106</v>
      </c>
      <c r="I39" s="21" t="s">
        <v>8</v>
      </c>
    </row>
    <row r="40" spans="1:9" x14ac:dyDescent="0.25">
      <c r="A40" s="21" t="s">
        <v>107</v>
      </c>
      <c r="B40">
        <v>13</v>
      </c>
      <c r="C40" s="21" t="s">
        <v>10</v>
      </c>
      <c r="D40" s="21" t="s">
        <v>52</v>
      </c>
      <c r="E40">
        <v>201</v>
      </c>
      <c r="F40">
        <v>25</v>
      </c>
      <c r="G40" s="21" t="s">
        <v>12</v>
      </c>
      <c r="H40" s="21" t="s">
        <v>26</v>
      </c>
      <c r="I40" s="21" t="s">
        <v>8</v>
      </c>
    </row>
    <row r="41" spans="1:9" x14ac:dyDescent="0.25">
      <c r="A41" s="21" t="s">
        <v>108</v>
      </c>
      <c r="B41">
        <v>6</v>
      </c>
      <c r="C41" s="21" t="s">
        <v>10</v>
      </c>
      <c r="D41" s="21" t="s">
        <v>52</v>
      </c>
      <c r="E41">
        <v>207</v>
      </c>
      <c r="F41">
        <v>27</v>
      </c>
      <c r="G41" s="21" t="s">
        <v>38</v>
      </c>
      <c r="H41" s="21" t="s">
        <v>109</v>
      </c>
      <c r="I41" s="21" t="s">
        <v>8</v>
      </c>
    </row>
    <row r="42" spans="1:9" x14ac:dyDescent="0.25">
      <c r="A42" s="21" t="s">
        <v>110</v>
      </c>
      <c r="B42">
        <v>44</v>
      </c>
      <c r="C42" s="21" t="s">
        <v>91</v>
      </c>
      <c r="D42" s="21" t="s">
        <v>52</v>
      </c>
      <c r="E42">
        <v>235</v>
      </c>
      <c r="F42">
        <v>31</v>
      </c>
      <c r="G42" s="21" t="s">
        <v>111</v>
      </c>
      <c r="H42" s="21" t="s">
        <v>112</v>
      </c>
      <c r="I42" s="21" t="s">
        <v>8</v>
      </c>
    </row>
    <row r="43" spans="1:9" x14ac:dyDescent="0.25">
      <c r="A43" s="21" t="s">
        <v>113</v>
      </c>
      <c r="B43">
        <v>99</v>
      </c>
      <c r="C43" s="21" t="s">
        <v>114</v>
      </c>
      <c r="D43" s="21" t="s">
        <v>29</v>
      </c>
      <c r="E43">
        <v>319</v>
      </c>
      <c r="F43">
        <v>24</v>
      </c>
      <c r="G43" s="21" t="s">
        <v>12</v>
      </c>
      <c r="H43" s="21" t="s">
        <v>115</v>
      </c>
      <c r="I43" s="21" t="s">
        <v>8</v>
      </c>
    </row>
    <row r="44" spans="1:9" x14ac:dyDescent="0.25">
      <c r="A44" s="21" t="s">
        <v>116</v>
      </c>
      <c r="B44">
        <v>85</v>
      </c>
      <c r="C44" s="21" t="s">
        <v>57</v>
      </c>
      <c r="D44" s="21" t="s">
        <v>35</v>
      </c>
      <c r="E44">
        <v>250</v>
      </c>
      <c r="F44">
        <v>28</v>
      </c>
      <c r="G44" s="21" t="s">
        <v>38</v>
      </c>
      <c r="H44" s="21" t="s">
        <v>117</v>
      </c>
      <c r="I44" s="21" t="s">
        <v>8</v>
      </c>
    </row>
    <row r="45" spans="1:9" x14ac:dyDescent="0.25">
      <c r="A45" s="21" t="s">
        <v>118</v>
      </c>
      <c r="B45">
        <v>43</v>
      </c>
      <c r="C45" s="21" t="s">
        <v>48</v>
      </c>
      <c r="D45" s="21" t="s">
        <v>11</v>
      </c>
      <c r="E45">
        <v>199</v>
      </c>
      <c r="F45">
        <v>24</v>
      </c>
      <c r="G45" s="21" t="s">
        <v>25</v>
      </c>
      <c r="H45" s="21" t="s">
        <v>39</v>
      </c>
      <c r="I45" s="21" t="s">
        <v>8</v>
      </c>
    </row>
    <row r="46" spans="1:9" x14ac:dyDescent="0.25">
      <c r="A46" s="21" t="s">
        <v>119</v>
      </c>
      <c r="B46">
        <v>47</v>
      </c>
      <c r="C46" s="21" t="s">
        <v>57</v>
      </c>
      <c r="D46" s="21" t="s">
        <v>67</v>
      </c>
      <c r="E46">
        <v>252</v>
      </c>
      <c r="F46">
        <v>29</v>
      </c>
      <c r="G46" s="21" t="s">
        <v>21</v>
      </c>
      <c r="H46" s="21" t="s">
        <v>120</v>
      </c>
      <c r="I46" s="21" t="s">
        <v>8</v>
      </c>
    </row>
    <row r="47" spans="1:9" x14ac:dyDescent="0.25">
      <c r="A47" s="21" t="s">
        <v>121</v>
      </c>
      <c r="B47">
        <v>5</v>
      </c>
      <c r="C47" s="21" t="s">
        <v>70</v>
      </c>
      <c r="D47" s="21" t="s">
        <v>35</v>
      </c>
      <c r="E47">
        <v>224</v>
      </c>
      <c r="F47">
        <v>22</v>
      </c>
      <c r="G47" s="21" t="s">
        <v>30</v>
      </c>
      <c r="H47" s="21" t="s">
        <v>122</v>
      </c>
      <c r="I47" s="21" t="s">
        <v>8</v>
      </c>
    </row>
    <row r="48" spans="1:9" x14ac:dyDescent="0.25">
      <c r="A48" s="21" t="s">
        <v>123</v>
      </c>
      <c r="B48">
        <v>38</v>
      </c>
      <c r="C48" s="21" t="s">
        <v>124</v>
      </c>
      <c r="D48" s="21" t="s">
        <v>125</v>
      </c>
      <c r="E48">
        <v>200</v>
      </c>
      <c r="F48">
        <v>22</v>
      </c>
      <c r="G48" s="21" t="s">
        <v>30</v>
      </c>
      <c r="H48" s="21" t="s">
        <v>22</v>
      </c>
      <c r="I48" s="21" t="s">
        <v>8</v>
      </c>
    </row>
    <row r="49" spans="1:9" x14ac:dyDescent="0.25">
      <c r="A49" s="21" t="s">
        <v>126</v>
      </c>
      <c r="B49">
        <v>81</v>
      </c>
      <c r="C49" s="21" t="s">
        <v>10</v>
      </c>
      <c r="D49" s="21" t="s">
        <v>24</v>
      </c>
      <c r="E49">
        <v>215</v>
      </c>
      <c r="F49">
        <v>24</v>
      </c>
      <c r="G49" s="21" t="s">
        <v>30</v>
      </c>
      <c r="H49" s="21" t="s">
        <v>36</v>
      </c>
      <c r="I49" s="21" t="s">
        <v>8</v>
      </c>
    </row>
    <row r="50" spans="1:9" x14ac:dyDescent="0.25">
      <c r="A50" s="21" t="s">
        <v>127</v>
      </c>
      <c r="B50">
        <v>18</v>
      </c>
      <c r="C50" s="21" t="s">
        <v>10</v>
      </c>
      <c r="D50" s="21" t="s">
        <v>24</v>
      </c>
      <c r="E50">
        <v>190</v>
      </c>
      <c r="F50">
        <v>23</v>
      </c>
      <c r="G50" s="21" t="s">
        <v>25</v>
      </c>
      <c r="H50" s="21" t="s">
        <v>128</v>
      </c>
      <c r="I50" s="21" t="s">
        <v>8</v>
      </c>
    </row>
    <row r="51" spans="1:9" x14ac:dyDescent="0.25">
      <c r="A51" s="21" t="s">
        <v>129</v>
      </c>
      <c r="B51">
        <v>83</v>
      </c>
      <c r="C51" s="21" t="s">
        <v>10</v>
      </c>
      <c r="D51" s="21" t="s">
        <v>44</v>
      </c>
      <c r="E51">
        <v>185</v>
      </c>
      <c r="F51">
        <v>24</v>
      </c>
      <c r="G51" s="21" t="s">
        <v>25</v>
      </c>
      <c r="H51" s="21" t="s">
        <v>130</v>
      </c>
      <c r="I51" s="21" t="s">
        <v>8</v>
      </c>
    </row>
    <row r="52" spans="1:9" x14ac:dyDescent="0.25">
      <c r="A52" s="21" t="s">
        <v>131</v>
      </c>
      <c r="B52">
        <v>41</v>
      </c>
      <c r="C52" s="21" t="s">
        <v>51</v>
      </c>
      <c r="D52" s="21" t="s">
        <v>54</v>
      </c>
      <c r="E52">
        <v>223</v>
      </c>
      <c r="F52">
        <v>23</v>
      </c>
      <c r="G52" s="21" t="s">
        <v>25</v>
      </c>
      <c r="H52" s="21" t="s">
        <v>132</v>
      </c>
      <c r="I52" s="21" t="s">
        <v>8</v>
      </c>
    </row>
    <row r="53" spans="1:9" x14ac:dyDescent="0.25">
      <c r="A53" s="21" t="s">
        <v>133</v>
      </c>
      <c r="B53">
        <v>88</v>
      </c>
      <c r="C53" s="21" t="s">
        <v>57</v>
      </c>
      <c r="D53" s="21" t="s">
        <v>44</v>
      </c>
      <c r="E53">
        <v>236</v>
      </c>
      <c r="F53">
        <v>30</v>
      </c>
      <c r="G53" s="21" t="s">
        <v>100</v>
      </c>
      <c r="H53" s="21" t="s">
        <v>46</v>
      </c>
      <c r="I53" s="21" t="s">
        <v>8</v>
      </c>
    </row>
    <row r="54" spans="1:9" x14ac:dyDescent="0.25">
      <c r="A54" s="21" t="s">
        <v>134</v>
      </c>
      <c r="B54">
        <v>3</v>
      </c>
      <c r="C54" s="21" t="s">
        <v>10</v>
      </c>
      <c r="D54" s="21" t="s">
        <v>135</v>
      </c>
      <c r="E54">
        <v>190</v>
      </c>
      <c r="F54">
        <v>25</v>
      </c>
      <c r="G54" s="21" t="s">
        <v>45</v>
      </c>
      <c r="H54" s="21" t="s">
        <v>136</v>
      </c>
      <c r="I54" s="21" t="s">
        <v>8</v>
      </c>
    </row>
    <row r="55" spans="1:9" x14ac:dyDescent="0.25">
      <c r="A55" s="21" t="s">
        <v>137</v>
      </c>
      <c r="B55">
        <v>40</v>
      </c>
      <c r="C55" s="21" t="s">
        <v>15</v>
      </c>
      <c r="D55" s="21" t="s">
        <v>11</v>
      </c>
      <c r="E55">
        <v>214</v>
      </c>
      <c r="F55">
        <v>23</v>
      </c>
      <c r="G55" s="21" t="s">
        <v>25</v>
      </c>
      <c r="H55" s="21" t="s">
        <v>138</v>
      </c>
      <c r="I55" s="21" t="s">
        <v>8</v>
      </c>
    </row>
    <row r="56" spans="1:9" x14ac:dyDescent="0.25">
      <c r="A56" s="21" t="s">
        <v>139</v>
      </c>
      <c r="B56">
        <v>69</v>
      </c>
      <c r="C56" s="21" t="s">
        <v>140</v>
      </c>
      <c r="D56" s="21" t="s">
        <v>141</v>
      </c>
      <c r="E56">
        <v>310</v>
      </c>
      <c r="F56">
        <v>27</v>
      </c>
      <c r="G56" s="21" t="s">
        <v>45</v>
      </c>
      <c r="H56" s="21" t="s">
        <v>31</v>
      </c>
      <c r="I56" s="21" t="s">
        <v>8</v>
      </c>
    </row>
    <row r="57" spans="1:9" x14ac:dyDescent="0.25">
      <c r="A57" s="21" t="s">
        <v>142</v>
      </c>
      <c r="B57">
        <v>68</v>
      </c>
      <c r="C57" s="21" t="s">
        <v>28</v>
      </c>
      <c r="D57" s="21" t="s">
        <v>67</v>
      </c>
      <c r="E57">
        <v>301</v>
      </c>
      <c r="F57">
        <v>25</v>
      </c>
      <c r="G57" s="21" t="s">
        <v>12</v>
      </c>
      <c r="H57" s="21" t="s">
        <v>143</v>
      </c>
      <c r="I57" s="21" t="s">
        <v>8</v>
      </c>
    </row>
    <row r="58" spans="1:9" x14ac:dyDescent="0.25">
      <c r="A58" s="21" t="s">
        <v>144</v>
      </c>
      <c r="B58">
        <v>25</v>
      </c>
      <c r="C58" s="21" t="s">
        <v>51</v>
      </c>
      <c r="D58" s="21" t="s">
        <v>125</v>
      </c>
      <c r="E58">
        <v>200</v>
      </c>
      <c r="F58">
        <v>24</v>
      </c>
      <c r="G58" s="21" t="s">
        <v>30</v>
      </c>
      <c r="H58" s="21" t="s">
        <v>145</v>
      </c>
      <c r="I58" s="21" t="s">
        <v>8</v>
      </c>
    </row>
    <row r="59" spans="1:9" x14ac:dyDescent="0.25">
      <c r="A59" s="21" t="s">
        <v>146</v>
      </c>
      <c r="B59">
        <v>76</v>
      </c>
      <c r="C59" s="21" t="s">
        <v>28</v>
      </c>
      <c r="D59" s="21" t="s">
        <v>35</v>
      </c>
      <c r="E59">
        <v>311</v>
      </c>
      <c r="F59">
        <v>24</v>
      </c>
      <c r="G59" s="21" t="s">
        <v>30</v>
      </c>
      <c r="H59" s="21" t="s">
        <v>147</v>
      </c>
      <c r="I59" s="21" t="s">
        <v>8</v>
      </c>
    </row>
    <row r="60" spans="1:9" x14ac:dyDescent="0.25">
      <c r="A60" s="21" t="s">
        <v>148</v>
      </c>
      <c r="B60">
        <v>33</v>
      </c>
      <c r="C60" s="21" t="s">
        <v>124</v>
      </c>
      <c r="D60" s="21" t="s">
        <v>24</v>
      </c>
      <c r="E60">
        <v>200</v>
      </c>
      <c r="F60">
        <v>25</v>
      </c>
      <c r="G60" s="21" t="s">
        <v>45</v>
      </c>
      <c r="H60" s="21" t="s">
        <v>149</v>
      </c>
      <c r="I60" s="21" t="s">
        <v>8</v>
      </c>
    </row>
    <row r="61" spans="1:9" x14ac:dyDescent="0.25">
      <c r="A61" s="21" t="s">
        <v>150</v>
      </c>
      <c r="B61">
        <v>4</v>
      </c>
      <c r="C61" s="21" t="s">
        <v>48</v>
      </c>
      <c r="D61" s="21" t="s">
        <v>54</v>
      </c>
      <c r="E61">
        <v>190</v>
      </c>
      <c r="F61">
        <v>26</v>
      </c>
      <c r="G61" s="21" t="s">
        <v>45</v>
      </c>
      <c r="H61" s="21" t="s">
        <v>104</v>
      </c>
      <c r="I61" s="21" t="s">
        <v>8</v>
      </c>
    </row>
    <row r="62" spans="1:9" x14ac:dyDescent="0.25">
      <c r="A62" s="21" t="s">
        <v>151</v>
      </c>
      <c r="B62">
        <v>14</v>
      </c>
      <c r="C62" s="21" t="s">
        <v>89</v>
      </c>
      <c r="D62" s="21" t="s">
        <v>52</v>
      </c>
      <c r="E62">
        <v>210</v>
      </c>
      <c r="F62">
        <v>23</v>
      </c>
      <c r="G62" s="21" t="s">
        <v>25</v>
      </c>
      <c r="H62" s="21" t="s">
        <v>152</v>
      </c>
      <c r="I62" s="21" t="s">
        <v>8</v>
      </c>
    </row>
    <row r="63" spans="1:9" x14ac:dyDescent="0.25">
      <c r="A63" s="21" t="s">
        <v>153</v>
      </c>
      <c r="B63">
        <v>30</v>
      </c>
      <c r="C63" s="21" t="s">
        <v>89</v>
      </c>
      <c r="D63" s="21" t="s">
        <v>52</v>
      </c>
      <c r="E63">
        <v>202</v>
      </c>
      <c r="F63">
        <v>28</v>
      </c>
      <c r="G63" s="21" t="s">
        <v>45</v>
      </c>
      <c r="H63" s="21" t="s">
        <v>154</v>
      </c>
      <c r="I63" s="21" t="s">
        <v>8</v>
      </c>
    </row>
    <row r="64" spans="1:9" x14ac:dyDescent="0.25">
      <c r="A64" s="21" t="s">
        <v>155</v>
      </c>
      <c r="B64">
        <v>49</v>
      </c>
      <c r="C64" s="21" t="s">
        <v>15</v>
      </c>
      <c r="D64" s="21" t="s">
        <v>24</v>
      </c>
      <c r="E64">
        <v>220</v>
      </c>
      <c r="F64">
        <v>22</v>
      </c>
      <c r="G64" s="21" t="s">
        <v>25</v>
      </c>
      <c r="H64" s="21" t="s">
        <v>33</v>
      </c>
      <c r="I64" s="21" t="s">
        <v>8</v>
      </c>
    </row>
    <row r="65" spans="1:9" x14ac:dyDescent="0.25">
      <c r="A65" s="21" t="s">
        <v>156</v>
      </c>
      <c r="B65">
        <v>94</v>
      </c>
      <c r="C65" s="21" t="s">
        <v>19</v>
      </c>
      <c r="D65" s="21" t="s">
        <v>29</v>
      </c>
      <c r="E65">
        <v>280</v>
      </c>
      <c r="F65">
        <v>24</v>
      </c>
      <c r="G65" s="21" t="s">
        <v>16</v>
      </c>
      <c r="H65" s="21" t="s">
        <v>109</v>
      </c>
      <c r="I65" s="21" t="s">
        <v>8</v>
      </c>
    </row>
    <row r="66" spans="1:9" x14ac:dyDescent="0.25">
      <c r="A66" s="21" t="s">
        <v>157</v>
      </c>
      <c r="B66">
        <v>46</v>
      </c>
      <c r="C66" s="21" t="s">
        <v>158</v>
      </c>
      <c r="D66" s="21" t="s">
        <v>35</v>
      </c>
      <c r="E66">
        <v>245</v>
      </c>
      <c r="F66">
        <v>28</v>
      </c>
      <c r="G66" s="21" t="s">
        <v>45</v>
      </c>
      <c r="H66" s="21" t="s">
        <v>55</v>
      </c>
      <c r="I66" s="21" t="s">
        <v>8</v>
      </c>
    </row>
    <row r="67" spans="1:9" x14ac:dyDescent="0.25">
      <c r="A67" s="21" t="s">
        <v>159</v>
      </c>
      <c r="B67">
        <v>62</v>
      </c>
      <c r="C67" s="21" t="s">
        <v>28</v>
      </c>
      <c r="D67" s="21" t="s">
        <v>52</v>
      </c>
      <c r="E67">
        <v>300</v>
      </c>
      <c r="F67">
        <v>24</v>
      </c>
      <c r="G67" s="21" t="s">
        <v>25</v>
      </c>
      <c r="H67" s="21" t="s">
        <v>160</v>
      </c>
      <c r="I67" s="21" t="s">
        <v>8</v>
      </c>
    </row>
    <row r="68" spans="1:9" x14ac:dyDescent="0.25">
      <c r="A68" s="21" t="s">
        <v>161</v>
      </c>
      <c r="B68">
        <v>14</v>
      </c>
      <c r="C68" s="21" t="s">
        <v>70</v>
      </c>
      <c r="D68" s="21" t="s">
        <v>52</v>
      </c>
      <c r="E68">
        <v>220</v>
      </c>
      <c r="F68">
        <v>22</v>
      </c>
      <c r="G68" s="21" t="s">
        <v>25</v>
      </c>
      <c r="H68" s="21" t="s">
        <v>162</v>
      </c>
      <c r="I68" s="21" t="s">
        <v>8</v>
      </c>
    </row>
    <row r="69" spans="1:9" x14ac:dyDescent="0.25">
      <c r="A69" s="21" t="s">
        <v>163</v>
      </c>
      <c r="B69">
        <v>98</v>
      </c>
      <c r="C69" s="21" t="s">
        <v>19</v>
      </c>
      <c r="D69" s="21" t="s">
        <v>44</v>
      </c>
      <c r="E69">
        <v>305</v>
      </c>
      <c r="F69">
        <v>27</v>
      </c>
      <c r="G69" s="21" t="s">
        <v>100</v>
      </c>
      <c r="H69" s="21" t="s">
        <v>109</v>
      </c>
      <c r="I69" s="21" t="s">
        <v>8</v>
      </c>
    </row>
    <row r="70" spans="1:9" x14ac:dyDescent="0.25">
      <c r="A70" s="21" t="s">
        <v>164</v>
      </c>
      <c r="B70">
        <v>59</v>
      </c>
      <c r="C70" s="21" t="s">
        <v>15</v>
      </c>
      <c r="D70" s="21" t="s">
        <v>44</v>
      </c>
      <c r="E70">
        <v>235</v>
      </c>
      <c r="F70">
        <v>24</v>
      </c>
      <c r="G70" s="21" t="s">
        <v>30</v>
      </c>
      <c r="H70" s="21" t="s">
        <v>165</v>
      </c>
      <c r="I70" s="21" t="s">
        <v>8</v>
      </c>
    </row>
    <row r="71" spans="1:9" x14ac:dyDescent="0.25">
      <c r="A71" s="21" t="s">
        <v>166</v>
      </c>
      <c r="B71">
        <v>19</v>
      </c>
      <c r="C71" s="21" t="s">
        <v>10</v>
      </c>
      <c r="D71" s="21" t="s">
        <v>11</v>
      </c>
      <c r="E71">
        <v>215</v>
      </c>
      <c r="F71">
        <v>26</v>
      </c>
      <c r="G71" s="21" t="s">
        <v>16</v>
      </c>
      <c r="H71" s="21" t="s">
        <v>115</v>
      </c>
      <c r="I71" s="21" t="s">
        <v>8</v>
      </c>
    </row>
    <row r="72" spans="1:9" x14ac:dyDescent="0.25">
      <c r="A72" s="21" t="s">
        <v>167</v>
      </c>
      <c r="B72">
        <v>78</v>
      </c>
      <c r="C72" s="21" t="s">
        <v>28</v>
      </c>
      <c r="D72" s="21" t="s">
        <v>67</v>
      </c>
      <c r="E72">
        <v>309</v>
      </c>
      <c r="F72">
        <v>24</v>
      </c>
      <c r="G72" s="21" t="s">
        <v>25</v>
      </c>
      <c r="H72" s="21" t="s">
        <v>168</v>
      </c>
      <c r="I72" s="21" t="s">
        <v>8</v>
      </c>
    </row>
    <row r="73" spans="1:9" x14ac:dyDescent="0.25">
      <c r="A73" s="21" t="s">
        <v>169</v>
      </c>
      <c r="B73">
        <v>28</v>
      </c>
      <c r="C73" s="21" t="s">
        <v>51</v>
      </c>
      <c r="D73" s="21" t="s">
        <v>11</v>
      </c>
      <c r="E73">
        <v>215</v>
      </c>
      <c r="F73">
        <v>23</v>
      </c>
      <c r="G73" s="21" t="s">
        <v>30</v>
      </c>
      <c r="H73" s="21" t="s">
        <v>36</v>
      </c>
      <c r="I73" s="21" t="s">
        <v>8</v>
      </c>
    </row>
    <row r="74" spans="1:9" x14ac:dyDescent="0.25">
      <c r="A74" s="21" t="s">
        <v>170</v>
      </c>
      <c r="B74">
        <v>67</v>
      </c>
      <c r="C74" s="21" t="s">
        <v>28</v>
      </c>
      <c r="D74" s="21" t="s">
        <v>67</v>
      </c>
      <c r="E74">
        <v>315</v>
      </c>
      <c r="F74">
        <v>25</v>
      </c>
      <c r="G74" s="21" t="s">
        <v>16</v>
      </c>
      <c r="H74" s="21" t="s">
        <v>46</v>
      </c>
      <c r="I74" s="21" t="s">
        <v>8</v>
      </c>
    </row>
    <row r="75" spans="1:9" x14ac:dyDescent="0.25">
      <c r="A75" s="21" t="s">
        <v>171</v>
      </c>
      <c r="B75">
        <v>7</v>
      </c>
      <c r="C75" s="21" t="s">
        <v>70</v>
      </c>
      <c r="D75" s="21" t="s">
        <v>67</v>
      </c>
      <c r="E75">
        <v>227</v>
      </c>
      <c r="F75">
        <v>28</v>
      </c>
      <c r="G75" s="21" t="s">
        <v>38</v>
      </c>
      <c r="H75" s="21" t="s">
        <v>138</v>
      </c>
      <c r="I75" s="21" t="s">
        <v>8</v>
      </c>
    </row>
    <row r="76" spans="1:9" x14ac:dyDescent="0.25">
      <c r="A76" s="21" t="s">
        <v>172</v>
      </c>
      <c r="B76">
        <v>66</v>
      </c>
      <c r="C76" s="21" t="s">
        <v>28</v>
      </c>
      <c r="D76" s="21" t="s">
        <v>29</v>
      </c>
      <c r="E76">
        <v>315</v>
      </c>
      <c r="F76">
        <v>25</v>
      </c>
      <c r="G76" s="21" t="s">
        <v>12</v>
      </c>
      <c r="H76" s="21" t="s">
        <v>152</v>
      </c>
      <c r="I76" s="21" t="s">
        <v>8</v>
      </c>
    </row>
    <row r="77" spans="1:9" x14ac:dyDescent="0.25">
      <c r="A77" s="21" t="s">
        <v>173</v>
      </c>
      <c r="B77">
        <v>20</v>
      </c>
      <c r="C77" s="21" t="s">
        <v>48</v>
      </c>
      <c r="D77" s="21" t="s">
        <v>11</v>
      </c>
      <c r="E77">
        <v>190</v>
      </c>
      <c r="F77">
        <v>22</v>
      </c>
      <c r="G77" s="21" t="s">
        <v>30</v>
      </c>
      <c r="H77" s="21" t="s">
        <v>98</v>
      </c>
      <c r="I77" s="21" t="s">
        <v>8</v>
      </c>
    </row>
    <row r="78" spans="1:9" x14ac:dyDescent="0.25">
      <c r="A78" s="21" t="s">
        <v>174</v>
      </c>
      <c r="B78">
        <v>53</v>
      </c>
      <c r="C78" s="21" t="s">
        <v>19</v>
      </c>
      <c r="D78" s="21" t="s">
        <v>29</v>
      </c>
      <c r="E78">
        <v>253</v>
      </c>
      <c r="F78">
        <v>27</v>
      </c>
      <c r="G78" s="21" t="s">
        <v>45</v>
      </c>
      <c r="H78" s="21" t="s">
        <v>120</v>
      </c>
      <c r="I78" s="21" t="s">
        <v>8</v>
      </c>
    </row>
    <row r="79" spans="1:9" x14ac:dyDescent="0.25">
      <c r="A79" s="21" t="s">
        <v>175</v>
      </c>
      <c r="B79">
        <v>17</v>
      </c>
      <c r="C79" s="21" t="s">
        <v>10</v>
      </c>
      <c r="D79" s="21" t="s">
        <v>24</v>
      </c>
      <c r="E79">
        <v>202</v>
      </c>
      <c r="F79">
        <v>26</v>
      </c>
      <c r="G79" s="21" t="s">
        <v>45</v>
      </c>
      <c r="H79" s="21" t="s">
        <v>176</v>
      </c>
      <c r="I79" s="21" t="s">
        <v>8</v>
      </c>
    </row>
    <row r="80" spans="1:9" x14ac:dyDescent="0.25">
      <c r="A80" s="21" t="s">
        <v>177</v>
      </c>
      <c r="B80">
        <v>2</v>
      </c>
      <c r="C80" s="21" t="s">
        <v>48</v>
      </c>
      <c r="D80" s="21" t="s">
        <v>125</v>
      </c>
      <c r="E80">
        <v>188</v>
      </c>
      <c r="F80">
        <v>31</v>
      </c>
      <c r="G80" s="21" t="s">
        <v>64</v>
      </c>
      <c r="H80" s="21" t="s">
        <v>618</v>
      </c>
      <c r="I80" s="21" t="s">
        <v>8</v>
      </c>
    </row>
    <row r="81" spans="1:9" x14ac:dyDescent="0.25">
      <c r="A81" s="21" t="s">
        <v>178</v>
      </c>
      <c r="B81">
        <v>35</v>
      </c>
      <c r="C81" s="21" t="s">
        <v>48</v>
      </c>
      <c r="D81" s="21" t="s">
        <v>52</v>
      </c>
      <c r="E81">
        <v>196</v>
      </c>
      <c r="F81">
        <v>26</v>
      </c>
      <c r="G81" s="21" t="s">
        <v>45</v>
      </c>
      <c r="H81" s="21" t="s">
        <v>179</v>
      </c>
      <c r="I81" s="21" t="s">
        <v>8</v>
      </c>
    </row>
    <row r="82" spans="1:9" x14ac:dyDescent="0.25">
      <c r="A82" s="21" t="s">
        <v>180</v>
      </c>
      <c r="B82">
        <v>1</v>
      </c>
      <c r="C82" s="21" t="s">
        <v>124</v>
      </c>
      <c r="D82" s="21" t="s">
        <v>54</v>
      </c>
      <c r="E82">
        <v>195</v>
      </c>
      <c r="F82">
        <v>31</v>
      </c>
      <c r="G82" s="21" t="s">
        <v>64</v>
      </c>
      <c r="H82" s="21" t="s">
        <v>181</v>
      </c>
      <c r="I82" s="21" t="s">
        <v>8</v>
      </c>
    </row>
    <row r="83" spans="1:9" x14ac:dyDescent="0.25">
      <c r="A83" s="21" t="s">
        <v>182</v>
      </c>
      <c r="B83">
        <v>54</v>
      </c>
      <c r="C83" s="21" t="s">
        <v>15</v>
      </c>
      <c r="D83" s="21" t="s">
        <v>44</v>
      </c>
      <c r="E83">
        <v>230</v>
      </c>
      <c r="F83">
        <v>25</v>
      </c>
      <c r="G83" s="21" t="s">
        <v>45</v>
      </c>
      <c r="H83" s="21" t="s">
        <v>204</v>
      </c>
      <c r="I83" s="21" t="s">
        <v>8</v>
      </c>
    </row>
    <row r="84" spans="1:9" x14ac:dyDescent="0.25">
      <c r="A84" s="21" t="s">
        <v>183</v>
      </c>
      <c r="B84">
        <v>61</v>
      </c>
      <c r="C84" s="21" t="s">
        <v>184</v>
      </c>
      <c r="D84" s="21" t="s">
        <v>35</v>
      </c>
      <c r="E84">
        <v>300</v>
      </c>
      <c r="F84">
        <v>21</v>
      </c>
      <c r="G84" s="21" t="s">
        <v>25</v>
      </c>
      <c r="H84" s="21" t="s">
        <v>13</v>
      </c>
      <c r="I84" s="21" t="s">
        <v>8</v>
      </c>
    </row>
    <row r="85" spans="1:9" x14ac:dyDescent="0.25">
      <c r="A85" s="21" t="s">
        <v>185</v>
      </c>
      <c r="B85">
        <v>71</v>
      </c>
      <c r="C85" s="21" t="s">
        <v>140</v>
      </c>
      <c r="D85" s="21" t="s">
        <v>29</v>
      </c>
      <c r="E85">
        <v>320</v>
      </c>
      <c r="F85">
        <v>34</v>
      </c>
      <c r="G85" s="21" t="s">
        <v>186</v>
      </c>
      <c r="H85" s="21" t="s">
        <v>187</v>
      </c>
      <c r="I85" s="21" t="s">
        <v>8</v>
      </c>
    </row>
    <row r="86" spans="1:9" x14ac:dyDescent="0.25">
      <c r="A86" s="21" t="s">
        <v>188</v>
      </c>
      <c r="B86">
        <v>75</v>
      </c>
      <c r="C86" s="21" t="s">
        <v>19</v>
      </c>
      <c r="D86" s="21" t="s">
        <v>35</v>
      </c>
      <c r="E86">
        <v>270</v>
      </c>
      <c r="F86">
        <v>27</v>
      </c>
      <c r="G86" s="21" t="s">
        <v>38</v>
      </c>
      <c r="H86" s="21" t="s">
        <v>189</v>
      </c>
      <c r="I86" s="21" t="s">
        <v>8</v>
      </c>
    </row>
    <row r="87" spans="1:9" x14ac:dyDescent="0.25">
      <c r="A87" s="21" t="s">
        <v>190</v>
      </c>
      <c r="B87">
        <v>22</v>
      </c>
      <c r="C87" s="21" t="s">
        <v>51</v>
      </c>
      <c r="D87" s="21" t="s">
        <v>11</v>
      </c>
      <c r="E87">
        <v>213</v>
      </c>
      <c r="F87">
        <v>26</v>
      </c>
      <c r="G87" s="21" t="s">
        <v>45</v>
      </c>
      <c r="H87" s="21" t="s">
        <v>191</v>
      </c>
      <c r="I87" s="21" t="s">
        <v>8</v>
      </c>
    </row>
    <row r="88" spans="1:9" x14ac:dyDescent="0.25">
      <c r="A88" s="21" t="s">
        <v>192</v>
      </c>
      <c r="B88">
        <v>18</v>
      </c>
      <c r="C88" s="21" t="s">
        <v>193</v>
      </c>
      <c r="D88" s="21" t="s">
        <v>24</v>
      </c>
      <c r="E88">
        <v>220</v>
      </c>
      <c r="F88">
        <v>30</v>
      </c>
      <c r="G88" s="21" t="s">
        <v>16</v>
      </c>
      <c r="H88" s="21" t="s">
        <v>194</v>
      </c>
      <c r="I88" s="21" t="s">
        <v>8</v>
      </c>
    </row>
    <row r="89" spans="1:9" x14ac:dyDescent="0.25">
      <c r="A89" s="21" t="s">
        <v>195</v>
      </c>
      <c r="B89">
        <v>89</v>
      </c>
      <c r="C89" s="21" t="s">
        <v>57</v>
      </c>
      <c r="D89" s="21" t="s">
        <v>29</v>
      </c>
      <c r="E89">
        <v>241</v>
      </c>
      <c r="F89">
        <v>24</v>
      </c>
      <c r="G89" s="21" t="s">
        <v>12</v>
      </c>
      <c r="H89" s="21" t="s">
        <v>196</v>
      </c>
      <c r="I89" s="21" t="s">
        <v>8</v>
      </c>
    </row>
    <row r="90" spans="1:9" x14ac:dyDescent="0.25">
      <c r="A90" s="21" t="s">
        <v>197</v>
      </c>
      <c r="B90">
        <v>26</v>
      </c>
      <c r="C90" s="21" t="s">
        <v>48</v>
      </c>
      <c r="D90" s="21" t="s">
        <v>125</v>
      </c>
      <c r="E90">
        <v>187</v>
      </c>
      <c r="F90">
        <v>23</v>
      </c>
      <c r="G90" s="21" t="s">
        <v>25</v>
      </c>
      <c r="H90" s="21" t="s">
        <v>93</v>
      </c>
      <c r="I90" s="21" t="s">
        <v>8</v>
      </c>
    </row>
    <row r="91" spans="1:9" x14ac:dyDescent="0.25">
      <c r="A91" s="21" t="s">
        <v>198</v>
      </c>
      <c r="B91">
        <v>63</v>
      </c>
      <c r="C91" s="21" t="s">
        <v>28</v>
      </c>
      <c r="D91" s="21" t="s">
        <v>29</v>
      </c>
      <c r="E91">
        <v>316</v>
      </c>
      <c r="F91">
        <v>23</v>
      </c>
      <c r="G91" s="21" t="s">
        <v>25</v>
      </c>
      <c r="H91" s="21" t="s">
        <v>199</v>
      </c>
      <c r="I91" s="21" t="s">
        <v>8</v>
      </c>
    </row>
    <row r="92" spans="1:9" x14ac:dyDescent="0.25">
      <c r="A92" s="21" t="s">
        <v>201</v>
      </c>
      <c r="B92">
        <v>37</v>
      </c>
      <c r="C92" s="21" t="s">
        <v>124</v>
      </c>
      <c r="D92" s="21" t="s">
        <v>54</v>
      </c>
      <c r="E92">
        <v>175</v>
      </c>
      <c r="F92">
        <v>24</v>
      </c>
      <c r="G92" s="21" t="s">
        <v>83</v>
      </c>
      <c r="H92" s="21" t="s">
        <v>202</v>
      </c>
      <c r="I92" s="21" t="s">
        <v>200</v>
      </c>
    </row>
    <row r="93" spans="1:9" x14ac:dyDescent="0.25">
      <c r="A93" s="21" t="s">
        <v>203</v>
      </c>
      <c r="B93">
        <v>25</v>
      </c>
      <c r="C93" s="21" t="s">
        <v>51</v>
      </c>
      <c r="D93" s="21" t="s">
        <v>54</v>
      </c>
      <c r="E93">
        <v>220</v>
      </c>
      <c r="F93">
        <v>22</v>
      </c>
      <c r="G93" s="21" t="s">
        <v>25</v>
      </c>
      <c r="H93" s="21" t="s">
        <v>204</v>
      </c>
      <c r="I93" s="21" t="s">
        <v>200</v>
      </c>
    </row>
    <row r="94" spans="1:9" x14ac:dyDescent="0.25">
      <c r="A94" s="21" t="s">
        <v>205</v>
      </c>
      <c r="B94">
        <v>82</v>
      </c>
      <c r="C94" s="21" t="s">
        <v>10</v>
      </c>
      <c r="D94" s="21" t="s">
        <v>44</v>
      </c>
      <c r="E94">
        <v>202</v>
      </c>
      <c r="F94">
        <v>28</v>
      </c>
      <c r="G94" s="21" t="s">
        <v>45</v>
      </c>
      <c r="H94" s="21" t="s">
        <v>176</v>
      </c>
      <c r="I94" s="21" t="s">
        <v>200</v>
      </c>
    </row>
    <row r="95" spans="1:9" x14ac:dyDescent="0.25">
      <c r="A95" s="21" t="s">
        <v>206</v>
      </c>
      <c r="B95">
        <v>44</v>
      </c>
      <c r="C95" s="21" t="s">
        <v>15</v>
      </c>
      <c r="D95" s="21" t="s">
        <v>35</v>
      </c>
      <c r="E95">
        <v>235</v>
      </c>
      <c r="F95">
        <v>23</v>
      </c>
      <c r="G95" s="21" t="s">
        <v>25</v>
      </c>
      <c r="H95" s="21" t="s">
        <v>207</v>
      </c>
      <c r="I95" s="21" t="s">
        <v>200</v>
      </c>
    </row>
    <row r="96" spans="1:9" x14ac:dyDescent="0.25">
      <c r="A96" s="21" t="s">
        <v>208</v>
      </c>
      <c r="B96">
        <v>25</v>
      </c>
      <c r="C96" s="21" t="s">
        <v>124</v>
      </c>
      <c r="D96" s="21" t="s">
        <v>54</v>
      </c>
      <c r="E96">
        <v>185</v>
      </c>
      <c r="F96">
        <v>26</v>
      </c>
      <c r="G96" s="21" t="s">
        <v>16</v>
      </c>
      <c r="H96" s="21" t="s">
        <v>149</v>
      </c>
      <c r="I96" s="21" t="s">
        <v>200</v>
      </c>
    </row>
    <row r="97" spans="1:9" x14ac:dyDescent="0.25">
      <c r="A97" s="21" t="s">
        <v>209</v>
      </c>
      <c r="B97">
        <v>39</v>
      </c>
      <c r="C97" s="21" t="s">
        <v>124</v>
      </c>
      <c r="D97" s="21" t="s">
        <v>11</v>
      </c>
      <c r="E97">
        <v>191</v>
      </c>
      <c r="F97">
        <v>26</v>
      </c>
      <c r="G97" s="21" t="s">
        <v>16</v>
      </c>
      <c r="H97" s="21" t="s">
        <v>210</v>
      </c>
      <c r="I97" s="21" t="s">
        <v>200</v>
      </c>
    </row>
    <row r="98" spans="1:9" x14ac:dyDescent="0.25">
      <c r="A98" s="21" t="s">
        <v>211</v>
      </c>
      <c r="B98">
        <v>16</v>
      </c>
      <c r="C98" s="21" t="s">
        <v>10</v>
      </c>
      <c r="D98" s="21" t="s">
        <v>86</v>
      </c>
      <c r="E98">
        <v>175</v>
      </c>
      <c r="F98">
        <v>26</v>
      </c>
      <c r="G98" s="21" t="s">
        <v>45</v>
      </c>
      <c r="H98" s="21" t="s">
        <v>101</v>
      </c>
      <c r="I98" s="21" t="s">
        <v>200</v>
      </c>
    </row>
    <row r="99" spans="1:9" x14ac:dyDescent="0.25">
      <c r="A99" s="21" t="s">
        <v>212</v>
      </c>
      <c r="B99">
        <v>56</v>
      </c>
      <c r="C99" s="21" t="s">
        <v>213</v>
      </c>
      <c r="D99" s="21" t="s">
        <v>35</v>
      </c>
      <c r="E99">
        <v>253</v>
      </c>
      <c r="F99">
        <v>26</v>
      </c>
      <c r="G99" s="21" t="s">
        <v>30</v>
      </c>
      <c r="H99" s="21" t="s">
        <v>214</v>
      </c>
      <c r="I99" s="21" t="s">
        <v>200</v>
      </c>
    </row>
    <row r="100" spans="1:9" x14ac:dyDescent="0.25">
      <c r="A100" s="21" t="s">
        <v>215</v>
      </c>
      <c r="B100">
        <v>83</v>
      </c>
      <c r="C100" s="21" t="s">
        <v>10</v>
      </c>
      <c r="D100" s="21" t="s">
        <v>52</v>
      </c>
      <c r="E100">
        <v>195</v>
      </c>
      <c r="F100">
        <v>24</v>
      </c>
      <c r="G100" s="21" t="s">
        <v>25</v>
      </c>
      <c r="H100" s="21" t="s">
        <v>216</v>
      </c>
      <c r="I100" s="21" t="s">
        <v>200</v>
      </c>
    </row>
    <row r="101" spans="1:9" x14ac:dyDescent="0.25">
      <c r="A101" s="21" t="s">
        <v>217</v>
      </c>
      <c r="B101">
        <v>80</v>
      </c>
      <c r="C101" s="21" t="s">
        <v>10</v>
      </c>
      <c r="D101" s="21" t="s">
        <v>135</v>
      </c>
      <c r="E101">
        <v>182</v>
      </c>
      <c r="F101">
        <v>24</v>
      </c>
      <c r="G101" s="21" t="s">
        <v>25</v>
      </c>
      <c r="H101" s="21" t="s">
        <v>62</v>
      </c>
      <c r="I101" s="21" t="s">
        <v>200</v>
      </c>
    </row>
    <row r="102" spans="1:9" x14ac:dyDescent="0.25">
      <c r="A102" s="21" t="s">
        <v>218</v>
      </c>
      <c r="B102">
        <v>49</v>
      </c>
      <c r="C102" s="21" t="s">
        <v>15</v>
      </c>
      <c r="D102" s="21" t="s">
        <v>44</v>
      </c>
      <c r="E102">
        <v>252</v>
      </c>
      <c r="F102">
        <v>26</v>
      </c>
      <c r="G102" s="21" t="s">
        <v>12</v>
      </c>
      <c r="H102" s="21" t="s">
        <v>130</v>
      </c>
      <c r="I102" s="21" t="s">
        <v>200</v>
      </c>
    </row>
    <row r="103" spans="1:9" x14ac:dyDescent="0.25">
      <c r="A103" s="21" t="s">
        <v>219</v>
      </c>
      <c r="B103">
        <v>87</v>
      </c>
      <c r="C103" s="21" t="s">
        <v>10</v>
      </c>
      <c r="D103" s="21" t="s">
        <v>135</v>
      </c>
      <c r="E103">
        <v>175</v>
      </c>
      <c r="F103">
        <v>29</v>
      </c>
      <c r="G103" s="21" t="s">
        <v>100</v>
      </c>
      <c r="H103" s="21" t="s">
        <v>115</v>
      </c>
      <c r="I103" s="21" t="s">
        <v>200</v>
      </c>
    </row>
    <row r="104" spans="1:9" x14ac:dyDescent="0.25">
      <c r="A104" s="21" t="s">
        <v>220</v>
      </c>
      <c r="B104">
        <v>9</v>
      </c>
      <c r="C104" s="21" t="s">
        <v>15</v>
      </c>
      <c r="D104" s="21" t="s">
        <v>29</v>
      </c>
      <c r="E104">
        <v>252</v>
      </c>
      <c r="F104">
        <v>26</v>
      </c>
      <c r="G104" s="21" t="s">
        <v>45</v>
      </c>
      <c r="H104" s="21" t="s">
        <v>196</v>
      </c>
      <c r="I104" s="21" t="s">
        <v>200</v>
      </c>
    </row>
    <row r="105" spans="1:9" x14ac:dyDescent="0.25">
      <c r="A105" s="21" t="s">
        <v>221</v>
      </c>
      <c r="B105">
        <v>67</v>
      </c>
      <c r="C105" s="21" t="s">
        <v>28</v>
      </c>
      <c r="D105" s="21" t="s">
        <v>44</v>
      </c>
      <c r="E105">
        <v>300</v>
      </c>
      <c r="F105">
        <v>23</v>
      </c>
      <c r="G105" s="21" t="s">
        <v>30</v>
      </c>
      <c r="H105" s="21" t="s">
        <v>165</v>
      </c>
      <c r="I105" s="21" t="s">
        <v>200</v>
      </c>
    </row>
    <row r="106" spans="1:9" x14ac:dyDescent="0.25">
      <c r="A106" s="21" t="s">
        <v>222</v>
      </c>
      <c r="B106">
        <v>79</v>
      </c>
      <c r="C106" s="21" t="s">
        <v>114</v>
      </c>
      <c r="D106" s="21" t="s">
        <v>67</v>
      </c>
      <c r="E106">
        <v>300</v>
      </c>
      <c r="F106">
        <v>24</v>
      </c>
      <c r="G106" s="21" t="s">
        <v>12</v>
      </c>
      <c r="H106" s="21" t="s">
        <v>73</v>
      </c>
      <c r="I106" s="21" t="s">
        <v>200</v>
      </c>
    </row>
    <row r="107" spans="1:9" x14ac:dyDescent="0.25">
      <c r="A107" s="21" t="s">
        <v>223</v>
      </c>
      <c r="B107">
        <v>88</v>
      </c>
      <c r="C107" s="21" t="s">
        <v>10</v>
      </c>
      <c r="D107" s="21" t="s">
        <v>52</v>
      </c>
      <c r="E107">
        <v>200</v>
      </c>
      <c r="F107">
        <v>24</v>
      </c>
      <c r="G107" s="21" t="s">
        <v>30</v>
      </c>
      <c r="H107" s="21" t="s">
        <v>13</v>
      </c>
      <c r="I107" s="21" t="s">
        <v>200</v>
      </c>
    </row>
    <row r="108" spans="1:9" x14ac:dyDescent="0.25">
      <c r="A108" s="21" t="s">
        <v>224</v>
      </c>
      <c r="B108">
        <v>90</v>
      </c>
      <c r="C108" s="21" t="s">
        <v>19</v>
      </c>
      <c r="D108" s="21" t="s">
        <v>44</v>
      </c>
      <c r="E108">
        <v>303</v>
      </c>
      <c r="F108">
        <v>24</v>
      </c>
      <c r="G108" s="21" t="s">
        <v>12</v>
      </c>
      <c r="H108" s="21" t="s">
        <v>65</v>
      </c>
      <c r="I108" s="21" t="s">
        <v>200</v>
      </c>
    </row>
    <row r="109" spans="1:9" x14ac:dyDescent="0.25">
      <c r="A109" s="21" t="s">
        <v>225</v>
      </c>
      <c r="B109">
        <v>52</v>
      </c>
      <c r="C109" s="21" t="s">
        <v>213</v>
      </c>
      <c r="D109" s="21" t="s">
        <v>67</v>
      </c>
      <c r="E109">
        <v>240</v>
      </c>
      <c r="F109">
        <v>23</v>
      </c>
      <c r="G109" s="21" t="s">
        <v>25</v>
      </c>
      <c r="H109" s="21" t="s">
        <v>226</v>
      </c>
      <c r="I109" s="21" t="s">
        <v>200</v>
      </c>
    </row>
    <row r="110" spans="1:9" x14ac:dyDescent="0.25">
      <c r="A110" s="21" t="s">
        <v>227</v>
      </c>
      <c r="B110">
        <v>47</v>
      </c>
      <c r="C110" s="21" t="s">
        <v>319</v>
      </c>
      <c r="D110" s="21" t="s">
        <v>44</v>
      </c>
      <c r="E110">
        <v>256</v>
      </c>
      <c r="F110">
        <v>23</v>
      </c>
      <c r="G110" s="21" t="s">
        <v>25</v>
      </c>
      <c r="H110" s="21" t="s">
        <v>3251</v>
      </c>
      <c r="I110" s="21" t="s">
        <v>200</v>
      </c>
    </row>
    <row r="111" spans="1:9" x14ac:dyDescent="0.25">
      <c r="A111" s="21" t="s">
        <v>228</v>
      </c>
      <c r="B111">
        <v>89</v>
      </c>
      <c r="C111" s="21" t="s">
        <v>10</v>
      </c>
      <c r="D111" s="21" t="s">
        <v>44</v>
      </c>
      <c r="E111">
        <v>215</v>
      </c>
      <c r="F111">
        <v>23</v>
      </c>
      <c r="G111" s="21" t="s">
        <v>12</v>
      </c>
      <c r="H111" s="21" t="s">
        <v>115</v>
      </c>
      <c r="I111" s="21" t="s">
        <v>200</v>
      </c>
    </row>
    <row r="112" spans="1:9" x14ac:dyDescent="0.25">
      <c r="A112" s="21" t="s">
        <v>229</v>
      </c>
      <c r="B112">
        <v>48</v>
      </c>
      <c r="C112" s="21" t="s">
        <v>230</v>
      </c>
      <c r="D112" s="21" t="s">
        <v>44</v>
      </c>
      <c r="E112">
        <v>230</v>
      </c>
      <c r="F112">
        <v>23</v>
      </c>
      <c r="G112" s="21" t="s">
        <v>30</v>
      </c>
      <c r="H112" s="21" t="s">
        <v>231</v>
      </c>
      <c r="I112" s="21" t="s">
        <v>200</v>
      </c>
    </row>
    <row r="113" spans="1:9" x14ac:dyDescent="0.25">
      <c r="A113" s="21" t="s">
        <v>232</v>
      </c>
      <c r="B113">
        <v>54</v>
      </c>
      <c r="C113" s="21" t="s">
        <v>230</v>
      </c>
      <c r="D113" s="21" t="s">
        <v>24</v>
      </c>
      <c r="E113">
        <v>232</v>
      </c>
      <c r="F113">
        <v>26</v>
      </c>
      <c r="G113" s="21" t="s">
        <v>45</v>
      </c>
      <c r="H113" s="21" t="s">
        <v>233</v>
      </c>
      <c r="I113" s="21" t="s">
        <v>200</v>
      </c>
    </row>
    <row r="114" spans="1:9" x14ac:dyDescent="0.25">
      <c r="A114" s="21" t="s">
        <v>234</v>
      </c>
      <c r="B114">
        <v>86</v>
      </c>
      <c r="C114" s="21" t="s">
        <v>57</v>
      </c>
      <c r="D114" s="21" t="s">
        <v>24</v>
      </c>
      <c r="E114">
        <v>241</v>
      </c>
      <c r="F114">
        <v>27</v>
      </c>
      <c r="G114" s="21" t="s">
        <v>45</v>
      </c>
      <c r="H114" s="21" t="s">
        <v>112</v>
      </c>
      <c r="I114" s="21" t="s">
        <v>200</v>
      </c>
    </row>
    <row r="115" spans="1:9" x14ac:dyDescent="0.25">
      <c r="A115" s="21" t="s">
        <v>235</v>
      </c>
      <c r="B115">
        <v>43</v>
      </c>
      <c r="C115" s="21" t="s">
        <v>57</v>
      </c>
      <c r="D115" s="21" t="s">
        <v>35</v>
      </c>
      <c r="E115">
        <v>285</v>
      </c>
      <c r="G115" s="21" t="s">
        <v>25</v>
      </c>
      <c r="H115" s="21" t="s">
        <v>165</v>
      </c>
      <c r="I115" s="21" t="s">
        <v>200</v>
      </c>
    </row>
    <row r="116" spans="1:9" x14ac:dyDescent="0.25">
      <c r="A116" s="21" t="s">
        <v>236</v>
      </c>
      <c r="B116">
        <v>87</v>
      </c>
      <c r="C116" s="21" t="s">
        <v>57</v>
      </c>
      <c r="D116" s="21" t="s">
        <v>20</v>
      </c>
      <c r="E116">
        <v>250</v>
      </c>
      <c r="F116">
        <v>22</v>
      </c>
      <c r="G116" s="21" t="s">
        <v>25</v>
      </c>
      <c r="H116" s="21" t="s">
        <v>196</v>
      </c>
      <c r="I116" s="21" t="s">
        <v>200</v>
      </c>
    </row>
    <row r="117" spans="1:9" x14ac:dyDescent="0.25">
      <c r="A117" s="21" t="s">
        <v>237</v>
      </c>
      <c r="B117">
        <v>43</v>
      </c>
      <c r="C117" s="21" t="s">
        <v>124</v>
      </c>
      <c r="D117" s="21" t="s">
        <v>11</v>
      </c>
      <c r="E117">
        <v>194</v>
      </c>
      <c r="F117">
        <v>26</v>
      </c>
      <c r="G117" s="21" t="s">
        <v>45</v>
      </c>
      <c r="H117" s="21" t="s">
        <v>238</v>
      </c>
      <c r="I117" s="21" t="s">
        <v>200</v>
      </c>
    </row>
    <row r="118" spans="1:9" x14ac:dyDescent="0.25">
      <c r="A118" s="21" t="s">
        <v>239</v>
      </c>
      <c r="B118">
        <v>15</v>
      </c>
      <c r="C118" s="21" t="s">
        <v>70</v>
      </c>
      <c r="D118" s="21" t="s">
        <v>67</v>
      </c>
      <c r="E118">
        <v>234</v>
      </c>
      <c r="F118">
        <v>24</v>
      </c>
      <c r="G118" s="21" t="s">
        <v>30</v>
      </c>
      <c r="H118" s="21" t="s">
        <v>80</v>
      </c>
      <c r="I118" s="21" t="s">
        <v>200</v>
      </c>
    </row>
    <row r="119" spans="1:9" x14ac:dyDescent="0.25">
      <c r="A119" s="21" t="s">
        <v>240</v>
      </c>
      <c r="C119" s="21" t="s">
        <v>114</v>
      </c>
      <c r="D119" s="21" t="s">
        <v>44</v>
      </c>
      <c r="E119">
        <v>332</v>
      </c>
      <c r="F119">
        <v>28</v>
      </c>
      <c r="G119" s="21" t="s">
        <v>100</v>
      </c>
      <c r="H119" s="21" t="s">
        <v>241</v>
      </c>
      <c r="I119" s="21" t="s">
        <v>200</v>
      </c>
    </row>
    <row r="120" spans="1:9" x14ac:dyDescent="0.25">
      <c r="A120" s="21" t="s">
        <v>242</v>
      </c>
      <c r="B120">
        <v>66</v>
      </c>
      <c r="C120" s="21" t="s">
        <v>28</v>
      </c>
      <c r="D120" s="21" t="s">
        <v>29</v>
      </c>
      <c r="E120">
        <v>311</v>
      </c>
      <c r="F120">
        <v>27</v>
      </c>
      <c r="G120" s="21" t="s">
        <v>12</v>
      </c>
      <c r="H120" s="21" t="s">
        <v>243</v>
      </c>
      <c r="I120" s="21" t="s">
        <v>200</v>
      </c>
    </row>
    <row r="121" spans="1:9" x14ac:dyDescent="0.25">
      <c r="A121" s="21" t="s">
        <v>244</v>
      </c>
      <c r="B121">
        <v>95</v>
      </c>
      <c r="C121" s="21" t="s">
        <v>19</v>
      </c>
      <c r="D121" s="21" t="s">
        <v>35</v>
      </c>
      <c r="E121">
        <v>294</v>
      </c>
      <c r="F121">
        <v>23</v>
      </c>
      <c r="G121" s="21" t="s">
        <v>30</v>
      </c>
      <c r="H121" s="21" t="s">
        <v>109</v>
      </c>
      <c r="I121" s="21" t="s">
        <v>200</v>
      </c>
    </row>
    <row r="122" spans="1:9" x14ac:dyDescent="0.25">
      <c r="A122" s="21" t="s">
        <v>245</v>
      </c>
      <c r="B122">
        <v>27</v>
      </c>
      <c r="C122" s="21" t="s">
        <v>89</v>
      </c>
      <c r="D122" s="21" t="s">
        <v>11</v>
      </c>
      <c r="E122">
        <v>200</v>
      </c>
      <c r="F122">
        <v>24</v>
      </c>
      <c r="G122" s="21" t="s">
        <v>30</v>
      </c>
      <c r="H122" s="21" t="s">
        <v>3252</v>
      </c>
      <c r="I122" s="21" t="s">
        <v>200</v>
      </c>
    </row>
    <row r="123" spans="1:9" x14ac:dyDescent="0.25">
      <c r="A123" s="21" t="s">
        <v>246</v>
      </c>
      <c r="B123">
        <v>34</v>
      </c>
      <c r="C123" s="21" t="s">
        <v>48</v>
      </c>
      <c r="D123" s="21" t="s">
        <v>11</v>
      </c>
      <c r="E123">
        <v>190</v>
      </c>
      <c r="F123">
        <v>22</v>
      </c>
      <c r="G123" s="21" t="s">
        <v>30</v>
      </c>
      <c r="H123" s="21" t="s">
        <v>33</v>
      </c>
      <c r="I123" s="21" t="s">
        <v>200</v>
      </c>
    </row>
    <row r="124" spans="1:9" x14ac:dyDescent="0.25">
      <c r="A124" s="21" t="s">
        <v>247</v>
      </c>
      <c r="B124">
        <v>43</v>
      </c>
      <c r="C124" s="21" t="s">
        <v>48</v>
      </c>
      <c r="D124" s="21" t="s">
        <v>52</v>
      </c>
      <c r="E124">
        <v>185</v>
      </c>
      <c r="F124">
        <v>23</v>
      </c>
      <c r="G124" s="21" t="s">
        <v>25</v>
      </c>
      <c r="H124" s="21" t="s">
        <v>117</v>
      </c>
      <c r="I124" s="21" t="s">
        <v>200</v>
      </c>
    </row>
    <row r="125" spans="1:9" x14ac:dyDescent="0.25">
      <c r="A125" s="21" t="s">
        <v>248</v>
      </c>
      <c r="B125">
        <v>23</v>
      </c>
      <c r="C125" s="21" t="s">
        <v>89</v>
      </c>
      <c r="D125" s="21" t="s">
        <v>24</v>
      </c>
      <c r="E125">
        <v>225</v>
      </c>
      <c r="F125">
        <v>32</v>
      </c>
      <c r="G125" s="21" t="s">
        <v>100</v>
      </c>
      <c r="H125" s="21" t="s">
        <v>249</v>
      </c>
      <c r="I125" s="21" t="s">
        <v>200</v>
      </c>
    </row>
    <row r="126" spans="1:9" x14ac:dyDescent="0.25">
      <c r="A126" s="21" t="s">
        <v>250</v>
      </c>
      <c r="B126">
        <v>62</v>
      </c>
      <c r="C126" s="21" t="s">
        <v>184</v>
      </c>
      <c r="D126" s="21" t="s">
        <v>35</v>
      </c>
      <c r="E126">
        <v>308</v>
      </c>
      <c r="F126">
        <v>30</v>
      </c>
      <c r="G126" s="21" t="s">
        <v>100</v>
      </c>
      <c r="H126" s="21" t="s">
        <v>251</v>
      </c>
      <c r="I126" s="21" t="s">
        <v>200</v>
      </c>
    </row>
    <row r="127" spans="1:9" x14ac:dyDescent="0.25">
      <c r="A127" s="21" t="s">
        <v>252</v>
      </c>
      <c r="B127">
        <v>32</v>
      </c>
      <c r="C127" s="21" t="s">
        <v>89</v>
      </c>
      <c r="D127" s="21" t="s">
        <v>52</v>
      </c>
      <c r="E127">
        <v>208</v>
      </c>
      <c r="F127">
        <v>24</v>
      </c>
      <c r="G127" s="21" t="s">
        <v>12</v>
      </c>
      <c r="H127" s="21" t="s">
        <v>226</v>
      </c>
      <c r="I127" s="21" t="s">
        <v>200</v>
      </c>
    </row>
    <row r="128" spans="1:9" x14ac:dyDescent="0.25">
      <c r="A128" s="21" t="s">
        <v>253</v>
      </c>
      <c r="B128">
        <v>29</v>
      </c>
      <c r="C128" s="21" t="s">
        <v>48</v>
      </c>
      <c r="D128" s="21" t="s">
        <v>54</v>
      </c>
      <c r="E128">
        <v>192</v>
      </c>
      <c r="F128">
        <v>32</v>
      </c>
      <c r="G128" s="21" t="s">
        <v>254</v>
      </c>
      <c r="H128" s="21" t="s">
        <v>46</v>
      </c>
      <c r="I128" s="21" t="s">
        <v>200</v>
      </c>
    </row>
    <row r="129" spans="1:9" x14ac:dyDescent="0.25">
      <c r="A129" s="21" t="s">
        <v>255</v>
      </c>
      <c r="B129">
        <v>61</v>
      </c>
      <c r="C129" s="21" t="s">
        <v>28</v>
      </c>
      <c r="D129" s="21" t="s">
        <v>44</v>
      </c>
      <c r="E129">
        <v>307</v>
      </c>
      <c r="F129">
        <v>24</v>
      </c>
      <c r="G129" s="21" t="s">
        <v>12</v>
      </c>
      <c r="H129" s="21" t="s">
        <v>256</v>
      </c>
      <c r="I129" s="21" t="s">
        <v>200</v>
      </c>
    </row>
    <row r="130" spans="1:9" x14ac:dyDescent="0.25">
      <c r="A130" s="21" t="s">
        <v>257</v>
      </c>
      <c r="B130">
        <v>46</v>
      </c>
      <c r="C130" s="21" t="s">
        <v>57</v>
      </c>
      <c r="D130" s="21" t="s">
        <v>44</v>
      </c>
      <c r="E130">
        <v>261</v>
      </c>
      <c r="F130">
        <v>27</v>
      </c>
      <c r="G130" s="21" t="s">
        <v>30</v>
      </c>
      <c r="H130" s="21" t="s">
        <v>117</v>
      </c>
      <c r="I130" s="21" t="s">
        <v>200</v>
      </c>
    </row>
    <row r="131" spans="1:9" x14ac:dyDescent="0.25">
      <c r="A131" s="21" t="s">
        <v>258</v>
      </c>
      <c r="B131">
        <v>12</v>
      </c>
      <c r="C131" s="21" t="s">
        <v>10</v>
      </c>
      <c r="D131" s="21" t="s">
        <v>54</v>
      </c>
      <c r="E131">
        <v>183</v>
      </c>
      <c r="F131">
        <v>27</v>
      </c>
      <c r="G131" s="21" t="s">
        <v>45</v>
      </c>
      <c r="H131" s="21" t="s">
        <v>214</v>
      </c>
      <c r="I131" s="21" t="s">
        <v>200</v>
      </c>
    </row>
    <row r="132" spans="1:9" x14ac:dyDescent="0.25">
      <c r="A132" s="21" t="s">
        <v>259</v>
      </c>
      <c r="B132">
        <v>93</v>
      </c>
      <c r="C132" s="21" t="s">
        <v>19</v>
      </c>
      <c r="D132" s="21" t="s">
        <v>35</v>
      </c>
      <c r="E132">
        <v>323</v>
      </c>
      <c r="F132">
        <v>24</v>
      </c>
      <c r="G132" s="21" t="s">
        <v>25</v>
      </c>
      <c r="H132" s="21" t="s">
        <v>189</v>
      </c>
      <c r="I132" s="21" t="s">
        <v>200</v>
      </c>
    </row>
    <row r="133" spans="1:9" x14ac:dyDescent="0.25">
      <c r="A133" s="21" t="s">
        <v>260</v>
      </c>
      <c r="B133">
        <v>42</v>
      </c>
      <c r="C133" s="21" t="s">
        <v>51</v>
      </c>
      <c r="D133" s="21" t="s">
        <v>125</v>
      </c>
      <c r="E133">
        <v>229</v>
      </c>
      <c r="F133">
        <v>23</v>
      </c>
      <c r="G133" s="21" t="s">
        <v>83</v>
      </c>
      <c r="H133" s="21" t="s">
        <v>261</v>
      </c>
      <c r="I133" s="21" t="s">
        <v>200</v>
      </c>
    </row>
    <row r="134" spans="1:9" x14ac:dyDescent="0.25">
      <c r="A134" s="21" t="s">
        <v>262</v>
      </c>
      <c r="B134">
        <v>74</v>
      </c>
      <c r="C134" s="21" t="s">
        <v>28</v>
      </c>
      <c r="D134" s="21" t="s">
        <v>29</v>
      </c>
      <c r="E134">
        <v>325</v>
      </c>
      <c r="F134">
        <v>28</v>
      </c>
      <c r="G134" s="21" t="s">
        <v>100</v>
      </c>
      <c r="H134" s="21" t="s">
        <v>152</v>
      </c>
      <c r="I134" s="21" t="s">
        <v>200</v>
      </c>
    </row>
    <row r="135" spans="1:9" x14ac:dyDescent="0.25">
      <c r="A135" s="21" t="s">
        <v>263</v>
      </c>
      <c r="B135">
        <v>85</v>
      </c>
      <c r="C135" s="21" t="s">
        <v>10</v>
      </c>
      <c r="D135" s="21" t="s">
        <v>24</v>
      </c>
      <c r="E135">
        <v>214</v>
      </c>
      <c r="F135">
        <v>23</v>
      </c>
      <c r="G135" s="21" t="s">
        <v>25</v>
      </c>
      <c r="H135" s="21" t="s">
        <v>264</v>
      </c>
      <c r="I135" s="21" t="s">
        <v>200</v>
      </c>
    </row>
    <row r="136" spans="1:9" x14ac:dyDescent="0.25">
      <c r="A136" s="21" t="s">
        <v>265</v>
      </c>
      <c r="B136">
        <v>97</v>
      </c>
      <c r="C136" s="21" t="s">
        <v>19</v>
      </c>
      <c r="D136" s="21" t="s">
        <v>11</v>
      </c>
      <c r="E136">
        <v>305</v>
      </c>
      <c r="F136">
        <v>29</v>
      </c>
      <c r="G136" s="21" t="s">
        <v>21</v>
      </c>
      <c r="H136" s="21" t="s">
        <v>136</v>
      </c>
      <c r="I136" s="21" t="s">
        <v>200</v>
      </c>
    </row>
    <row r="137" spans="1:9" x14ac:dyDescent="0.25">
      <c r="A137" s="21" t="s">
        <v>268</v>
      </c>
      <c r="B137">
        <v>7</v>
      </c>
      <c r="C137" s="21" t="s">
        <v>76</v>
      </c>
      <c r="D137" s="21" t="s">
        <v>135</v>
      </c>
      <c r="E137">
        <v>185</v>
      </c>
      <c r="F137">
        <v>27</v>
      </c>
      <c r="G137" s="21" t="s">
        <v>16</v>
      </c>
      <c r="H137" s="21" t="s">
        <v>269</v>
      </c>
      <c r="I137" s="21" t="s">
        <v>200</v>
      </c>
    </row>
    <row r="138" spans="1:9" x14ac:dyDescent="0.25">
      <c r="A138" s="21" t="s">
        <v>270</v>
      </c>
      <c r="B138">
        <v>53</v>
      </c>
      <c r="C138" s="21" t="s">
        <v>230</v>
      </c>
      <c r="D138" s="21" t="s">
        <v>24</v>
      </c>
      <c r="E138">
        <v>242</v>
      </c>
      <c r="F138">
        <v>29</v>
      </c>
      <c r="G138" s="21" t="s">
        <v>100</v>
      </c>
      <c r="H138" s="21" t="s">
        <v>143</v>
      </c>
      <c r="I138" s="21" t="s">
        <v>200</v>
      </c>
    </row>
    <row r="139" spans="1:9" x14ac:dyDescent="0.25">
      <c r="A139" s="21" t="s">
        <v>271</v>
      </c>
      <c r="B139">
        <v>55</v>
      </c>
      <c r="C139" s="21" t="s">
        <v>230</v>
      </c>
      <c r="D139" s="21" t="s">
        <v>44</v>
      </c>
      <c r="E139">
        <v>235</v>
      </c>
      <c r="G139" s="21" t="s">
        <v>25</v>
      </c>
      <c r="H139" s="21" t="s">
        <v>272</v>
      </c>
      <c r="I139" s="21" t="s">
        <v>200</v>
      </c>
    </row>
    <row r="140" spans="1:9" x14ac:dyDescent="0.25">
      <c r="A140" s="21" t="s">
        <v>273</v>
      </c>
      <c r="B140">
        <v>81</v>
      </c>
      <c r="C140" s="21" t="s">
        <v>57</v>
      </c>
      <c r="D140" s="21" t="s">
        <v>29</v>
      </c>
      <c r="E140">
        <v>220</v>
      </c>
      <c r="F140">
        <v>25</v>
      </c>
      <c r="G140" s="21" t="s">
        <v>83</v>
      </c>
      <c r="H140" s="21" t="s">
        <v>274</v>
      </c>
      <c r="I140" s="21" t="s">
        <v>200</v>
      </c>
    </row>
    <row r="141" spans="1:9" x14ac:dyDescent="0.25">
      <c r="A141" s="21" t="s">
        <v>275</v>
      </c>
      <c r="B141">
        <v>71</v>
      </c>
      <c r="C141" s="21" t="s">
        <v>28</v>
      </c>
      <c r="D141" s="21" t="s">
        <v>20</v>
      </c>
      <c r="E141">
        <v>311</v>
      </c>
      <c r="F141">
        <v>25</v>
      </c>
      <c r="G141" s="21" t="s">
        <v>83</v>
      </c>
      <c r="H141" s="21" t="s">
        <v>241</v>
      </c>
      <c r="I141" s="21" t="s">
        <v>200</v>
      </c>
    </row>
    <row r="142" spans="1:9" x14ac:dyDescent="0.25">
      <c r="A142" s="21" t="s">
        <v>276</v>
      </c>
      <c r="B142">
        <v>63</v>
      </c>
      <c r="C142" s="21" t="s">
        <v>277</v>
      </c>
      <c r="D142" s="21" t="s">
        <v>44</v>
      </c>
      <c r="E142">
        <v>307</v>
      </c>
      <c r="F142">
        <v>25</v>
      </c>
      <c r="G142" s="21" t="s">
        <v>16</v>
      </c>
      <c r="H142" s="21" t="s">
        <v>278</v>
      </c>
      <c r="I142" s="21" t="s">
        <v>200</v>
      </c>
    </row>
    <row r="143" spans="1:9" x14ac:dyDescent="0.25">
      <c r="A143" s="21" t="s">
        <v>279</v>
      </c>
      <c r="B143">
        <v>5</v>
      </c>
      <c r="C143" s="21" t="s">
        <v>10</v>
      </c>
      <c r="D143" s="21" t="s">
        <v>35</v>
      </c>
      <c r="E143">
        <v>213</v>
      </c>
      <c r="F143">
        <v>21</v>
      </c>
      <c r="G143" s="21" t="s">
        <v>25</v>
      </c>
      <c r="H143" s="21" t="s">
        <v>280</v>
      </c>
      <c r="I143" s="21" t="s">
        <v>200</v>
      </c>
    </row>
    <row r="144" spans="1:9" x14ac:dyDescent="0.25">
      <c r="A144" s="21" t="s">
        <v>281</v>
      </c>
      <c r="B144">
        <v>36</v>
      </c>
      <c r="C144" s="21" t="s">
        <v>193</v>
      </c>
      <c r="D144" s="21" t="s">
        <v>52</v>
      </c>
      <c r="E144">
        <v>192</v>
      </c>
      <c r="F144">
        <v>24</v>
      </c>
      <c r="G144" s="21" t="s">
        <v>83</v>
      </c>
      <c r="H144" s="21" t="s">
        <v>282</v>
      </c>
      <c r="I144" s="21" t="s">
        <v>200</v>
      </c>
    </row>
    <row r="145" spans="1:9" x14ac:dyDescent="0.25">
      <c r="A145" s="21" t="s">
        <v>283</v>
      </c>
      <c r="B145">
        <v>51</v>
      </c>
      <c r="C145" s="21" t="s">
        <v>319</v>
      </c>
      <c r="D145" s="21" t="s">
        <v>35</v>
      </c>
      <c r="E145">
        <v>240</v>
      </c>
      <c r="F145">
        <v>23</v>
      </c>
      <c r="G145" s="21" t="s">
        <v>25</v>
      </c>
      <c r="H145" s="21" t="s">
        <v>284</v>
      </c>
      <c r="I145" s="21" t="s">
        <v>200</v>
      </c>
    </row>
    <row r="146" spans="1:9" x14ac:dyDescent="0.25">
      <c r="A146" s="21" t="s">
        <v>285</v>
      </c>
      <c r="B146">
        <v>1</v>
      </c>
      <c r="C146" s="21" t="s">
        <v>70</v>
      </c>
      <c r="D146" s="21" t="s">
        <v>35</v>
      </c>
      <c r="E146">
        <v>222</v>
      </c>
      <c r="F146">
        <v>28</v>
      </c>
      <c r="G146" s="21" t="s">
        <v>21</v>
      </c>
      <c r="H146" s="21" t="s">
        <v>22</v>
      </c>
      <c r="I146" s="21" t="s">
        <v>200</v>
      </c>
    </row>
    <row r="147" spans="1:9" x14ac:dyDescent="0.25">
      <c r="A147" s="21" t="s">
        <v>286</v>
      </c>
      <c r="B147">
        <v>21</v>
      </c>
      <c r="C147" s="21" t="s">
        <v>287</v>
      </c>
      <c r="D147" s="21" t="s">
        <v>52</v>
      </c>
      <c r="E147">
        <v>205</v>
      </c>
      <c r="F147">
        <v>30</v>
      </c>
      <c r="G147" s="21" t="s">
        <v>38</v>
      </c>
      <c r="H147" s="21" t="s">
        <v>288</v>
      </c>
      <c r="I147" s="21" t="s">
        <v>200</v>
      </c>
    </row>
    <row r="148" spans="1:9" x14ac:dyDescent="0.25">
      <c r="A148" s="21" t="s">
        <v>289</v>
      </c>
      <c r="B148">
        <v>70</v>
      </c>
      <c r="C148" s="21" t="s">
        <v>140</v>
      </c>
      <c r="D148" s="21" t="s">
        <v>29</v>
      </c>
      <c r="E148">
        <v>309</v>
      </c>
      <c r="F148">
        <v>30</v>
      </c>
      <c r="G148" s="21" t="s">
        <v>64</v>
      </c>
      <c r="H148" s="21" t="s">
        <v>152</v>
      </c>
      <c r="I148" s="21" t="s">
        <v>200</v>
      </c>
    </row>
    <row r="149" spans="1:9" x14ac:dyDescent="0.25">
      <c r="A149" s="21" t="s">
        <v>290</v>
      </c>
      <c r="B149">
        <v>77</v>
      </c>
      <c r="C149" s="21" t="s">
        <v>28</v>
      </c>
      <c r="D149" s="21" t="s">
        <v>29</v>
      </c>
      <c r="E149">
        <v>320</v>
      </c>
      <c r="F149">
        <v>22</v>
      </c>
      <c r="G149" s="21" t="s">
        <v>30</v>
      </c>
      <c r="H149" s="21" t="s">
        <v>98</v>
      </c>
      <c r="I149" s="21" t="s">
        <v>200</v>
      </c>
    </row>
    <row r="150" spans="1:9" x14ac:dyDescent="0.25">
      <c r="A150" s="21" t="s">
        <v>291</v>
      </c>
      <c r="B150">
        <v>48</v>
      </c>
      <c r="C150" s="21" t="s">
        <v>158</v>
      </c>
      <c r="D150" s="21" t="s">
        <v>24</v>
      </c>
      <c r="E150">
        <v>237</v>
      </c>
      <c r="F150">
        <v>25</v>
      </c>
      <c r="G150" s="21" t="s">
        <v>83</v>
      </c>
      <c r="H150" s="21" t="s">
        <v>36</v>
      </c>
      <c r="I150" s="21" t="s">
        <v>200</v>
      </c>
    </row>
    <row r="151" spans="1:9" x14ac:dyDescent="0.25">
      <c r="A151" s="21" t="s">
        <v>292</v>
      </c>
      <c r="B151">
        <v>76</v>
      </c>
      <c r="C151" s="21" t="s">
        <v>140</v>
      </c>
      <c r="D151" s="21" t="s">
        <v>67</v>
      </c>
      <c r="E151">
        <v>306</v>
      </c>
      <c r="F151">
        <v>27</v>
      </c>
      <c r="G151" s="21" t="s">
        <v>16</v>
      </c>
      <c r="H151" s="21" t="s">
        <v>274</v>
      </c>
      <c r="I151" s="21" t="s">
        <v>200</v>
      </c>
    </row>
    <row r="152" spans="1:9" x14ac:dyDescent="0.25">
      <c r="A152" s="21" t="s">
        <v>293</v>
      </c>
      <c r="B152">
        <v>64</v>
      </c>
      <c r="C152" s="21" t="s">
        <v>28</v>
      </c>
      <c r="D152" s="21" t="s">
        <v>44</v>
      </c>
      <c r="E152">
        <v>301</v>
      </c>
      <c r="F152">
        <v>24</v>
      </c>
      <c r="G152" s="21" t="s">
        <v>83</v>
      </c>
      <c r="H152" s="21" t="s">
        <v>243</v>
      </c>
      <c r="I152" s="21" t="s">
        <v>200</v>
      </c>
    </row>
    <row r="153" spans="1:9" x14ac:dyDescent="0.25">
      <c r="A153" s="21" t="s">
        <v>294</v>
      </c>
      <c r="B153">
        <v>92</v>
      </c>
      <c r="C153" s="21" t="s">
        <v>213</v>
      </c>
      <c r="D153" s="21" t="s">
        <v>35</v>
      </c>
      <c r="E153">
        <v>268</v>
      </c>
      <c r="F153">
        <v>23</v>
      </c>
      <c r="G153" s="21" t="s">
        <v>30</v>
      </c>
      <c r="H153" s="21" t="s">
        <v>31</v>
      </c>
      <c r="I153" s="21" t="s">
        <v>200</v>
      </c>
    </row>
    <row r="154" spans="1:9" x14ac:dyDescent="0.25">
      <c r="A154" s="21" t="s">
        <v>295</v>
      </c>
      <c r="B154">
        <v>26</v>
      </c>
      <c r="C154" s="21" t="s">
        <v>48</v>
      </c>
      <c r="D154" s="21" t="s">
        <v>11</v>
      </c>
      <c r="E154">
        <v>210</v>
      </c>
      <c r="F154">
        <v>25</v>
      </c>
      <c r="G154" s="21" t="s">
        <v>45</v>
      </c>
      <c r="H154" s="21" t="s">
        <v>272</v>
      </c>
      <c r="I154" s="21" t="s">
        <v>200</v>
      </c>
    </row>
    <row r="155" spans="1:9" x14ac:dyDescent="0.25">
      <c r="A155" s="21" t="s">
        <v>296</v>
      </c>
      <c r="B155">
        <v>30</v>
      </c>
      <c r="C155" s="21" t="s">
        <v>51</v>
      </c>
      <c r="D155" s="21" t="s">
        <v>52</v>
      </c>
      <c r="E155">
        <v>232</v>
      </c>
      <c r="F155">
        <v>25</v>
      </c>
      <c r="G155" s="21" t="s">
        <v>16</v>
      </c>
      <c r="H155" s="21" t="s">
        <v>128</v>
      </c>
      <c r="I155" s="21" t="s">
        <v>200</v>
      </c>
    </row>
    <row r="156" spans="1:9" x14ac:dyDescent="0.25">
      <c r="A156" s="21" t="s">
        <v>297</v>
      </c>
      <c r="B156">
        <v>84</v>
      </c>
      <c r="C156" s="21" t="s">
        <v>51</v>
      </c>
      <c r="D156" s="21" t="s">
        <v>24</v>
      </c>
      <c r="E156">
        <v>220</v>
      </c>
      <c r="F156">
        <v>31</v>
      </c>
      <c r="G156" s="21" t="s">
        <v>111</v>
      </c>
      <c r="H156" s="21" t="s">
        <v>104</v>
      </c>
      <c r="I156" s="21" t="s">
        <v>200</v>
      </c>
    </row>
    <row r="157" spans="1:9" x14ac:dyDescent="0.25">
      <c r="A157" s="21" t="s">
        <v>298</v>
      </c>
      <c r="B157">
        <v>13</v>
      </c>
      <c r="C157" s="21" t="s">
        <v>193</v>
      </c>
      <c r="D157" s="21" t="s">
        <v>29</v>
      </c>
      <c r="E157">
        <v>229</v>
      </c>
      <c r="F157">
        <v>28</v>
      </c>
      <c r="G157" s="21" t="s">
        <v>21</v>
      </c>
      <c r="H157" s="21" t="s">
        <v>136</v>
      </c>
      <c r="I157" s="21" t="s">
        <v>200</v>
      </c>
    </row>
    <row r="158" spans="1:9" x14ac:dyDescent="0.25">
      <c r="A158" s="21" t="s">
        <v>299</v>
      </c>
      <c r="B158">
        <v>8</v>
      </c>
      <c r="C158" s="21" t="s">
        <v>57</v>
      </c>
      <c r="D158" s="21" t="s">
        <v>67</v>
      </c>
      <c r="E158">
        <v>246</v>
      </c>
      <c r="F158">
        <v>21</v>
      </c>
      <c r="G158" s="21" t="s">
        <v>30</v>
      </c>
      <c r="H158" s="21" t="s">
        <v>251</v>
      </c>
      <c r="I158" s="21" t="s">
        <v>200</v>
      </c>
    </row>
    <row r="159" spans="1:9" x14ac:dyDescent="0.25">
      <c r="A159" s="21" t="s">
        <v>300</v>
      </c>
      <c r="B159">
        <v>38</v>
      </c>
      <c r="C159" s="21" t="s">
        <v>124</v>
      </c>
      <c r="D159" s="21" t="s">
        <v>125</v>
      </c>
      <c r="E159">
        <v>196</v>
      </c>
      <c r="F159">
        <v>29</v>
      </c>
      <c r="G159" s="21" t="s">
        <v>16</v>
      </c>
      <c r="H159" s="21" t="s">
        <v>128</v>
      </c>
      <c r="I159" s="21" t="s">
        <v>200</v>
      </c>
    </row>
    <row r="160" spans="1:9" x14ac:dyDescent="0.25">
      <c r="A160" s="21" t="s">
        <v>301</v>
      </c>
      <c r="B160">
        <v>41</v>
      </c>
      <c r="C160" s="21" t="s">
        <v>57</v>
      </c>
      <c r="D160" s="21" t="s">
        <v>52</v>
      </c>
      <c r="E160">
        <v>230</v>
      </c>
      <c r="F160">
        <v>24</v>
      </c>
      <c r="G160" s="21" t="s">
        <v>83</v>
      </c>
      <c r="H160" s="21" t="s">
        <v>302</v>
      </c>
      <c r="I160" s="21" t="s">
        <v>200</v>
      </c>
    </row>
    <row r="161" spans="1:9" x14ac:dyDescent="0.25">
      <c r="A161" s="21" t="s">
        <v>303</v>
      </c>
      <c r="B161">
        <v>4</v>
      </c>
      <c r="C161" s="21" t="s">
        <v>70</v>
      </c>
      <c r="D161" s="21" t="s">
        <v>44</v>
      </c>
      <c r="E161">
        <v>207</v>
      </c>
      <c r="F161">
        <v>22</v>
      </c>
      <c r="G161" s="21" t="s">
        <v>25</v>
      </c>
      <c r="H161" s="21" t="s">
        <v>304</v>
      </c>
      <c r="I161" s="21" t="s">
        <v>200</v>
      </c>
    </row>
    <row r="162" spans="1:9" x14ac:dyDescent="0.25">
      <c r="A162" s="21" t="s">
        <v>305</v>
      </c>
      <c r="B162">
        <v>98</v>
      </c>
      <c r="C162" s="21" t="s">
        <v>19</v>
      </c>
      <c r="D162" s="21" t="s">
        <v>24</v>
      </c>
      <c r="E162">
        <v>309</v>
      </c>
      <c r="G162" s="21" t="s">
        <v>25</v>
      </c>
      <c r="H162" s="21" t="s">
        <v>306</v>
      </c>
      <c r="I162" s="21" t="s">
        <v>200</v>
      </c>
    </row>
    <row r="163" spans="1:9" x14ac:dyDescent="0.25">
      <c r="A163" s="21" t="s">
        <v>307</v>
      </c>
      <c r="B163">
        <v>94</v>
      </c>
      <c r="C163" s="21" t="s">
        <v>114</v>
      </c>
      <c r="D163" s="21" t="s">
        <v>29</v>
      </c>
      <c r="E163">
        <v>350</v>
      </c>
      <c r="F163">
        <v>25</v>
      </c>
      <c r="G163" s="21" t="s">
        <v>16</v>
      </c>
      <c r="H163" s="21" t="s">
        <v>308</v>
      </c>
      <c r="I163" s="21" t="s">
        <v>200</v>
      </c>
    </row>
    <row r="164" spans="1:9" x14ac:dyDescent="0.25">
      <c r="A164" s="21" t="s">
        <v>309</v>
      </c>
      <c r="B164">
        <v>75</v>
      </c>
      <c r="C164" s="21" t="s">
        <v>277</v>
      </c>
      <c r="D164" s="21" t="s">
        <v>35</v>
      </c>
      <c r="E164">
        <v>330</v>
      </c>
      <c r="F164">
        <v>24</v>
      </c>
      <c r="G164" s="21" t="s">
        <v>25</v>
      </c>
      <c r="H164" s="21" t="s">
        <v>196</v>
      </c>
      <c r="I164" s="21" t="s">
        <v>200</v>
      </c>
    </row>
    <row r="165" spans="1:9" x14ac:dyDescent="0.25">
      <c r="A165" s="21" t="s">
        <v>310</v>
      </c>
      <c r="B165">
        <v>40</v>
      </c>
      <c r="C165" s="21" t="s">
        <v>91</v>
      </c>
      <c r="D165" s="21" t="s">
        <v>11</v>
      </c>
      <c r="E165">
        <v>240</v>
      </c>
      <c r="F165">
        <v>30</v>
      </c>
      <c r="G165" s="21" t="s">
        <v>64</v>
      </c>
      <c r="H165" s="21" t="s">
        <v>311</v>
      </c>
      <c r="I165" s="21" t="s">
        <v>200</v>
      </c>
    </row>
    <row r="166" spans="1:9" x14ac:dyDescent="0.25">
      <c r="A166" s="21" t="s">
        <v>312</v>
      </c>
      <c r="B166">
        <v>59</v>
      </c>
      <c r="C166" s="21" t="s">
        <v>15</v>
      </c>
      <c r="D166" s="21" t="s">
        <v>52</v>
      </c>
      <c r="E166">
        <v>220</v>
      </c>
      <c r="F166">
        <v>25</v>
      </c>
      <c r="G166" s="21" t="s">
        <v>30</v>
      </c>
      <c r="H166" s="21" t="s">
        <v>17</v>
      </c>
      <c r="I166" s="21" t="s">
        <v>200</v>
      </c>
    </row>
    <row r="167" spans="1:9" x14ac:dyDescent="0.25">
      <c r="A167" s="21" t="s">
        <v>313</v>
      </c>
      <c r="B167">
        <v>20</v>
      </c>
      <c r="C167" s="21" t="s">
        <v>48</v>
      </c>
      <c r="D167" s="21" t="s">
        <v>11</v>
      </c>
      <c r="E167">
        <v>201</v>
      </c>
      <c r="F167">
        <v>26</v>
      </c>
      <c r="G167" s="21" t="s">
        <v>16</v>
      </c>
      <c r="H167" s="21" t="s">
        <v>251</v>
      </c>
      <c r="I167" s="21" t="s">
        <v>200</v>
      </c>
    </row>
    <row r="168" spans="1:9" x14ac:dyDescent="0.25">
      <c r="A168" s="21" t="s">
        <v>314</v>
      </c>
      <c r="B168">
        <v>99</v>
      </c>
      <c r="C168" s="21" t="s">
        <v>19</v>
      </c>
      <c r="D168" s="21" t="s">
        <v>52</v>
      </c>
      <c r="E168">
        <v>296</v>
      </c>
      <c r="G168" s="21" t="s">
        <v>25</v>
      </c>
      <c r="H168" s="21" t="s">
        <v>3251</v>
      </c>
      <c r="I168" s="21" t="s">
        <v>200</v>
      </c>
    </row>
    <row r="169" spans="1:9" x14ac:dyDescent="0.25">
      <c r="A169" s="21" t="s">
        <v>315</v>
      </c>
      <c r="B169">
        <v>19</v>
      </c>
      <c r="C169" s="21" t="s">
        <v>10</v>
      </c>
      <c r="D169" s="21" t="s">
        <v>29</v>
      </c>
      <c r="E169">
        <v>228</v>
      </c>
      <c r="F169">
        <v>25</v>
      </c>
      <c r="G169" s="21" t="s">
        <v>45</v>
      </c>
      <c r="H169" s="21" t="s">
        <v>241</v>
      </c>
      <c r="I169" s="21" t="s">
        <v>200</v>
      </c>
    </row>
    <row r="170" spans="1:9" x14ac:dyDescent="0.25">
      <c r="A170" s="21" t="s">
        <v>316</v>
      </c>
      <c r="B170">
        <v>96</v>
      </c>
      <c r="C170" s="21" t="s">
        <v>114</v>
      </c>
      <c r="D170" s="21" t="s">
        <v>24</v>
      </c>
      <c r="E170">
        <v>296</v>
      </c>
      <c r="F170">
        <v>28</v>
      </c>
      <c r="G170" s="21" t="s">
        <v>38</v>
      </c>
      <c r="H170" s="21" t="s">
        <v>130</v>
      </c>
      <c r="I170" s="21" t="s">
        <v>200</v>
      </c>
    </row>
    <row r="171" spans="1:9" x14ac:dyDescent="0.25">
      <c r="A171" s="21" t="s">
        <v>317</v>
      </c>
      <c r="B171">
        <v>24</v>
      </c>
      <c r="C171" s="21" t="s">
        <v>48</v>
      </c>
      <c r="D171" s="21" t="s">
        <v>52</v>
      </c>
      <c r="E171">
        <v>195</v>
      </c>
      <c r="F171">
        <v>23</v>
      </c>
      <c r="G171" s="21" t="s">
        <v>12</v>
      </c>
      <c r="H171" s="21" t="s">
        <v>136</v>
      </c>
      <c r="I171" s="21" t="s">
        <v>200</v>
      </c>
    </row>
    <row r="172" spans="1:9" x14ac:dyDescent="0.25">
      <c r="A172" s="21" t="s">
        <v>318</v>
      </c>
      <c r="B172">
        <v>91</v>
      </c>
      <c r="C172" s="21" t="s">
        <v>319</v>
      </c>
      <c r="D172" s="21" t="s">
        <v>35</v>
      </c>
      <c r="E172">
        <v>305</v>
      </c>
      <c r="F172">
        <v>27</v>
      </c>
      <c r="G172" s="21" t="s">
        <v>30</v>
      </c>
      <c r="H172" s="21" t="s">
        <v>320</v>
      </c>
      <c r="I172" s="21" t="s">
        <v>200</v>
      </c>
    </row>
    <row r="173" spans="1:9" x14ac:dyDescent="0.25">
      <c r="A173" s="21" t="s">
        <v>321</v>
      </c>
      <c r="B173">
        <v>37</v>
      </c>
      <c r="C173" s="21" t="s">
        <v>193</v>
      </c>
      <c r="D173" s="21" t="s">
        <v>29</v>
      </c>
      <c r="E173">
        <v>230</v>
      </c>
      <c r="F173">
        <v>23</v>
      </c>
      <c r="G173" s="21" t="s">
        <v>25</v>
      </c>
      <c r="H173" s="21" t="s">
        <v>322</v>
      </c>
      <c r="I173" s="21" t="s">
        <v>200</v>
      </c>
    </row>
    <row r="174" spans="1:9" x14ac:dyDescent="0.25">
      <c r="A174" s="21" t="s">
        <v>323</v>
      </c>
      <c r="B174">
        <v>73</v>
      </c>
      <c r="C174" s="21" t="s">
        <v>28</v>
      </c>
      <c r="D174" s="21" t="s">
        <v>67</v>
      </c>
      <c r="E174">
        <v>315</v>
      </c>
      <c r="G174" s="21" t="s">
        <v>25</v>
      </c>
      <c r="H174" s="21" t="s">
        <v>278</v>
      </c>
      <c r="I174" s="21" t="s">
        <v>200</v>
      </c>
    </row>
    <row r="175" spans="1:9" x14ac:dyDescent="0.25">
      <c r="A175" s="21" t="s">
        <v>324</v>
      </c>
      <c r="B175">
        <v>3</v>
      </c>
      <c r="C175" s="21" t="s">
        <v>230</v>
      </c>
      <c r="D175" s="21" t="s">
        <v>44</v>
      </c>
      <c r="E175">
        <v>230</v>
      </c>
      <c r="F175">
        <v>24</v>
      </c>
      <c r="G175" s="21" t="s">
        <v>12</v>
      </c>
      <c r="H175" s="21" t="s">
        <v>26</v>
      </c>
      <c r="I175" s="21" t="s">
        <v>200</v>
      </c>
    </row>
    <row r="176" spans="1:9" x14ac:dyDescent="0.25">
      <c r="A176" s="21" t="s">
        <v>325</v>
      </c>
      <c r="B176">
        <v>72</v>
      </c>
      <c r="C176" s="21" t="s">
        <v>28</v>
      </c>
      <c r="D176" s="21" t="s">
        <v>29</v>
      </c>
      <c r="E176">
        <v>270</v>
      </c>
      <c r="F176">
        <v>24</v>
      </c>
      <c r="G176" s="21" t="s">
        <v>25</v>
      </c>
      <c r="H176" s="21" t="s">
        <v>42</v>
      </c>
      <c r="I176" s="21" t="s">
        <v>200</v>
      </c>
    </row>
    <row r="177" spans="1:9" x14ac:dyDescent="0.25">
      <c r="A177" s="21" t="s">
        <v>326</v>
      </c>
      <c r="B177">
        <v>33</v>
      </c>
      <c r="C177" s="21" t="s">
        <v>124</v>
      </c>
      <c r="D177" s="21" t="s">
        <v>24</v>
      </c>
      <c r="E177">
        <v>202</v>
      </c>
      <c r="G177" s="21" t="s">
        <v>25</v>
      </c>
      <c r="H177" s="21" t="s">
        <v>207</v>
      </c>
      <c r="I177" s="21" t="s">
        <v>200</v>
      </c>
    </row>
    <row r="178" spans="1:9" x14ac:dyDescent="0.25">
      <c r="A178" s="21" t="s">
        <v>327</v>
      </c>
      <c r="B178">
        <v>68</v>
      </c>
      <c r="C178" s="21" t="s">
        <v>140</v>
      </c>
      <c r="D178" s="21" t="s">
        <v>35</v>
      </c>
      <c r="E178">
        <v>329</v>
      </c>
      <c r="F178">
        <v>27</v>
      </c>
      <c r="G178" s="21" t="s">
        <v>38</v>
      </c>
      <c r="H178" s="21" t="s">
        <v>328</v>
      </c>
      <c r="I178" s="21" t="s">
        <v>200</v>
      </c>
    </row>
    <row r="179" spans="1:9" x14ac:dyDescent="0.25">
      <c r="A179" s="21" t="s">
        <v>329</v>
      </c>
      <c r="B179">
        <v>35</v>
      </c>
      <c r="C179" s="21" t="s">
        <v>51</v>
      </c>
      <c r="D179" s="21" t="s">
        <v>135</v>
      </c>
      <c r="E179">
        <v>195</v>
      </c>
      <c r="F179">
        <v>24</v>
      </c>
      <c r="G179" s="21" t="s">
        <v>30</v>
      </c>
      <c r="H179" s="21" t="s">
        <v>330</v>
      </c>
      <c r="I179" s="21" t="s">
        <v>200</v>
      </c>
    </row>
    <row r="180" spans="1:9" x14ac:dyDescent="0.25">
      <c r="A180" s="21" t="s">
        <v>331</v>
      </c>
      <c r="B180">
        <v>6</v>
      </c>
      <c r="C180" s="21" t="s">
        <v>51</v>
      </c>
      <c r="D180" s="21" t="s">
        <v>54</v>
      </c>
      <c r="E180">
        <v>221</v>
      </c>
      <c r="F180">
        <v>30</v>
      </c>
      <c r="G180" s="21" t="s">
        <v>21</v>
      </c>
      <c r="H180" s="21" t="s">
        <v>187</v>
      </c>
      <c r="I180" s="21" t="s">
        <v>200</v>
      </c>
    </row>
    <row r="181" spans="1:9" x14ac:dyDescent="0.25">
      <c r="A181" s="21" t="s">
        <v>332</v>
      </c>
      <c r="B181">
        <v>17</v>
      </c>
      <c r="C181" s="21" t="s">
        <v>10</v>
      </c>
      <c r="D181" s="21" t="s">
        <v>86</v>
      </c>
      <c r="E181">
        <v>193</v>
      </c>
      <c r="F181">
        <v>25</v>
      </c>
      <c r="G181" s="21" t="s">
        <v>16</v>
      </c>
      <c r="H181" s="21" t="s">
        <v>333</v>
      </c>
      <c r="I181" s="21" t="s">
        <v>200</v>
      </c>
    </row>
    <row r="182" spans="1:9" x14ac:dyDescent="0.25">
      <c r="A182" s="21" t="s">
        <v>266</v>
      </c>
      <c r="B182">
        <v>45</v>
      </c>
      <c r="C182" s="21" t="s">
        <v>230</v>
      </c>
      <c r="D182" s="21" t="s">
        <v>52</v>
      </c>
      <c r="E182">
        <v>227</v>
      </c>
      <c r="F182">
        <v>27</v>
      </c>
      <c r="G182" s="21" t="s">
        <v>100</v>
      </c>
      <c r="H182" s="21" t="s">
        <v>267</v>
      </c>
      <c r="I182" s="21" t="s">
        <v>200</v>
      </c>
    </row>
    <row r="183" spans="1:9" x14ac:dyDescent="0.25">
      <c r="A183" s="21" t="s">
        <v>334</v>
      </c>
      <c r="B183">
        <v>44</v>
      </c>
      <c r="C183" s="21" t="s">
        <v>158</v>
      </c>
      <c r="D183" s="21" t="s">
        <v>35</v>
      </c>
      <c r="E183">
        <v>237</v>
      </c>
      <c r="F183">
        <v>32</v>
      </c>
      <c r="G183" s="21" t="s">
        <v>111</v>
      </c>
      <c r="H183" s="21" t="s">
        <v>335</v>
      </c>
      <c r="I183" s="21" t="s">
        <v>200</v>
      </c>
    </row>
    <row r="184" spans="1:9" x14ac:dyDescent="0.25">
      <c r="A184" s="21" t="s">
        <v>336</v>
      </c>
      <c r="B184">
        <v>18</v>
      </c>
      <c r="C184" s="21" t="s">
        <v>10</v>
      </c>
      <c r="D184" s="21" t="s">
        <v>52</v>
      </c>
      <c r="E184">
        <v>190</v>
      </c>
      <c r="F184">
        <v>27</v>
      </c>
      <c r="G184" s="21" t="s">
        <v>45</v>
      </c>
      <c r="H184" s="21" t="s">
        <v>233</v>
      </c>
      <c r="I184" s="21" t="s">
        <v>200</v>
      </c>
    </row>
    <row r="185" spans="1:9" x14ac:dyDescent="0.25">
      <c r="A185" s="21" t="s">
        <v>338</v>
      </c>
      <c r="B185">
        <v>94</v>
      </c>
      <c r="C185" s="21" t="s">
        <v>319</v>
      </c>
      <c r="D185" s="21" t="s">
        <v>35</v>
      </c>
      <c r="E185">
        <v>281</v>
      </c>
      <c r="F185">
        <v>24</v>
      </c>
      <c r="G185" s="21" t="s">
        <v>16</v>
      </c>
      <c r="H185" s="21" t="s">
        <v>278</v>
      </c>
      <c r="I185" s="21" t="s">
        <v>337</v>
      </c>
    </row>
    <row r="186" spans="1:9" x14ac:dyDescent="0.25">
      <c r="A186" s="21" t="s">
        <v>339</v>
      </c>
      <c r="B186">
        <v>89</v>
      </c>
      <c r="C186" s="21" t="s">
        <v>57</v>
      </c>
      <c r="D186" s="21" t="s">
        <v>24</v>
      </c>
      <c r="E186">
        <v>230</v>
      </c>
      <c r="F186">
        <v>29</v>
      </c>
      <c r="G186" s="21" t="s">
        <v>45</v>
      </c>
      <c r="H186" s="21" t="s">
        <v>226</v>
      </c>
      <c r="I186" s="21" t="s">
        <v>337</v>
      </c>
    </row>
    <row r="187" spans="1:9" x14ac:dyDescent="0.25">
      <c r="A187" s="21" t="s">
        <v>340</v>
      </c>
      <c r="B187">
        <v>82</v>
      </c>
      <c r="C187" s="21" t="s">
        <v>10</v>
      </c>
      <c r="D187" s="21" t="s">
        <v>125</v>
      </c>
      <c r="E187">
        <v>175</v>
      </c>
      <c r="F187">
        <v>25</v>
      </c>
      <c r="G187" s="21" t="s">
        <v>83</v>
      </c>
      <c r="H187" s="21" t="s">
        <v>274</v>
      </c>
      <c r="I187" s="21" t="s">
        <v>337</v>
      </c>
    </row>
    <row r="188" spans="1:9" x14ac:dyDescent="0.25">
      <c r="A188" s="21" t="s">
        <v>341</v>
      </c>
      <c r="B188">
        <v>3</v>
      </c>
      <c r="C188" s="21" t="s">
        <v>89</v>
      </c>
      <c r="D188" s="21" t="s">
        <v>125</v>
      </c>
      <c r="E188">
        <v>195</v>
      </c>
      <c r="F188">
        <v>26</v>
      </c>
      <c r="G188" s="21" t="s">
        <v>38</v>
      </c>
      <c r="H188" s="21" t="s">
        <v>274</v>
      </c>
      <c r="I188" s="21" t="s">
        <v>337</v>
      </c>
    </row>
    <row r="189" spans="1:9" x14ac:dyDescent="0.25">
      <c r="A189" s="21" t="s">
        <v>342</v>
      </c>
      <c r="B189">
        <v>31</v>
      </c>
      <c r="C189" s="21" t="s">
        <v>48</v>
      </c>
      <c r="D189" s="21" t="s">
        <v>52</v>
      </c>
      <c r="E189">
        <v>190</v>
      </c>
      <c r="F189">
        <v>24</v>
      </c>
      <c r="G189" s="21" t="s">
        <v>25</v>
      </c>
      <c r="H189" s="21" t="s">
        <v>269</v>
      </c>
      <c r="I189" s="21" t="s">
        <v>337</v>
      </c>
    </row>
    <row r="190" spans="1:9" x14ac:dyDescent="0.25">
      <c r="A190" s="21" t="s">
        <v>343</v>
      </c>
      <c r="B190">
        <v>68</v>
      </c>
      <c r="C190" s="21" t="s">
        <v>28</v>
      </c>
      <c r="D190" s="21" t="s">
        <v>44</v>
      </c>
      <c r="E190">
        <v>308</v>
      </c>
      <c r="F190">
        <v>33</v>
      </c>
      <c r="G190" s="21" t="s">
        <v>254</v>
      </c>
      <c r="H190" s="21" t="s">
        <v>674</v>
      </c>
      <c r="I190" s="21" t="s">
        <v>337</v>
      </c>
    </row>
    <row r="191" spans="1:9" x14ac:dyDescent="0.25">
      <c r="A191" s="21" t="s">
        <v>344</v>
      </c>
      <c r="B191">
        <v>26</v>
      </c>
      <c r="C191" s="21" t="s">
        <v>51</v>
      </c>
      <c r="D191" s="21" t="s">
        <v>135</v>
      </c>
      <c r="E191">
        <v>207</v>
      </c>
      <c r="F191">
        <v>23</v>
      </c>
      <c r="G191" s="21" t="s">
        <v>12</v>
      </c>
      <c r="H191" s="21" t="s">
        <v>13</v>
      </c>
      <c r="I191" s="21" t="s">
        <v>337</v>
      </c>
    </row>
    <row r="192" spans="1:9" x14ac:dyDescent="0.25">
      <c r="A192" s="21" t="s">
        <v>345</v>
      </c>
      <c r="B192">
        <v>39</v>
      </c>
      <c r="C192" s="21" t="s">
        <v>10</v>
      </c>
      <c r="D192" s="21" t="s">
        <v>52</v>
      </c>
      <c r="E192">
        <v>182</v>
      </c>
      <c r="F192">
        <v>26</v>
      </c>
      <c r="G192" s="21" t="s">
        <v>16</v>
      </c>
      <c r="H192" s="21" t="s">
        <v>181</v>
      </c>
      <c r="I192" s="21" t="s">
        <v>337</v>
      </c>
    </row>
    <row r="193" spans="1:9" x14ac:dyDescent="0.25">
      <c r="A193" s="21" t="s">
        <v>346</v>
      </c>
      <c r="B193">
        <v>21</v>
      </c>
      <c r="C193" s="21" t="s">
        <v>48</v>
      </c>
      <c r="D193" s="21" t="s">
        <v>11</v>
      </c>
      <c r="E193">
        <v>189</v>
      </c>
      <c r="F193">
        <v>27</v>
      </c>
      <c r="G193" s="21" t="s">
        <v>16</v>
      </c>
      <c r="H193" s="21" t="s">
        <v>347</v>
      </c>
      <c r="I193" s="21" t="s">
        <v>337</v>
      </c>
    </row>
    <row r="194" spans="1:9" x14ac:dyDescent="0.25">
      <c r="A194" s="21" t="s">
        <v>348</v>
      </c>
      <c r="B194">
        <v>46</v>
      </c>
      <c r="C194" s="21" t="s">
        <v>158</v>
      </c>
      <c r="D194" s="21" t="s">
        <v>29</v>
      </c>
      <c r="E194">
        <v>232</v>
      </c>
      <c r="F194">
        <v>32</v>
      </c>
      <c r="G194" s="21" t="s">
        <v>254</v>
      </c>
      <c r="H194" s="21" t="s">
        <v>33</v>
      </c>
      <c r="I194" s="21" t="s">
        <v>337</v>
      </c>
    </row>
    <row r="195" spans="1:9" x14ac:dyDescent="0.25">
      <c r="A195" s="21" t="s">
        <v>349</v>
      </c>
      <c r="B195">
        <v>37</v>
      </c>
      <c r="C195" s="21" t="s">
        <v>48</v>
      </c>
      <c r="D195" s="21" t="s">
        <v>11</v>
      </c>
      <c r="E195">
        <v>192</v>
      </c>
      <c r="F195">
        <v>25</v>
      </c>
      <c r="G195" s="21" t="s">
        <v>83</v>
      </c>
      <c r="H195" s="21" t="s">
        <v>191</v>
      </c>
      <c r="I195" s="21" t="s">
        <v>337</v>
      </c>
    </row>
    <row r="196" spans="1:9" x14ac:dyDescent="0.25">
      <c r="A196" s="21" t="s">
        <v>350</v>
      </c>
      <c r="B196">
        <v>2</v>
      </c>
      <c r="C196" s="21" t="s">
        <v>10</v>
      </c>
      <c r="D196" s="21" t="s">
        <v>135</v>
      </c>
      <c r="E196">
        <v>170</v>
      </c>
      <c r="F196">
        <v>25</v>
      </c>
      <c r="G196" s="21" t="s">
        <v>16</v>
      </c>
      <c r="H196" s="21" t="s">
        <v>187</v>
      </c>
      <c r="I196" s="21" t="s">
        <v>337</v>
      </c>
    </row>
    <row r="197" spans="1:9" x14ac:dyDescent="0.25">
      <c r="A197" s="21" t="s">
        <v>351</v>
      </c>
      <c r="B197">
        <v>25</v>
      </c>
      <c r="C197" s="21" t="s">
        <v>230</v>
      </c>
      <c r="D197" s="21" t="s">
        <v>35</v>
      </c>
      <c r="E197">
        <v>260</v>
      </c>
      <c r="F197">
        <v>23</v>
      </c>
      <c r="G197" s="21" t="s">
        <v>30</v>
      </c>
      <c r="H197" s="21" t="s">
        <v>352</v>
      </c>
      <c r="I197" s="21" t="s">
        <v>337</v>
      </c>
    </row>
    <row r="198" spans="1:9" x14ac:dyDescent="0.25">
      <c r="A198" s="21" t="s">
        <v>353</v>
      </c>
      <c r="B198">
        <v>6</v>
      </c>
      <c r="C198" s="21" t="s">
        <v>51</v>
      </c>
      <c r="D198" s="21" t="s">
        <v>52</v>
      </c>
      <c r="E198">
        <v>233</v>
      </c>
      <c r="F198">
        <v>27</v>
      </c>
      <c r="G198" s="21" t="s">
        <v>38</v>
      </c>
      <c r="H198" s="21" t="s">
        <v>128</v>
      </c>
      <c r="I198" s="21" t="s">
        <v>337</v>
      </c>
    </row>
    <row r="199" spans="1:9" x14ac:dyDescent="0.25">
      <c r="A199" s="21" t="s">
        <v>354</v>
      </c>
      <c r="B199">
        <v>15</v>
      </c>
      <c r="C199" s="21" t="s">
        <v>193</v>
      </c>
      <c r="D199" s="21" t="s">
        <v>44</v>
      </c>
      <c r="E199">
        <v>202</v>
      </c>
      <c r="F199">
        <v>25</v>
      </c>
      <c r="G199" s="21" t="s">
        <v>83</v>
      </c>
      <c r="H199" s="21" t="s">
        <v>355</v>
      </c>
      <c r="I199" s="21" t="s">
        <v>337</v>
      </c>
    </row>
    <row r="200" spans="1:9" x14ac:dyDescent="0.25">
      <c r="A200" s="21" t="s">
        <v>356</v>
      </c>
      <c r="B200">
        <v>48</v>
      </c>
      <c r="C200" s="21" t="s">
        <v>89</v>
      </c>
      <c r="D200" s="21" t="s">
        <v>54</v>
      </c>
      <c r="E200">
        <v>201</v>
      </c>
      <c r="F200">
        <v>23</v>
      </c>
      <c r="G200" s="21" t="s">
        <v>25</v>
      </c>
      <c r="H200" s="21" t="s">
        <v>357</v>
      </c>
      <c r="I200" s="21" t="s">
        <v>337</v>
      </c>
    </row>
    <row r="201" spans="1:9" x14ac:dyDescent="0.25">
      <c r="A201" s="21" t="s">
        <v>358</v>
      </c>
      <c r="B201">
        <v>92</v>
      </c>
      <c r="C201" s="21" t="s">
        <v>319</v>
      </c>
      <c r="D201" s="21" t="s">
        <v>29</v>
      </c>
      <c r="E201">
        <v>292</v>
      </c>
      <c r="F201">
        <v>26</v>
      </c>
      <c r="G201" s="21" t="s">
        <v>16</v>
      </c>
      <c r="H201" s="21" t="s">
        <v>39</v>
      </c>
      <c r="I201" s="21" t="s">
        <v>337</v>
      </c>
    </row>
    <row r="202" spans="1:9" x14ac:dyDescent="0.25">
      <c r="A202" s="21" t="s">
        <v>359</v>
      </c>
      <c r="B202">
        <v>52</v>
      </c>
      <c r="C202" s="21" t="s">
        <v>213</v>
      </c>
      <c r="D202" s="21" t="s">
        <v>24</v>
      </c>
      <c r="E202">
        <v>265</v>
      </c>
      <c r="F202">
        <v>22</v>
      </c>
      <c r="G202" s="21" t="s">
        <v>30</v>
      </c>
      <c r="H202" s="21" t="s">
        <v>347</v>
      </c>
      <c r="I202" s="21" t="s">
        <v>337</v>
      </c>
    </row>
    <row r="203" spans="1:9" x14ac:dyDescent="0.25">
      <c r="A203" s="21" t="s">
        <v>360</v>
      </c>
      <c r="B203">
        <v>91</v>
      </c>
      <c r="C203" s="21" t="s">
        <v>319</v>
      </c>
      <c r="D203" s="21" t="s">
        <v>44</v>
      </c>
      <c r="E203">
        <v>295</v>
      </c>
      <c r="F203">
        <v>26</v>
      </c>
      <c r="G203" s="21" t="s">
        <v>12</v>
      </c>
      <c r="H203" s="21" t="s">
        <v>256</v>
      </c>
      <c r="I203" s="21" t="s">
        <v>337</v>
      </c>
    </row>
    <row r="204" spans="1:9" x14ac:dyDescent="0.25">
      <c r="A204" s="21" t="s">
        <v>361</v>
      </c>
      <c r="B204">
        <v>83</v>
      </c>
      <c r="C204" s="21" t="s">
        <v>10</v>
      </c>
      <c r="D204" s="21" t="s">
        <v>362</v>
      </c>
      <c r="E204">
        <v>175</v>
      </c>
      <c r="F204">
        <v>24</v>
      </c>
      <c r="G204" s="21" t="s">
        <v>30</v>
      </c>
      <c r="H204" s="21" t="s">
        <v>282</v>
      </c>
      <c r="I204" s="21" t="s">
        <v>337</v>
      </c>
    </row>
    <row r="205" spans="1:9" x14ac:dyDescent="0.25">
      <c r="A205" s="21" t="s">
        <v>363</v>
      </c>
      <c r="B205">
        <v>86</v>
      </c>
      <c r="C205" s="21" t="s">
        <v>57</v>
      </c>
      <c r="D205" s="21" t="s">
        <v>29</v>
      </c>
      <c r="E205">
        <v>250</v>
      </c>
      <c r="F205">
        <v>31</v>
      </c>
      <c r="G205" s="21" t="s">
        <v>111</v>
      </c>
      <c r="H205" s="21" t="s">
        <v>165</v>
      </c>
      <c r="I205" s="21" t="s">
        <v>337</v>
      </c>
    </row>
    <row r="206" spans="1:9" x14ac:dyDescent="0.25">
      <c r="A206" s="21" t="s">
        <v>364</v>
      </c>
      <c r="B206">
        <v>95</v>
      </c>
      <c r="C206" s="21" t="s">
        <v>114</v>
      </c>
      <c r="D206" s="21" t="s">
        <v>29</v>
      </c>
      <c r="E206">
        <v>330</v>
      </c>
      <c r="F206">
        <v>23</v>
      </c>
      <c r="G206" s="21" t="s">
        <v>12</v>
      </c>
      <c r="H206" s="21" t="s">
        <v>194</v>
      </c>
      <c r="I206" s="21" t="s">
        <v>337</v>
      </c>
    </row>
    <row r="207" spans="1:9" x14ac:dyDescent="0.25">
      <c r="A207" s="21" t="s">
        <v>365</v>
      </c>
      <c r="B207">
        <v>45</v>
      </c>
      <c r="C207" s="21" t="s">
        <v>213</v>
      </c>
      <c r="D207" s="21" t="s">
        <v>11</v>
      </c>
      <c r="E207">
        <v>232</v>
      </c>
      <c r="F207">
        <v>27</v>
      </c>
      <c r="G207" s="21" t="s">
        <v>45</v>
      </c>
      <c r="H207" s="21" t="s">
        <v>366</v>
      </c>
      <c r="I207" s="21" t="s">
        <v>337</v>
      </c>
    </row>
    <row r="208" spans="1:9" x14ac:dyDescent="0.25">
      <c r="A208" s="21" t="s">
        <v>367</v>
      </c>
      <c r="B208">
        <v>44</v>
      </c>
      <c r="C208" s="21" t="s">
        <v>213</v>
      </c>
      <c r="D208" s="21" t="s">
        <v>44</v>
      </c>
      <c r="E208">
        <v>260</v>
      </c>
      <c r="F208">
        <v>31</v>
      </c>
      <c r="G208" s="21" t="s">
        <v>21</v>
      </c>
      <c r="H208" s="21" t="s">
        <v>335</v>
      </c>
      <c r="I208" s="21" t="s">
        <v>337</v>
      </c>
    </row>
    <row r="209" spans="1:9" x14ac:dyDescent="0.25">
      <c r="A209" s="21" t="s">
        <v>368</v>
      </c>
      <c r="B209">
        <v>18</v>
      </c>
      <c r="C209" s="21" t="s">
        <v>10</v>
      </c>
      <c r="D209" s="21" t="s">
        <v>35</v>
      </c>
      <c r="E209">
        <v>207</v>
      </c>
      <c r="F209">
        <v>33</v>
      </c>
      <c r="G209" s="21" t="s">
        <v>186</v>
      </c>
      <c r="H209" s="21" t="s">
        <v>196</v>
      </c>
      <c r="I209" s="21" t="s">
        <v>337</v>
      </c>
    </row>
    <row r="210" spans="1:9" x14ac:dyDescent="0.25">
      <c r="A210" s="21" t="s">
        <v>369</v>
      </c>
      <c r="B210">
        <v>16</v>
      </c>
      <c r="C210" s="21" t="s">
        <v>70</v>
      </c>
      <c r="D210" s="21" t="s">
        <v>44</v>
      </c>
      <c r="E210">
        <v>219</v>
      </c>
      <c r="F210">
        <v>24</v>
      </c>
      <c r="G210" s="21" t="s">
        <v>25</v>
      </c>
      <c r="H210" s="21" t="s">
        <v>370</v>
      </c>
      <c r="I210" s="21" t="s">
        <v>337</v>
      </c>
    </row>
    <row r="211" spans="1:9" x14ac:dyDescent="0.25">
      <c r="A211" s="21" t="s">
        <v>371</v>
      </c>
      <c r="B211">
        <v>33</v>
      </c>
      <c r="C211" s="21" t="s">
        <v>48</v>
      </c>
      <c r="D211" s="21" t="s">
        <v>11</v>
      </c>
      <c r="E211">
        <v>188</v>
      </c>
      <c r="F211">
        <v>29</v>
      </c>
      <c r="G211" s="21" t="s">
        <v>100</v>
      </c>
      <c r="H211" s="21" t="s">
        <v>372</v>
      </c>
      <c r="I211" s="21" t="s">
        <v>337</v>
      </c>
    </row>
    <row r="212" spans="1:9" x14ac:dyDescent="0.25">
      <c r="A212" s="21" t="s">
        <v>373</v>
      </c>
      <c r="B212">
        <v>64</v>
      </c>
      <c r="C212" s="21" t="s">
        <v>28</v>
      </c>
      <c r="D212" s="21" t="s">
        <v>35</v>
      </c>
      <c r="E212">
        <v>284</v>
      </c>
      <c r="F212">
        <v>27</v>
      </c>
      <c r="G212" s="21" t="s">
        <v>12</v>
      </c>
      <c r="H212" s="21" t="s">
        <v>374</v>
      </c>
      <c r="I212" s="21" t="s">
        <v>337</v>
      </c>
    </row>
    <row r="213" spans="1:9" x14ac:dyDescent="0.25">
      <c r="A213" s="21" t="s">
        <v>375</v>
      </c>
      <c r="B213">
        <v>78</v>
      </c>
      <c r="C213" s="21" t="s">
        <v>28</v>
      </c>
      <c r="D213" s="21" t="s">
        <v>29</v>
      </c>
      <c r="E213">
        <v>324</v>
      </c>
      <c r="F213">
        <v>23</v>
      </c>
      <c r="G213" s="21" t="s">
        <v>25</v>
      </c>
      <c r="H213" s="21" t="s">
        <v>187</v>
      </c>
      <c r="I213" s="21" t="s">
        <v>337</v>
      </c>
    </row>
    <row r="214" spans="1:9" x14ac:dyDescent="0.25">
      <c r="A214" s="21" t="s">
        <v>376</v>
      </c>
      <c r="B214">
        <v>76</v>
      </c>
      <c r="C214" s="21" t="s">
        <v>28</v>
      </c>
      <c r="D214" s="21" t="s">
        <v>24</v>
      </c>
      <c r="E214">
        <v>335</v>
      </c>
      <c r="F214">
        <v>26</v>
      </c>
      <c r="G214" s="21" t="s">
        <v>45</v>
      </c>
      <c r="H214" s="21" t="s">
        <v>377</v>
      </c>
      <c r="I214" s="21" t="s">
        <v>337</v>
      </c>
    </row>
    <row r="215" spans="1:9" x14ac:dyDescent="0.25">
      <c r="A215" s="21" t="s">
        <v>378</v>
      </c>
      <c r="B215">
        <v>10</v>
      </c>
      <c r="C215" s="21" t="s">
        <v>10</v>
      </c>
      <c r="D215" s="21" t="s">
        <v>52</v>
      </c>
      <c r="E215">
        <v>212</v>
      </c>
      <c r="F215">
        <v>30</v>
      </c>
      <c r="G215" s="21" t="s">
        <v>64</v>
      </c>
      <c r="H215" s="21" t="s">
        <v>136</v>
      </c>
      <c r="I215" s="21" t="s">
        <v>337</v>
      </c>
    </row>
    <row r="216" spans="1:9" x14ac:dyDescent="0.25">
      <c r="A216" s="21" t="s">
        <v>379</v>
      </c>
      <c r="B216">
        <v>61</v>
      </c>
      <c r="C216" s="21" t="s">
        <v>28</v>
      </c>
      <c r="D216" s="21" t="s">
        <v>24</v>
      </c>
      <c r="E216">
        <v>315</v>
      </c>
      <c r="F216">
        <v>33</v>
      </c>
      <c r="G216" s="21" t="s">
        <v>186</v>
      </c>
      <c r="H216" s="21" t="s">
        <v>241</v>
      </c>
      <c r="I216" s="21" t="s">
        <v>337</v>
      </c>
    </row>
    <row r="217" spans="1:9" x14ac:dyDescent="0.25">
      <c r="A217" s="21" t="s">
        <v>380</v>
      </c>
      <c r="B217">
        <v>74</v>
      </c>
      <c r="C217" s="21" t="s">
        <v>28</v>
      </c>
      <c r="D217" s="21" t="s">
        <v>29</v>
      </c>
      <c r="E217">
        <v>307</v>
      </c>
      <c r="F217">
        <v>28</v>
      </c>
      <c r="G217" s="21" t="s">
        <v>21</v>
      </c>
      <c r="H217" s="21" t="s">
        <v>251</v>
      </c>
      <c r="I217" s="21" t="s">
        <v>337</v>
      </c>
    </row>
    <row r="218" spans="1:9" x14ac:dyDescent="0.25">
      <c r="A218" s="21" t="s">
        <v>381</v>
      </c>
      <c r="B218">
        <v>30</v>
      </c>
      <c r="C218" s="21" t="s">
        <v>51</v>
      </c>
      <c r="D218" s="21" t="s">
        <v>11</v>
      </c>
      <c r="E218">
        <v>215</v>
      </c>
      <c r="F218">
        <v>22</v>
      </c>
      <c r="G218" s="21" t="s">
        <v>25</v>
      </c>
      <c r="H218" s="21" t="s">
        <v>280</v>
      </c>
      <c r="I218" s="21" t="s">
        <v>337</v>
      </c>
    </row>
    <row r="219" spans="1:9" x14ac:dyDescent="0.25">
      <c r="A219" s="21" t="s">
        <v>382</v>
      </c>
      <c r="B219">
        <v>17</v>
      </c>
      <c r="C219" s="21" t="s">
        <v>10</v>
      </c>
      <c r="D219" s="21" t="s">
        <v>135</v>
      </c>
      <c r="E219">
        <v>188</v>
      </c>
      <c r="F219">
        <v>25</v>
      </c>
      <c r="G219" s="21" t="s">
        <v>16</v>
      </c>
      <c r="H219" s="21" t="s">
        <v>383</v>
      </c>
      <c r="I219" s="21" t="s">
        <v>337</v>
      </c>
    </row>
    <row r="220" spans="1:9" x14ac:dyDescent="0.25">
      <c r="A220" s="21" t="s">
        <v>384</v>
      </c>
      <c r="B220">
        <v>63</v>
      </c>
      <c r="C220" s="21" t="s">
        <v>28</v>
      </c>
      <c r="D220" s="21" t="s">
        <v>44</v>
      </c>
      <c r="E220">
        <v>306</v>
      </c>
      <c r="F220">
        <v>28</v>
      </c>
      <c r="G220" s="21" t="s">
        <v>16</v>
      </c>
      <c r="H220" s="21" t="s">
        <v>385</v>
      </c>
      <c r="I220" s="21" t="s">
        <v>337</v>
      </c>
    </row>
    <row r="221" spans="1:9" x14ac:dyDescent="0.25">
      <c r="A221" s="21" t="s">
        <v>386</v>
      </c>
      <c r="B221">
        <v>36</v>
      </c>
      <c r="C221" s="21" t="s">
        <v>48</v>
      </c>
      <c r="D221" s="21" t="s">
        <v>11</v>
      </c>
      <c r="E221">
        <v>196</v>
      </c>
      <c r="F221">
        <v>26</v>
      </c>
      <c r="G221" s="21" t="s">
        <v>45</v>
      </c>
      <c r="H221" s="21" t="s">
        <v>117</v>
      </c>
      <c r="I221" s="21" t="s">
        <v>337</v>
      </c>
    </row>
    <row r="222" spans="1:9" x14ac:dyDescent="0.25">
      <c r="A222" s="21" t="s">
        <v>387</v>
      </c>
      <c r="B222">
        <v>79</v>
      </c>
      <c r="C222" s="21" t="s">
        <v>28</v>
      </c>
      <c r="D222" s="21" t="s">
        <v>29</v>
      </c>
      <c r="E222">
        <v>319</v>
      </c>
      <c r="F222">
        <v>25</v>
      </c>
      <c r="G222" s="21" t="s">
        <v>12</v>
      </c>
      <c r="H222" s="21" t="s">
        <v>320</v>
      </c>
      <c r="I222" s="21" t="s">
        <v>337</v>
      </c>
    </row>
    <row r="223" spans="1:9" x14ac:dyDescent="0.25">
      <c r="A223" s="21" t="s">
        <v>388</v>
      </c>
      <c r="B223">
        <v>75</v>
      </c>
      <c r="C223" s="21" t="s">
        <v>114</v>
      </c>
      <c r="D223" s="21" t="s">
        <v>35</v>
      </c>
      <c r="E223">
        <v>290</v>
      </c>
      <c r="F223">
        <v>23</v>
      </c>
      <c r="G223" s="21" t="s">
        <v>25</v>
      </c>
      <c r="H223" s="21" t="s">
        <v>389</v>
      </c>
      <c r="I223" s="21" t="s">
        <v>337</v>
      </c>
    </row>
    <row r="224" spans="1:9" x14ac:dyDescent="0.25">
      <c r="A224" s="21" t="s">
        <v>390</v>
      </c>
      <c r="B224">
        <v>96</v>
      </c>
      <c r="C224" s="21" t="s">
        <v>114</v>
      </c>
      <c r="D224" s="21" t="s">
        <v>44</v>
      </c>
      <c r="E224">
        <v>288</v>
      </c>
      <c r="F224">
        <v>25</v>
      </c>
      <c r="G224" s="21" t="s">
        <v>16</v>
      </c>
      <c r="H224" s="21" t="s">
        <v>152</v>
      </c>
      <c r="I224" s="21" t="s">
        <v>337</v>
      </c>
    </row>
    <row r="225" spans="1:9" x14ac:dyDescent="0.25">
      <c r="A225" s="21" t="s">
        <v>391</v>
      </c>
      <c r="B225">
        <v>42</v>
      </c>
      <c r="C225" s="21" t="s">
        <v>213</v>
      </c>
      <c r="D225" s="21" t="s">
        <v>44</v>
      </c>
      <c r="E225">
        <v>256</v>
      </c>
      <c r="F225">
        <v>31</v>
      </c>
      <c r="G225" s="21" t="s">
        <v>64</v>
      </c>
      <c r="H225" s="21" t="s">
        <v>280</v>
      </c>
      <c r="I225" s="21" t="s">
        <v>337</v>
      </c>
    </row>
    <row r="226" spans="1:9" x14ac:dyDescent="0.25">
      <c r="A226" s="21" t="s">
        <v>392</v>
      </c>
      <c r="B226">
        <v>31</v>
      </c>
      <c r="C226" s="21" t="s">
        <v>10</v>
      </c>
      <c r="D226" s="21" t="s">
        <v>11</v>
      </c>
      <c r="E226">
        <v>184</v>
      </c>
      <c r="F226">
        <v>23</v>
      </c>
      <c r="G226" s="21" t="s">
        <v>25</v>
      </c>
      <c r="H226" s="21" t="s">
        <v>267</v>
      </c>
      <c r="I226" s="21" t="s">
        <v>337</v>
      </c>
    </row>
    <row r="227" spans="1:9" x14ac:dyDescent="0.25">
      <c r="A227" s="21" t="s">
        <v>393</v>
      </c>
      <c r="B227">
        <v>90</v>
      </c>
      <c r="C227" s="21" t="s">
        <v>114</v>
      </c>
      <c r="D227" s="21" t="s">
        <v>24</v>
      </c>
      <c r="E227">
        <v>308</v>
      </c>
      <c r="F227">
        <v>23</v>
      </c>
      <c r="G227" s="21" t="s">
        <v>12</v>
      </c>
      <c r="H227" s="21" t="s">
        <v>267</v>
      </c>
      <c r="I227" s="21" t="s">
        <v>337</v>
      </c>
    </row>
    <row r="228" spans="1:9" x14ac:dyDescent="0.25">
      <c r="A228" s="21" t="s">
        <v>394</v>
      </c>
      <c r="B228">
        <v>93</v>
      </c>
      <c r="C228" s="21" t="s">
        <v>319</v>
      </c>
      <c r="D228" s="21" t="s">
        <v>35</v>
      </c>
      <c r="E228">
        <v>280</v>
      </c>
      <c r="F228">
        <v>24</v>
      </c>
      <c r="G228" s="21" t="s">
        <v>30</v>
      </c>
      <c r="H228" s="21" t="s">
        <v>196</v>
      </c>
      <c r="I228" s="21" t="s">
        <v>337</v>
      </c>
    </row>
    <row r="229" spans="1:9" x14ac:dyDescent="0.25">
      <c r="A229" s="21" t="s">
        <v>395</v>
      </c>
      <c r="B229">
        <v>14</v>
      </c>
      <c r="C229" s="21" t="s">
        <v>193</v>
      </c>
      <c r="D229" s="21" t="s">
        <v>52</v>
      </c>
      <c r="E229">
        <v>185</v>
      </c>
      <c r="F229">
        <v>39</v>
      </c>
      <c r="G229" s="21" t="s">
        <v>396</v>
      </c>
      <c r="H229" s="21" t="s">
        <v>128</v>
      </c>
      <c r="I229" s="21" t="s">
        <v>337</v>
      </c>
    </row>
    <row r="230" spans="1:9" x14ac:dyDescent="0.25">
      <c r="A230" s="21" t="s">
        <v>397</v>
      </c>
      <c r="B230">
        <v>53</v>
      </c>
      <c r="C230" s="21" t="s">
        <v>213</v>
      </c>
      <c r="D230" s="21" t="s">
        <v>24</v>
      </c>
      <c r="E230">
        <v>240</v>
      </c>
      <c r="F230">
        <v>25</v>
      </c>
      <c r="G230" s="21" t="s">
        <v>12</v>
      </c>
      <c r="H230" s="21" t="s">
        <v>398</v>
      </c>
      <c r="I230" s="21" t="s">
        <v>337</v>
      </c>
    </row>
    <row r="231" spans="1:9" x14ac:dyDescent="0.25">
      <c r="A231" s="21" t="s">
        <v>399</v>
      </c>
      <c r="B231">
        <v>65</v>
      </c>
      <c r="C231" s="21" t="s">
        <v>28</v>
      </c>
      <c r="D231" s="21" t="s">
        <v>44</v>
      </c>
      <c r="E231">
        <v>304</v>
      </c>
      <c r="F231">
        <v>25</v>
      </c>
      <c r="G231" s="21" t="s">
        <v>25</v>
      </c>
      <c r="H231" s="21" t="s">
        <v>400</v>
      </c>
      <c r="I231" s="21" t="s">
        <v>337</v>
      </c>
    </row>
    <row r="232" spans="1:9" x14ac:dyDescent="0.25">
      <c r="A232" s="21" t="s">
        <v>401</v>
      </c>
      <c r="B232">
        <v>43</v>
      </c>
      <c r="C232" s="21" t="s">
        <v>213</v>
      </c>
      <c r="D232" s="21" t="s">
        <v>44</v>
      </c>
      <c r="E232">
        <v>247</v>
      </c>
      <c r="F232">
        <v>23</v>
      </c>
      <c r="G232" s="21" t="s">
        <v>25</v>
      </c>
      <c r="H232" s="21" t="s">
        <v>3251</v>
      </c>
      <c r="I232" s="21" t="s">
        <v>337</v>
      </c>
    </row>
    <row r="233" spans="1:9" x14ac:dyDescent="0.25">
      <c r="A233" s="21" t="s">
        <v>402</v>
      </c>
      <c r="B233">
        <v>60</v>
      </c>
      <c r="C233" s="21" t="s">
        <v>28</v>
      </c>
      <c r="D233" s="21" t="s">
        <v>20</v>
      </c>
      <c r="E233">
        <v>300</v>
      </c>
      <c r="F233">
        <v>26</v>
      </c>
      <c r="G233" s="21" t="s">
        <v>30</v>
      </c>
      <c r="H233" s="21" t="s">
        <v>355</v>
      </c>
      <c r="I233" s="21" t="s">
        <v>337</v>
      </c>
    </row>
    <row r="234" spans="1:9" x14ac:dyDescent="0.25">
      <c r="A234" s="21" t="s">
        <v>403</v>
      </c>
      <c r="B234">
        <v>35</v>
      </c>
      <c r="C234" s="21" t="s">
        <v>48</v>
      </c>
      <c r="D234" s="21" t="s">
        <v>24</v>
      </c>
      <c r="E234">
        <v>195</v>
      </c>
      <c r="F234">
        <v>25</v>
      </c>
      <c r="G234" s="21" t="s">
        <v>25</v>
      </c>
      <c r="H234" s="21" t="s">
        <v>404</v>
      </c>
      <c r="I234" s="21" t="s">
        <v>337</v>
      </c>
    </row>
    <row r="235" spans="1:9" x14ac:dyDescent="0.25">
      <c r="A235" s="21" t="s">
        <v>405</v>
      </c>
      <c r="B235">
        <v>85</v>
      </c>
      <c r="C235" s="21" t="s">
        <v>57</v>
      </c>
      <c r="D235" s="21" t="s">
        <v>44</v>
      </c>
      <c r="E235">
        <v>249</v>
      </c>
      <c r="F235">
        <v>22</v>
      </c>
      <c r="G235" s="21" t="s">
        <v>25</v>
      </c>
      <c r="H235" s="21" t="s">
        <v>389</v>
      </c>
      <c r="I235" s="21" t="s">
        <v>337</v>
      </c>
    </row>
    <row r="236" spans="1:9" x14ac:dyDescent="0.25">
      <c r="A236" s="21" t="s">
        <v>406</v>
      </c>
      <c r="B236">
        <v>12</v>
      </c>
      <c r="C236" s="21" t="s">
        <v>70</v>
      </c>
      <c r="D236" s="21" t="s">
        <v>52</v>
      </c>
      <c r="E236">
        <v>212</v>
      </c>
      <c r="F236">
        <v>35</v>
      </c>
      <c r="G236" s="21" t="s">
        <v>407</v>
      </c>
      <c r="H236" s="21" t="s">
        <v>109</v>
      </c>
      <c r="I236" s="21" t="s">
        <v>337</v>
      </c>
    </row>
    <row r="237" spans="1:9" x14ac:dyDescent="0.25">
      <c r="A237" s="21" t="s">
        <v>408</v>
      </c>
      <c r="B237">
        <v>19</v>
      </c>
      <c r="C237" s="21" t="s">
        <v>70</v>
      </c>
      <c r="D237" s="21" t="s">
        <v>11</v>
      </c>
      <c r="E237">
        <v>202</v>
      </c>
      <c r="F237">
        <v>26</v>
      </c>
      <c r="G237" s="21" t="s">
        <v>16</v>
      </c>
      <c r="H237" s="21" t="s">
        <v>3251</v>
      </c>
      <c r="I237" s="21" t="s">
        <v>337</v>
      </c>
    </row>
    <row r="238" spans="1:9" x14ac:dyDescent="0.25">
      <c r="A238" s="21" t="s">
        <v>409</v>
      </c>
      <c r="B238">
        <v>66</v>
      </c>
      <c r="C238" s="21" t="s">
        <v>28</v>
      </c>
      <c r="D238" s="21" t="s">
        <v>29</v>
      </c>
      <c r="E238">
        <v>314</v>
      </c>
      <c r="F238">
        <v>26</v>
      </c>
      <c r="G238" s="21" t="s">
        <v>16</v>
      </c>
      <c r="H238" s="21" t="s">
        <v>410</v>
      </c>
      <c r="I238" s="21" t="s">
        <v>337</v>
      </c>
    </row>
    <row r="239" spans="1:9" x14ac:dyDescent="0.25">
      <c r="A239" s="21" t="s">
        <v>411</v>
      </c>
      <c r="B239">
        <v>4</v>
      </c>
      <c r="C239" s="21" t="s">
        <v>10</v>
      </c>
      <c r="D239" s="21" t="s">
        <v>362</v>
      </c>
      <c r="E239">
        <v>180</v>
      </c>
      <c r="F239">
        <v>22</v>
      </c>
      <c r="G239" s="21" t="s">
        <v>30</v>
      </c>
      <c r="H239" s="21" t="s">
        <v>400</v>
      </c>
      <c r="I239" s="21" t="s">
        <v>337</v>
      </c>
    </row>
    <row r="240" spans="1:9" x14ac:dyDescent="0.25">
      <c r="A240" s="21" t="s">
        <v>412</v>
      </c>
      <c r="B240">
        <v>7</v>
      </c>
      <c r="C240" s="21" t="s">
        <v>48</v>
      </c>
      <c r="D240" s="21" t="s">
        <v>54</v>
      </c>
      <c r="E240">
        <v>190</v>
      </c>
      <c r="F240">
        <v>24</v>
      </c>
      <c r="G240" s="21" t="s">
        <v>16</v>
      </c>
      <c r="H240" s="21" t="s">
        <v>274</v>
      </c>
      <c r="I240" s="21" t="s">
        <v>337</v>
      </c>
    </row>
    <row r="241" spans="1:9" x14ac:dyDescent="0.25">
      <c r="A241" s="21" t="s">
        <v>413</v>
      </c>
      <c r="B241">
        <v>71</v>
      </c>
      <c r="C241" s="21" t="s">
        <v>28</v>
      </c>
      <c r="D241" s="21" t="s">
        <v>29</v>
      </c>
      <c r="E241">
        <v>315</v>
      </c>
      <c r="F241">
        <v>29</v>
      </c>
      <c r="G241" s="21" t="s">
        <v>45</v>
      </c>
      <c r="H241" s="21" t="s">
        <v>304</v>
      </c>
      <c r="I241" s="21" t="s">
        <v>337</v>
      </c>
    </row>
    <row r="242" spans="1:9" x14ac:dyDescent="0.25">
      <c r="A242" s="21" t="s">
        <v>414</v>
      </c>
      <c r="B242">
        <v>1</v>
      </c>
      <c r="C242" s="21" t="s">
        <v>70</v>
      </c>
      <c r="D242" s="21" t="s">
        <v>125</v>
      </c>
      <c r="E242">
        <v>207</v>
      </c>
      <c r="F242">
        <v>24</v>
      </c>
      <c r="G242" s="21" t="s">
        <v>16</v>
      </c>
      <c r="H242" s="21" t="s">
        <v>187</v>
      </c>
      <c r="I242" s="21" t="s">
        <v>337</v>
      </c>
    </row>
    <row r="243" spans="1:9" x14ac:dyDescent="0.25">
      <c r="A243" s="21" t="s">
        <v>415</v>
      </c>
      <c r="B243">
        <v>69</v>
      </c>
      <c r="C243" s="21" t="s">
        <v>28</v>
      </c>
      <c r="D243" s="21" t="s">
        <v>67</v>
      </c>
      <c r="E243">
        <v>298</v>
      </c>
      <c r="F243">
        <v>21</v>
      </c>
      <c r="G243" s="21" t="s">
        <v>25</v>
      </c>
      <c r="H243" s="21" t="s">
        <v>416</v>
      </c>
      <c r="I243" s="21" t="s">
        <v>337</v>
      </c>
    </row>
    <row r="244" spans="1:9" x14ac:dyDescent="0.25">
      <c r="A244" s="21" t="s">
        <v>417</v>
      </c>
      <c r="B244">
        <v>56</v>
      </c>
      <c r="C244" s="21" t="s">
        <v>230</v>
      </c>
      <c r="D244" s="21" t="s">
        <v>24</v>
      </c>
      <c r="E244">
        <v>235</v>
      </c>
      <c r="F244">
        <v>27</v>
      </c>
      <c r="G244" s="21" t="s">
        <v>45</v>
      </c>
      <c r="H244" s="21" t="s">
        <v>117</v>
      </c>
      <c r="I244" s="21" t="s">
        <v>337</v>
      </c>
    </row>
    <row r="245" spans="1:9" x14ac:dyDescent="0.25">
      <c r="A245" s="21" t="s">
        <v>418</v>
      </c>
      <c r="B245">
        <v>32</v>
      </c>
      <c r="C245" s="21" t="s">
        <v>10</v>
      </c>
      <c r="D245" s="21" t="s">
        <v>11</v>
      </c>
      <c r="E245">
        <v>175</v>
      </c>
      <c r="F245">
        <v>23</v>
      </c>
      <c r="G245" s="21" t="s">
        <v>25</v>
      </c>
      <c r="H245" s="21" t="s">
        <v>104</v>
      </c>
      <c r="I245" s="21" t="s">
        <v>337</v>
      </c>
    </row>
    <row r="246" spans="1:9" x14ac:dyDescent="0.25">
      <c r="A246" s="21" t="s">
        <v>419</v>
      </c>
      <c r="B246">
        <v>49</v>
      </c>
      <c r="C246" s="21" t="s">
        <v>57</v>
      </c>
      <c r="D246" s="21" t="s">
        <v>44</v>
      </c>
      <c r="E246">
        <v>230</v>
      </c>
      <c r="F246">
        <v>24</v>
      </c>
      <c r="G246" s="21" t="s">
        <v>25</v>
      </c>
      <c r="H246" s="21" t="s">
        <v>46</v>
      </c>
      <c r="I246" s="21" t="s">
        <v>337</v>
      </c>
    </row>
    <row r="247" spans="1:9" x14ac:dyDescent="0.25">
      <c r="A247" s="21" t="s">
        <v>420</v>
      </c>
      <c r="B247">
        <v>21</v>
      </c>
      <c r="C247" s="21" t="s">
        <v>51</v>
      </c>
      <c r="D247" s="21" t="s">
        <v>135</v>
      </c>
      <c r="E247">
        <v>196</v>
      </c>
      <c r="F247">
        <v>22</v>
      </c>
      <c r="G247" s="21" t="s">
        <v>25</v>
      </c>
      <c r="H247" s="21" t="s">
        <v>194</v>
      </c>
      <c r="I247" s="21" t="s">
        <v>337</v>
      </c>
    </row>
    <row r="248" spans="1:9" x14ac:dyDescent="0.25">
      <c r="A248" s="21" t="s">
        <v>421</v>
      </c>
      <c r="B248">
        <v>5</v>
      </c>
      <c r="C248" s="21" t="s">
        <v>76</v>
      </c>
      <c r="D248" s="21" t="s">
        <v>125</v>
      </c>
      <c r="E248">
        <v>201</v>
      </c>
      <c r="F248">
        <v>37</v>
      </c>
      <c r="G248" s="21" t="s">
        <v>422</v>
      </c>
      <c r="H248" s="21" t="s">
        <v>3252</v>
      </c>
      <c r="I248" s="21" t="s">
        <v>337</v>
      </c>
    </row>
    <row r="249" spans="1:9" x14ac:dyDescent="0.25">
      <c r="A249" s="21" t="s">
        <v>423</v>
      </c>
      <c r="B249">
        <v>67</v>
      </c>
      <c r="C249" s="21" t="s">
        <v>28</v>
      </c>
      <c r="D249" s="21" t="s">
        <v>29</v>
      </c>
      <c r="E249">
        <v>311</v>
      </c>
      <c r="F249">
        <v>31</v>
      </c>
      <c r="G249" s="21" t="s">
        <v>111</v>
      </c>
      <c r="H249" s="21" t="s">
        <v>355</v>
      </c>
      <c r="I249" s="21" t="s">
        <v>337</v>
      </c>
    </row>
    <row r="250" spans="1:9" x14ac:dyDescent="0.25">
      <c r="A250" s="21" t="s">
        <v>424</v>
      </c>
      <c r="B250">
        <v>37</v>
      </c>
      <c r="C250" s="21" t="s">
        <v>51</v>
      </c>
      <c r="D250" s="21" t="s">
        <v>135</v>
      </c>
      <c r="E250">
        <v>195</v>
      </c>
      <c r="F250">
        <v>23</v>
      </c>
      <c r="G250" s="21" t="s">
        <v>25</v>
      </c>
      <c r="H250" s="21" t="s">
        <v>26</v>
      </c>
      <c r="I250" s="21" t="s">
        <v>337</v>
      </c>
    </row>
    <row r="251" spans="1:9" x14ac:dyDescent="0.25">
      <c r="A251" s="21" t="s">
        <v>425</v>
      </c>
      <c r="B251">
        <v>41</v>
      </c>
      <c r="C251" s="21" t="s">
        <v>213</v>
      </c>
      <c r="D251" s="21" t="s">
        <v>29</v>
      </c>
      <c r="E251">
        <v>255</v>
      </c>
      <c r="F251">
        <v>22</v>
      </c>
      <c r="G251" s="21" t="s">
        <v>25</v>
      </c>
      <c r="H251" s="21" t="s">
        <v>304</v>
      </c>
      <c r="I251" s="21" t="s">
        <v>337</v>
      </c>
    </row>
    <row r="252" spans="1:9" x14ac:dyDescent="0.25">
      <c r="A252" s="21" t="s">
        <v>426</v>
      </c>
      <c r="B252">
        <v>80</v>
      </c>
      <c r="C252" s="21" t="s">
        <v>57</v>
      </c>
      <c r="D252" s="21" t="s">
        <v>29</v>
      </c>
      <c r="E252">
        <v>262</v>
      </c>
      <c r="F252">
        <v>25</v>
      </c>
      <c r="G252" s="21" t="s">
        <v>83</v>
      </c>
      <c r="H252" s="21" t="s">
        <v>427</v>
      </c>
      <c r="I252" s="21" t="s">
        <v>337</v>
      </c>
    </row>
    <row r="253" spans="1:9" x14ac:dyDescent="0.25">
      <c r="A253" s="21" t="s">
        <v>428</v>
      </c>
      <c r="B253">
        <v>9</v>
      </c>
      <c r="C253" s="21" t="s">
        <v>230</v>
      </c>
      <c r="D253" s="21" t="s">
        <v>35</v>
      </c>
      <c r="E253">
        <v>238</v>
      </c>
      <c r="F253">
        <v>24</v>
      </c>
      <c r="G253" s="21" t="s">
        <v>12</v>
      </c>
      <c r="H253" s="21" t="s">
        <v>136</v>
      </c>
      <c r="I253" s="21" t="s">
        <v>337</v>
      </c>
    </row>
    <row r="254" spans="1:9" x14ac:dyDescent="0.25">
      <c r="A254" s="21" t="s">
        <v>429</v>
      </c>
      <c r="B254">
        <v>38</v>
      </c>
      <c r="C254" s="21" t="s">
        <v>10</v>
      </c>
      <c r="D254" s="21" t="s">
        <v>54</v>
      </c>
      <c r="E254">
        <v>189</v>
      </c>
      <c r="F254">
        <v>23</v>
      </c>
      <c r="G254" s="21" t="s">
        <v>25</v>
      </c>
      <c r="H254" s="21" t="s">
        <v>430</v>
      </c>
      <c r="I254" s="21" t="s">
        <v>337</v>
      </c>
    </row>
    <row r="255" spans="1:9" x14ac:dyDescent="0.25">
      <c r="A255" s="21" t="s">
        <v>431</v>
      </c>
      <c r="B255">
        <v>72</v>
      </c>
      <c r="C255" s="21" t="s">
        <v>28</v>
      </c>
      <c r="D255" s="21" t="s">
        <v>35</v>
      </c>
      <c r="E255">
        <v>321</v>
      </c>
      <c r="F255">
        <v>26</v>
      </c>
      <c r="G255" s="21" t="s">
        <v>12</v>
      </c>
      <c r="H255" s="21" t="s">
        <v>333</v>
      </c>
      <c r="I255" s="21" t="s">
        <v>337</v>
      </c>
    </row>
    <row r="256" spans="1:9" x14ac:dyDescent="0.25">
      <c r="A256" s="21" t="s">
        <v>432</v>
      </c>
      <c r="B256">
        <v>54</v>
      </c>
      <c r="C256" s="21" t="s">
        <v>28</v>
      </c>
      <c r="D256" s="21" t="s">
        <v>44</v>
      </c>
      <c r="E256">
        <v>320</v>
      </c>
      <c r="F256">
        <v>24</v>
      </c>
      <c r="G256" s="21" t="s">
        <v>25</v>
      </c>
      <c r="H256" s="21" t="s">
        <v>357</v>
      </c>
      <c r="I256" s="21" t="s">
        <v>337</v>
      </c>
    </row>
    <row r="257" spans="1:9" x14ac:dyDescent="0.25">
      <c r="A257" s="21" t="s">
        <v>433</v>
      </c>
      <c r="B257">
        <v>97</v>
      </c>
      <c r="C257" s="21" t="s">
        <v>213</v>
      </c>
      <c r="D257" s="21" t="s">
        <v>29</v>
      </c>
      <c r="E257">
        <v>270</v>
      </c>
      <c r="F257">
        <v>22</v>
      </c>
      <c r="G257" s="21" t="s">
        <v>25</v>
      </c>
      <c r="H257" s="21" t="s">
        <v>33</v>
      </c>
      <c r="I257" s="21" t="s">
        <v>337</v>
      </c>
    </row>
    <row r="258" spans="1:9" x14ac:dyDescent="0.25">
      <c r="A258" s="21" t="s">
        <v>434</v>
      </c>
      <c r="B258">
        <v>22</v>
      </c>
      <c r="C258" s="21" t="s">
        <v>89</v>
      </c>
      <c r="D258" s="21" t="s">
        <v>52</v>
      </c>
      <c r="E258">
        <v>195</v>
      </c>
      <c r="F258">
        <v>25</v>
      </c>
      <c r="G258" s="21" t="s">
        <v>16</v>
      </c>
      <c r="H258" s="21" t="s">
        <v>233</v>
      </c>
      <c r="I258" s="21" t="s">
        <v>337</v>
      </c>
    </row>
    <row r="259" spans="1:9" x14ac:dyDescent="0.25">
      <c r="A259" s="21" t="s">
        <v>435</v>
      </c>
      <c r="B259">
        <v>34</v>
      </c>
      <c r="C259" s="21" t="s">
        <v>89</v>
      </c>
      <c r="D259" s="21" t="s">
        <v>54</v>
      </c>
      <c r="E259">
        <v>190</v>
      </c>
      <c r="F259">
        <v>24</v>
      </c>
      <c r="G259" s="21" t="s">
        <v>16</v>
      </c>
      <c r="H259" s="21" t="s">
        <v>370</v>
      </c>
      <c r="I259" s="21" t="s">
        <v>337</v>
      </c>
    </row>
    <row r="260" spans="1:9" x14ac:dyDescent="0.25">
      <c r="A260" s="21" t="s">
        <v>436</v>
      </c>
      <c r="B260">
        <v>47</v>
      </c>
      <c r="C260" s="21" t="s">
        <v>230</v>
      </c>
      <c r="D260" s="21" t="s">
        <v>24</v>
      </c>
      <c r="E260">
        <v>214</v>
      </c>
      <c r="F260">
        <v>26</v>
      </c>
      <c r="G260" s="21" t="s">
        <v>45</v>
      </c>
      <c r="H260" s="21" t="s">
        <v>274</v>
      </c>
      <c r="I260" s="21" t="s">
        <v>337</v>
      </c>
    </row>
    <row r="261" spans="1:9" x14ac:dyDescent="0.25">
      <c r="A261" s="21" t="s">
        <v>437</v>
      </c>
      <c r="B261">
        <v>51</v>
      </c>
      <c r="C261" s="21" t="s">
        <v>230</v>
      </c>
      <c r="D261" s="21" t="s">
        <v>52</v>
      </c>
      <c r="E261">
        <v>230</v>
      </c>
      <c r="F261">
        <v>27</v>
      </c>
      <c r="G261" s="21" t="s">
        <v>38</v>
      </c>
      <c r="H261" s="21" t="s">
        <v>330</v>
      </c>
      <c r="I261" s="21" t="s">
        <v>337</v>
      </c>
    </row>
    <row r="262" spans="1:9" x14ac:dyDescent="0.25">
      <c r="A262" s="21" t="s">
        <v>438</v>
      </c>
      <c r="B262">
        <v>57</v>
      </c>
      <c r="C262" s="21" t="s">
        <v>230</v>
      </c>
      <c r="D262" s="21" t="s">
        <v>24</v>
      </c>
      <c r="E262">
        <v>239</v>
      </c>
      <c r="F262">
        <v>28</v>
      </c>
      <c r="G262" s="21" t="s">
        <v>100</v>
      </c>
      <c r="H262" s="21" t="s">
        <v>439</v>
      </c>
      <c r="I262" s="21" t="s">
        <v>337</v>
      </c>
    </row>
    <row r="263" spans="1:9" x14ac:dyDescent="0.25">
      <c r="A263" s="21" t="s">
        <v>440</v>
      </c>
      <c r="B263">
        <v>59</v>
      </c>
      <c r="C263" s="21" t="s">
        <v>230</v>
      </c>
      <c r="D263" s="21" t="s">
        <v>24</v>
      </c>
      <c r="E263">
        <v>236</v>
      </c>
      <c r="F263">
        <v>29</v>
      </c>
      <c r="G263" s="21" t="s">
        <v>100</v>
      </c>
      <c r="H263" s="21" t="s">
        <v>22</v>
      </c>
      <c r="I263" s="21" t="s">
        <v>337</v>
      </c>
    </row>
    <row r="264" spans="1:9" x14ac:dyDescent="0.25">
      <c r="A264" s="21" t="s">
        <v>441</v>
      </c>
      <c r="B264">
        <v>29</v>
      </c>
      <c r="C264" s="21" t="s">
        <v>51</v>
      </c>
      <c r="D264" s="21" t="s">
        <v>11</v>
      </c>
      <c r="E264">
        <v>202</v>
      </c>
      <c r="F264">
        <v>24</v>
      </c>
      <c r="G264" s="21" t="s">
        <v>12</v>
      </c>
      <c r="H264" s="21" t="s">
        <v>442</v>
      </c>
      <c r="I264" s="21" t="s">
        <v>337</v>
      </c>
    </row>
    <row r="265" spans="1:9" x14ac:dyDescent="0.25">
      <c r="A265" s="21" t="s">
        <v>443</v>
      </c>
      <c r="B265">
        <v>28</v>
      </c>
      <c r="C265" s="21" t="s">
        <v>89</v>
      </c>
      <c r="D265" s="21" t="s">
        <v>125</v>
      </c>
      <c r="E265">
        <v>192</v>
      </c>
      <c r="F265">
        <v>29</v>
      </c>
      <c r="G265" s="21" t="s">
        <v>38</v>
      </c>
      <c r="H265" s="21" t="s">
        <v>26</v>
      </c>
      <c r="I265" s="21" t="s">
        <v>337</v>
      </c>
    </row>
    <row r="266" spans="1:9" x14ac:dyDescent="0.25">
      <c r="A266" s="21" t="s">
        <v>444</v>
      </c>
      <c r="B266">
        <v>99</v>
      </c>
      <c r="C266" s="21" t="s">
        <v>319</v>
      </c>
      <c r="D266" s="21" t="s">
        <v>29</v>
      </c>
      <c r="E266">
        <v>288</v>
      </c>
      <c r="F266">
        <v>33</v>
      </c>
      <c r="G266" s="21" t="s">
        <v>186</v>
      </c>
      <c r="H266" s="21" t="s">
        <v>68</v>
      </c>
      <c r="I266" s="21" t="s">
        <v>337</v>
      </c>
    </row>
    <row r="267" spans="1:9" x14ac:dyDescent="0.25">
      <c r="A267" s="21" t="s">
        <v>445</v>
      </c>
      <c r="B267">
        <v>84</v>
      </c>
      <c r="C267" s="21" t="s">
        <v>57</v>
      </c>
      <c r="D267" s="21" t="s">
        <v>67</v>
      </c>
      <c r="E267">
        <v>260</v>
      </c>
      <c r="F267">
        <v>27</v>
      </c>
      <c r="G267" s="21" t="s">
        <v>12</v>
      </c>
      <c r="H267" s="21" t="s">
        <v>33</v>
      </c>
      <c r="I267" s="21" t="s">
        <v>337</v>
      </c>
    </row>
    <row r="268" spans="1:9" x14ac:dyDescent="0.25">
      <c r="A268" s="21" t="s">
        <v>446</v>
      </c>
      <c r="B268">
        <v>13</v>
      </c>
      <c r="C268" s="21" t="s">
        <v>10</v>
      </c>
      <c r="D268" s="21" t="s">
        <v>35</v>
      </c>
      <c r="E268">
        <v>206</v>
      </c>
      <c r="F268">
        <v>24</v>
      </c>
      <c r="G268" s="21" t="s">
        <v>12</v>
      </c>
      <c r="H268" s="21" t="s">
        <v>101</v>
      </c>
      <c r="I268" s="21" t="s">
        <v>337</v>
      </c>
    </row>
    <row r="269" spans="1:9" x14ac:dyDescent="0.25">
      <c r="A269" s="21" t="s">
        <v>447</v>
      </c>
      <c r="B269">
        <v>39</v>
      </c>
      <c r="C269" s="21" t="s">
        <v>48</v>
      </c>
      <c r="D269" s="21" t="s">
        <v>54</v>
      </c>
      <c r="E269">
        <v>185</v>
      </c>
      <c r="F269">
        <v>27</v>
      </c>
      <c r="G269" s="21" t="s">
        <v>83</v>
      </c>
      <c r="H269" s="21" t="s">
        <v>62</v>
      </c>
      <c r="I269" s="21" t="s">
        <v>337</v>
      </c>
    </row>
    <row r="270" spans="1:9" x14ac:dyDescent="0.25">
      <c r="A270" s="21" t="s">
        <v>448</v>
      </c>
      <c r="B270">
        <v>38</v>
      </c>
      <c r="C270" s="21" t="s">
        <v>89</v>
      </c>
      <c r="D270" s="21" t="s">
        <v>54</v>
      </c>
      <c r="E270">
        <v>205</v>
      </c>
      <c r="F270">
        <v>25</v>
      </c>
      <c r="G270" s="21" t="s">
        <v>30</v>
      </c>
      <c r="H270" s="21" t="s">
        <v>304</v>
      </c>
      <c r="I270" s="21" t="s">
        <v>337</v>
      </c>
    </row>
    <row r="271" spans="1:9" x14ac:dyDescent="0.25">
      <c r="A271" s="21" t="s">
        <v>449</v>
      </c>
      <c r="B271">
        <v>24</v>
      </c>
      <c r="C271" s="21" t="s">
        <v>51</v>
      </c>
      <c r="D271" s="21" t="s">
        <v>54</v>
      </c>
      <c r="E271">
        <v>224</v>
      </c>
      <c r="F271">
        <v>27</v>
      </c>
      <c r="G271" s="21" t="s">
        <v>45</v>
      </c>
      <c r="H271" s="21" t="s">
        <v>267</v>
      </c>
      <c r="I271" s="21" t="s">
        <v>337</v>
      </c>
    </row>
    <row r="272" spans="1:9" x14ac:dyDescent="0.25">
      <c r="A272" s="21" t="s">
        <v>450</v>
      </c>
      <c r="B272">
        <v>87</v>
      </c>
      <c r="C272" s="21" t="s">
        <v>57</v>
      </c>
      <c r="D272" s="21" t="s">
        <v>35</v>
      </c>
      <c r="E272">
        <v>252</v>
      </c>
      <c r="F272">
        <v>28</v>
      </c>
      <c r="G272" s="21" t="s">
        <v>21</v>
      </c>
      <c r="H272" s="21" t="s">
        <v>168</v>
      </c>
      <c r="I272" s="21" t="s">
        <v>337</v>
      </c>
    </row>
    <row r="273" spans="1:9" x14ac:dyDescent="0.25">
      <c r="A273" s="21" t="s">
        <v>451</v>
      </c>
      <c r="B273">
        <v>20</v>
      </c>
      <c r="C273" s="21" t="s">
        <v>48</v>
      </c>
      <c r="D273" s="21" t="s">
        <v>54</v>
      </c>
      <c r="E273">
        <v>187</v>
      </c>
      <c r="F273">
        <v>23</v>
      </c>
      <c r="G273" s="21" t="s">
        <v>30</v>
      </c>
      <c r="H273" s="21" t="s">
        <v>251</v>
      </c>
      <c r="I273" s="21" t="s">
        <v>337</v>
      </c>
    </row>
    <row r="274" spans="1:9" x14ac:dyDescent="0.25">
      <c r="A274" s="21" t="s">
        <v>452</v>
      </c>
      <c r="B274">
        <v>50</v>
      </c>
      <c r="C274" s="21" t="s">
        <v>230</v>
      </c>
      <c r="D274" s="21" t="s">
        <v>44</v>
      </c>
      <c r="E274">
        <v>232</v>
      </c>
      <c r="F274">
        <v>23</v>
      </c>
      <c r="G274" s="21" t="s">
        <v>25</v>
      </c>
      <c r="H274" s="21" t="s">
        <v>65</v>
      </c>
      <c r="I274" s="21" t="s">
        <v>337</v>
      </c>
    </row>
    <row r="275" spans="1:9" x14ac:dyDescent="0.25">
      <c r="A275" s="21" t="s">
        <v>453</v>
      </c>
      <c r="B275">
        <v>81</v>
      </c>
      <c r="C275" s="21" t="s">
        <v>57</v>
      </c>
      <c r="D275" s="21" t="s">
        <v>35</v>
      </c>
      <c r="E275">
        <v>255</v>
      </c>
      <c r="F275">
        <v>27</v>
      </c>
      <c r="G275" s="21" t="s">
        <v>16</v>
      </c>
      <c r="H275" s="21" t="s">
        <v>284</v>
      </c>
      <c r="I275" s="21" t="s">
        <v>337</v>
      </c>
    </row>
    <row r="276" spans="1:9" x14ac:dyDescent="0.25">
      <c r="A276" s="21" t="s">
        <v>1937</v>
      </c>
      <c r="B276">
        <v>89</v>
      </c>
      <c r="C276" s="21" t="s">
        <v>57</v>
      </c>
      <c r="D276" s="21" t="s">
        <v>29</v>
      </c>
      <c r="E276">
        <v>256</v>
      </c>
      <c r="F276">
        <v>26</v>
      </c>
      <c r="G276" s="21" t="s">
        <v>45</v>
      </c>
      <c r="H276" s="21" t="s">
        <v>187</v>
      </c>
      <c r="I276" s="21" t="s">
        <v>1936</v>
      </c>
    </row>
    <row r="277" spans="1:9" x14ac:dyDescent="0.25">
      <c r="A277" s="21" t="s">
        <v>1938</v>
      </c>
      <c r="B277">
        <v>5</v>
      </c>
      <c r="C277" s="21" t="s">
        <v>48</v>
      </c>
      <c r="D277" s="21" t="s">
        <v>52</v>
      </c>
      <c r="E277">
        <v>195</v>
      </c>
      <c r="F277">
        <v>22</v>
      </c>
      <c r="G277" s="21" t="s">
        <v>25</v>
      </c>
      <c r="H277" s="21" t="s">
        <v>233</v>
      </c>
      <c r="I277" s="21" t="s">
        <v>1936</v>
      </c>
    </row>
    <row r="278" spans="1:9" x14ac:dyDescent="0.25">
      <c r="A278" s="21" t="s">
        <v>1939</v>
      </c>
      <c r="B278">
        <v>30</v>
      </c>
      <c r="C278" s="21" t="s">
        <v>51</v>
      </c>
      <c r="D278" s="21" t="s">
        <v>86</v>
      </c>
      <c r="E278">
        <v>197</v>
      </c>
      <c r="F278">
        <v>22</v>
      </c>
      <c r="G278" s="21" t="s">
        <v>25</v>
      </c>
      <c r="H278" s="21" t="s">
        <v>335</v>
      </c>
      <c r="I278" s="21" t="s">
        <v>1936</v>
      </c>
    </row>
    <row r="279" spans="1:9" x14ac:dyDescent="0.25">
      <c r="A279" s="21" t="s">
        <v>1940</v>
      </c>
      <c r="B279">
        <v>7</v>
      </c>
      <c r="C279" s="21" t="s">
        <v>10</v>
      </c>
      <c r="D279" s="21" t="s">
        <v>52</v>
      </c>
      <c r="E279">
        <v>193</v>
      </c>
      <c r="F279">
        <v>22</v>
      </c>
      <c r="G279" s="21" t="s">
        <v>30</v>
      </c>
      <c r="H279" s="21" t="s">
        <v>168</v>
      </c>
      <c r="I279" s="21" t="s">
        <v>1936</v>
      </c>
    </row>
    <row r="280" spans="1:9" x14ac:dyDescent="0.25">
      <c r="A280" s="21" t="s">
        <v>1941</v>
      </c>
      <c r="B280">
        <v>47</v>
      </c>
      <c r="C280" s="21" t="s">
        <v>213</v>
      </c>
      <c r="D280" s="21" t="s">
        <v>44</v>
      </c>
      <c r="E280">
        <v>246</v>
      </c>
      <c r="F280">
        <v>29</v>
      </c>
      <c r="G280" s="21" t="s">
        <v>38</v>
      </c>
      <c r="H280" s="21" t="s">
        <v>68</v>
      </c>
      <c r="I280" s="21" t="s">
        <v>1936</v>
      </c>
    </row>
    <row r="281" spans="1:9" x14ac:dyDescent="0.25">
      <c r="A281" s="21" t="s">
        <v>1942</v>
      </c>
      <c r="B281">
        <v>82</v>
      </c>
      <c r="C281" s="21" t="s">
        <v>10</v>
      </c>
      <c r="D281" s="21" t="s">
        <v>54</v>
      </c>
      <c r="E281">
        <v>189</v>
      </c>
      <c r="F281">
        <v>23</v>
      </c>
      <c r="G281" s="21" t="s">
        <v>25</v>
      </c>
      <c r="H281" s="21" t="s">
        <v>233</v>
      </c>
      <c r="I281" s="21" t="s">
        <v>1936</v>
      </c>
    </row>
    <row r="282" spans="1:9" x14ac:dyDescent="0.25">
      <c r="A282" s="21" t="s">
        <v>1943</v>
      </c>
      <c r="B282">
        <v>54</v>
      </c>
      <c r="C282" s="21" t="s">
        <v>213</v>
      </c>
      <c r="D282" s="21" t="s">
        <v>44</v>
      </c>
      <c r="E282">
        <v>242</v>
      </c>
      <c r="F282">
        <v>27</v>
      </c>
      <c r="G282" s="21" t="s">
        <v>38</v>
      </c>
      <c r="H282" s="21" t="s">
        <v>320</v>
      </c>
      <c r="I282" s="21" t="s">
        <v>1936</v>
      </c>
    </row>
    <row r="283" spans="1:9" x14ac:dyDescent="0.25">
      <c r="A283" s="21" t="s">
        <v>1944</v>
      </c>
      <c r="B283">
        <v>86</v>
      </c>
      <c r="C283" s="21" t="s">
        <v>57</v>
      </c>
      <c r="D283" s="21" t="s">
        <v>35</v>
      </c>
      <c r="E283">
        <v>270</v>
      </c>
      <c r="F283">
        <v>29</v>
      </c>
      <c r="G283" s="21" t="s">
        <v>21</v>
      </c>
      <c r="H283" s="21" t="s">
        <v>624</v>
      </c>
      <c r="I283" s="21" t="s">
        <v>1936</v>
      </c>
    </row>
    <row r="284" spans="1:9" x14ac:dyDescent="0.25">
      <c r="A284" s="21" t="s">
        <v>1945</v>
      </c>
      <c r="B284">
        <v>85</v>
      </c>
      <c r="C284" s="21" t="s">
        <v>10</v>
      </c>
      <c r="D284" s="21" t="s">
        <v>35</v>
      </c>
      <c r="E284">
        <v>207</v>
      </c>
      <c r="F284">
        <v>24</v>
      </c>
      <c r="G284" s="21" t="s">
        <v>25</v>
      </c>
      <c r="H284" s="21" t="s">
        <v>1946</v>
      </c>
      <c r="I284" s="21" t="s">
        <v>1936</v>
      </c>
    </row>
    <row r="285" spans="1:9" x14ac:dyDescent="0.25">
      <c r="A285" s="21" t="s">
        <v>1947</v>
      </c>
      <c r="B285">
        <v>12</v>
      </c>
      <c r="C285" s="21" t="s">
        <v>70</v>
      </c>
      <c r="D285" s="21" t="s">
        <v>52</v>
      </c>
      <c r="E285">
        <v>217</v>
      </c>
      <c r="F285">
        <v>24</v>
      </c>
      <c r="G285" s="21" t="s">
        <v>25</v>
      </c>
      <c r="H285" s="21" t="s">
        <v>22</v>
      </c>
      <c r="I285" s="21" t="s">
        <v>1936</v>
      </c>
    </row>
    <row r="286" spans="1:9" x14ac:dyDescent="0.25">
      <c r="A286" s="21" t="s">
        <v>1948</v>
      </c>
      <c r="B286">
        <v>56</v>
      </c>
      <c r="C286" s="21" t="s">
        <v>230</v>
      </c>
      <c r="D286" s="21" t="s">
        <v>52</v>
      </c>
      <c r="E286">
        <v>235</v>
      </c>
      <c r="F286">
        <v>32</v>
      </c>
      <c r="G286" s="21" t="s">
        <v>254</v>
      </c>
      <c r="H286" s="21" t="s">
        <v>65</v>
      </c>
      <c r="I286" s="21" t="s">
        <v>1936</v>
      </c>
    </row>
    <row r="287" spans="1:9" x14ac:dyDescent="0.25">
      <c r="A287" s="21" t="s">
        <v>1949</v>
      </c>
      <c r="B287">
        <v>93</v>
      </c>
      <c r="C287" s="21" t="s">
        <v>114</v>
      </c>
      <c r="D287" s="21" t="s">
        <v>141</v>
      </c>
      <c r="E287">
        <v>300</v>
      </c>
      <c r="F287">
        <v>35</v>
      </c>
      <c r="G287" s="21" t="s">
        <v>712</v>
      </c>
      <c r="H287" s="21" t="s">
        <v>385</v>
      </c>
      <c r="I287" s="21" t="s">
        <v>1936</v>
      </c>
    </row>
    <row r="288" spans="1:9" x14ac:dyDescent="0.25">
      <c r="A288" s="21" t="s">
        <v>1950</v>
      </c>
      <c r="B288">
        <v>36</v>
      </c>
      <c r="C288" s="21" t="s">
        <v>89</v>
      </c>
      <c r="D288" s="21" t="s">
        <v>11</v>
      </c>
      <c r="E288">
        <v>205</v>
      </c>
      <c r="F288">
        <v>27</v>
      </c>
      <c r="G288" s="21" t="s">
        <v>38</v>
      </c>
      <c r="H288" s="21" t="s">
        <v>357</v>
      </c>
      <c r="I288" s="21" t="s">
        <v>1936</v>
      </c>
    </row>
    <row r="289" spans="1:9" x14ac:dyDescent="0.25">
      <c r="A289" s="21" t="s">
        <v>1951</v>
      </c>
      <c r="B289">
        <v>87</v>
      </c>
      <c r="C289" s="21" t="s">
        <v>10</v>
      </c>
      <c r="D289" s="21" t="s">
        <v>44</v>
      </c>
      <c r="E289">
        <v>193</v>
      </c>
      <c r="F289">
        <v>22</v>
      </c>
      <c r="G289" s="21" t="s">
        <v>25</v>
      </c>
      <c r="H289" s="21" t="s">
        <v>226</v>
      </c>
      <c r="I289" s="21" t="s">
        <v>1936</v>
      </c>
    </row>
    <row r="290" spans="1:9" x14ac:dyDescent="0.25">
      <c r="A290" s="21" t="s">
        <v>1952</v>
      </c>
      <c r="B290">
        <v>66</v>
      </c>
      <c r="C290" s="21" t="s">
        <v>277</v>
      </c>
      <c r="D290" s="21" t="s">
        <v>67</v>
      </c>
      <c r="E290">
        <v>357</v>
      </c>
      <c r="F290">
        <v>23</v>
      </c>
      <c r="G290" s="21" t="s">
        <v>30</v>
      </c>
      <c r="H290" s="21" t="s">
        <v>196</v>
      </c>
      <c r="I290" s="21" t="s">
        <v>1936</v>
      </c>
    </row>
    <row r="291" spans="1:9" x14ac:dyDescent="0.25">
      <c r="A291" s="21" t="s">
        <v>1953</v>
      </c>
      <c r="B291">
        <v>63</v>
      </c>
      <c r="C291" s="21" t="s">
        <v>28</v>
      </c>
      <c r="D291" s="21" t="s">
        <v>44</v>
      </c>
      <c r="E291">
        <v>313</v>
      </c>
      <c r="F291">
        <v>24</v>
      </c>
      <c r="G291" s="21" t="s">
        <v>12</v>
      </c>
      <c r="H291" s="21" t="s">
        <v>335</v>
      </c>
      <c r="I291" s="21" t="s">
        <v>1936</v>
      </c>
    </row>
    <row r="292" spans="1:9" x14ac:dyDescent="0.25">
      <c r="A292" s="21" t="s">
        <v>1954</v>
      </c>
      <c r="B292">
        <v>97</v>
      </c>
      <c r="C292" s="21" t="s">
        <v>114</v>
      </c>
      <c r="D292" s="21" t="s">
        <v>52</v>
      </c>
      <c r="E292">
        <v>315</v>
      </c>
      <c r="F292">
        <v>24</v>
      </c>
      <c r="G292" s="21" t="s">
        <v>30</v>
      </c>
      <c r="H292" s="21" t="s">
        <v>73</v>
      </c>
      <c r="I292" s="21" t="s">
        <v>1936</v>
      </c>
    </row>
    <row r="293" spans="1:9" x14ac:dyDescent="0.25">
      <c r="A293" s="21" t="s">
        <v>1955</v>
      </c>
      <c r="B293">
        <v>28</v>
      </c>
      <c r="C293" s="21" t="s">
        <v>51</v>
      </c>
      <c r="D293" s="21" t="s">
        <v>135</v>
      </c>
      <c r="E293">
        <v>220</v>
      </c>
      <c r="F293">
        <v>29</v>
      </c>
      <c r="G293" s="21" t="s">
        <v>21</v>
      </c>
      <c r="H293" s="21" t="s">
        <v>115</v>
      </c>
      <c r="I293" s="21" t="s">
        <v>1936</v>
      </c>
    </row>
    <row r="294" spans="1:9" x14ac:dyDescent="0.25">
      <c r="A294" s="21" t="s">
        <v>1956</v>
      </c>
      <c r="B294">
        <v>27</v>
      </c>
      <c r="C294" s="21" t="s">
        <v>51</v>
      </c>
      <c r="D294" s="21" t="s">
        <v>125</v>
      </c>
      <c r="E294">
        <v>212</v>
      </c>
      <c r="F294">
        <v>23</v>
      </c>
      <c r="G294" s="21" t="s">
        <v>12</v>
      </c>
      <c r="H294" s="21" t="s">
        <v>36</v>
      </c>
      <c r="I294" s="21" t="s">
        <v>1936</v>
      </c>
    </row>
    <row r="295" spans="1:9" x14ac:dyDescent="0.25">
      <c r="A295" s="21" t="s">
        <v>1957</v>
      </c>
      <c r="B295">
        <v>13</v>
      </c>
      <c r="C295" s="21" t="s">
        <v>10</v>
      </c>
      <c r="D295" s="21" t="s">
        <v>54</v>
      </c>
      <c r="E295">
        <v>200</v>
      </c>
      <c r="F295">
        <v>24</v>
      </c>
      <c r="G295" s="21" t="s">
        <v>12</v>
      </c>
      <c r="H295" s="21" t="s">
        <v>109</v>
      </c>
      <c r="I295" s="21" t="s">
        <v>1936</v>
      </c>
    </row>
    <row r="296" spans="1:9" x14ac:dyDescent="0.25">
      <c r="A296" s="21" t="s">
        <v>1958</v>
      </c>
      <c r="B296">
        <v>35</v>
      </c>
      <c r="C296" s="21" t="s">
        <v>51</v>
      </c>
      <c r="D296" s="21" t="s">
        <v>52</v>
      </c>
      <c r="E296">
        <v>238</v>
      </c>
      <c r="F296">
        <v>27</v>
      </c>
      <c r="G296" s="21" t="s">
        <v>45</v>
      </c>
      <c r="H296" s="21" t="s">
        <v>120</v>
      </c>
      <c r="I296" s="21" t="s">
        <v>1936</v>
      </c>
    </row>
    <row r="297" spans="1:9" x14ac:dyDescent="0.25">
      <c r="A297" s="21" t="s">
        <v>1959</v>
      </c>
      <c r="B297">
        <v>77</v>
      </c>
      <c r="C297" s="21" t="s">
        <v>140</v>
      </c>
      <c r="D297" s="21" t="s">
        <v>141</v>
      </c>
      <c r="E297">
        <v>380</v>
      </c>
      <c r="F297">
        <v>22</v>
      </c>
      <c r="G297" s="21" t="s">
        <v>25</v>
      </c>
      <c r="H297" s="21" t="s">
        <v>168</v>
      </c>
      <c r="I297" s="21" t="s">
        <v>1936</v>
      </c>
    </row>
    <row r="298" spans="1:9" x14ac:dyDescent="0.25">
      <c r="A298" s="21" t="s">
        <v>1960</v>
      </c>
      <c r="B298">
        <v>48</v>
      </c>
      <c r="C298" s="21" t="s">
        <v>15</v>
      </c>
      <c r="D298" s="21" t="s">
        <v>44</v>
      </c>
      <c r="E298">
        <v>238</v>
      </c>
      <c r="F298">
        <v>24</v>
      </c>
      <c r="G298" s="21" t="s">
        <v>25</v>
      </c>
      <c r="H298" s="21" t="s">
        <v>950</v>
      </c>
      <c r="I298" s="21" t="s">
        <v>1936</v>
      </c>
    </row>
    <row r="299" spans="1:9" x14ac:dyDescent="0.25">
      <c r="A299" s="21" t="s">
        <v>1961</v>
      </c>
      <c r="B299">
        <v>18</v>
      </c>
      <c r="C299" s="21" t="s">
        <v>48</v>
      </c>
      <c r="D299" s="21" t="s">
        <v>54</v>
      </c>
      <c r="E299">
        <v>194</v>
      </c>
      <c r="F299">
        <v>30</v>
      </c>
      <c r="G299" s="21" t="s">
        <v>64</v>
      </c>
      <c r="H299" s="21" t="s">
        <v>357</v>
      </c>
      <c r="I299" s="21" t="s">
        <v>1936</v>
      </c>
    </row>
    <row r="300" spans="1:9" x14ac:dyDescent="0.25">
      <c r="A300" s="21" t="s">
        <v>1962</v>
      </c>
      <c r="B300">
        <v>14</v>
      </c>
      <c r="C300" s="21" t="s">
        <v>89</v>
      </c>
      <c r="D300" s="21" t="s">
        <v>35</v>
      </c>
      <c r="E300">
        <v>220</v>
      </c>
      <c r="F300">
        <v>21</v>
      </c>
      <c r="G300" s="21" t="s">
        <v>25</v>
      </c>
      <c r="H300" s="21" t="s">
        <v>31</v>
      </c>
      <c r="I300" s="21" t="s">
        <v>1936</v>
      </c>
    </row>
    <row r="301" spans="1:9" x14ac:dyDescent="0.25">
      <c r="A301" s="21" t="s">
        <v>1963</v>
      </c>
      <c r="B301">
        <v>40</v>
      </c>
      <c r="C301" s="21" t="s">
        <v>230</v>
      </c>
      <c r="D301" s="21" t="s">
        <v>44</v>
      </c>
      <c r="E301">
        <v>247</v>
      </c>
      <c r="F301">
        <v>24</v>
      </c>
      <c r="G301" s="21" t="s">
        <v>12</v>
      </c>
      <c r="H301" s="21" t="s">
        <v>36</v>
      </c>
      <c r="I301" s="21" t="s">
        <v>1936</v>
      </c>
    </row>
    <row r="302" spans="1:9" x14ac:dyDescent="0.25">
      <c r="A302" s="21" t="s">
        <v>1964</v>
      </c>
      <c r="B302">
        <v>59</v>
      </c>
      <c r="C302" s="21" t="s">
        <v>213</v>
      </c>
      <c r="D302" s="21" t="s">
        <v>35</v>
      </c>
      <c r="E302">
        <v>253</v>
      </c>
      <c r="F302">
        <v>24</v>
      </c>
      <c r="G302" s="21" t="s">
        <v>30</v>
      </c>
      <c r="H302" s="21" t="s">
        <v>31</v>
      </c>
      <c r="I302" s="21" t="s">
        <v>1936</v>
      </c>
    </row>
    <row r="303" spans="1:9" x14ac:dyDescent="0.25">
      <c r="A303" s="21" t="s">
        <v>1965</v>
      </c>
      <c r="B303">
        <v>43</v>
      </c>
      <c r="C303" s="21" t="s">
        <v>51</v>
      </c>
      <c r="D303" s="21" t="s">
        <v>125</v>
      </c>
      <c r="E303">
        <v>200</v>
      </c>
      <c r="F303">
        <v>24</v>
      </c>
      <c r="G303" s="21" t="s">
        <v>16</v>
      </c>
      <c r="H303" s="21" t="s">
        <v>130</v>
      </c>
      <c r="I303" s="21" t="s">
        <v>1936</v>
      </c>
    </row>
    <row r="304" spans="1:9" x14ac:dyDescent="0.25">
      <c r="A304" s="21" t="s">
        <v>3257</v>
      </c>
      <c r="B304">
        <v>50</v>
      </c>
      <c r="C304" s="21" t="s">
        <v>213</v>
      </c>
      <c r="D304" s="21" t="s">
        <v>44</v>
      </c>
      <c r="E304">
        <v>270</v>
      </c>
      <c r="F304">
        <v>33</v>
      </c>
      <c r="G304" s="21" t="s">
        <v>186</v>
      </c>
      <c r="H304" s="21" t="s">
        <v>196</v>
      </c>
      <c r="I304" s="21" t="s">
        <v>1936</v>
      </c>
    </row>
    <row r="305" spans="1:9" x14ac:dyDescent="0.25">
      <c r="A305" s="21" t="s">
        <v>1966</v>
      </c>
      <c r="B305">
        <v>44</v>
      </c>
      <c r="C305" s="21" t="s">
        <v>48</v>
      </c>
      <c r="D305" s="21" t="s">
        <v>11</v>
      </c>
      <c r="E305">
        <v>197</v>
      </c>
      <c r="F305">
        <v>26</v>
      </c>
      <c r="G305" s="21" t="s">
        <v>38</v>
      </c>
      <c r="H305" s="21" t="s">
        <v>233</v>
      </c>
      <c r="I305" s="21" t="s">
        <v>1936</v>
      </c>
    </row>
    <row r="306" spans="1:9" x14ac:dyDescent="0.25">
      <c r="A306" s="21" t="s">
        <v>1967</v>
      </c>
      <c r="C306" s="21" t="s">
        <v>70</v>
      </c>
      <c r="D306" s="21" t="s">
        <v>44</v>
      </c>
      <c r="E306">
        <v>226</v>
      </c>
      <c r="F306">
        <v>29</v>
      </c>
      <c r="G306" s="21" t="s">
        <v>21</v>
      </c>
      <c r="H306" s="21" t="s">
        <v>39</v>
      </c>
      <c r="I306" s="21" t="s">
        <v>1936</v>
      </c>
    </row>
    <row r="307" spans="1:9" x14ac:dyDescent="0.25">
      <c r="A307" s="21" t="s">
        <v>1968</v>
      </c>
      <c r="B307">
        <v>2</v>
      </c>
      <c r="C307" s="21" t="s">
        <v>70</v>
      </c>
      <c r="D307" s="21" t="s">
        <v>52</v>
      </c>
      <c r="E307">
        <v>196</v>
      </c>
      <c r="F307">
        <v>24</v>
      </c>
      <c r="G307" s="21" t="s">
        <v>12</v>
      </c>
      <c r="H307" s="21" t="s">
        <v>194</v>
      </c>
      <c r="I307" s="21" t="s">
        <v>1936</v>
      </c>
    </row>
    <row r="308" spans="1:9" x14ac:dyDescent="0.25">
      <c r="A308" s="21" t="s">
        <v>1969</v>
      </c>
      <c r="B308">
        <v>8</v>
      </c>
      <c r="C308" s="21" t="s">
        <v>70</v>
      </c>
      <c r="D308" s="21" t="s">
        <v>24</v>
      </c>
      <c r="E308">
        <v>212</v>
      </c>
      <c r="F308">
        <v>25</v>
      </c>
      <c r="G308" s="21" t="s">
        <v>45</v>
      </c>
      <c r="H308" s="21" t="s">
        <v>231</v>
      </c>
      <c r="I308" s="21" t="s">
        <v>1936</v>
      </c>
    </row>
    <row r="309" spans="1:9" x14ac:dyDescent="0.25">
      <c r="A309" s="21" t="s">
        <v>1970</v>
      </c>
      <c r="B309">
        <v>17</v>
      </c>
      <c r="C309" s="21" t="s">
        <v>48</v>
      </c>
      <c r="D309" s="21" t="s">
        <v>24</v>
      </c>
      <c r="E309">
        <v>207</v>
      </c>
      <c r="F309">
        <v>28</v>
      </c>
      <c r="G309" s="21" t="s">
        <v>12</v>
      </c>
      <c r="H309" s="21" t="s">
        <v>1140</v>
      </c>
      <c r="I309" s="21" t="s">
        <v>1936</v>
      </c>
    </row>
    <row r="310" spans="1:9" x14ac:dyDescent="0.25">
      <c r="A310" s="21" t="s">
        <v>1971</v>
      </c>
      <c r="B310">
        <v>71</v>
      </c>
      <c r="C310" s="21" t="s">
        <v>140</v>
      </c>
      <c r="D310" s="21" t="s">
        <v>67</v>
      </c>
      <c r="E310">
        <v>312</v>
      </c>
      <c r="F310">
        <v>30</v>
      </c>
      <c r="G310" s="21" t="s">
        <v>100</v>
      </c>
      <c r="H310" s="21" t="s">
        <v>104</v>
      </c>
      <c r="I310" s="21" t="s">
        <v>1936</v>
      </c>
    </row>
    <row r="311" spans="1:9" x14ac:dyDescent="0.25">
      <c r="A311" s="21" t="s">
        <v>1972</v>
      </c>
      <c r="B311">
        <v>23</v>
      </c>
      <c r="C311" s="21" t="s">
        <v>89</v>
      </c>
      <c r="D311" s="21" t="s">
        <v>54</v>
      </c>
      <c r="E311">
        <v>211</v>
      </c>
      <c r="F311">
        <v>30</v>
      </c>
      <c r="G311" s="21" t="s">
        <v>64</v>
      </c>
      <c r="H311" s="21" t="s">
        <v>187</v>
      </c>
      <c r="I311" s="21" t="s">
        <v>1936</v>
      </c>
    </row>
    <row r="312" spans="1:9" x14ac:dyDescent="0.25">
      <c r="A312" s="21" t="s">
        <v>1974</v>
      </c>
      <c r="B312">
        <v>61</v>
      </c>
      <c r="C312" s="21" t="s">
        <v>140</v>
      </c>
      <c r="D312" s="21" t="s">
        <v>20</v>
      </c>
      <c r="E312">
        <v>345</v>
      </c>
      <c r="F312">
        <v>26</v>
      </c>
      <c r="G312" s="21" t="s">
        <v>83</v>
      </c>
      <c r="H312" s="21" t="s">
        <v>128</v>
      </c>
      <c r="I312" s="21" t="s">
        <v>1936</v>
      </c>
    </row>
    <row r="313" spans="1:9" x14ac:dyDescent="0.25">
      <c r="A313" s="21" t="s">
        <v>1973</v>
      </c>
      <c r="B313">
        <v>98</v>
      </c>
      <c r="C313" s="21" t="s">
        <v>114</v>
      </c>
      <c r="D313" s="21" t="s">
        <v>35</v>
      </c>
      <c r="E313">
        <v>327</v>
      </c>
      <c r="F313">
        <v>22</v>
      </c>
      <c r="G313" s="21" t="s">
        <v>25</v>
      </c>
      <c r="H313" s="21" t="s">
        <v>797</v>
      </c>
      <c r="I313" s="21" t="s">
        <v>1936</v>
      </c>
    </row>
    <row r="314" spans="1:9" x14ac:dyDescent="0.25">
      <c r="A314" s="21" t="s">
        <v>1975</v>
      </c>
      <c r="B314">
        <v>88</v>
      </c>
      <c r="C314" s="21" t="s">
        <v>57</v>
      </c>
      <c r="D314" s="21" t="s">
        <v>67</v>
      </c>
      <c r="E314">
        <v>250</v>
      </c>
      <c r="F314">
        <v>23</v>
      </c>
      <c r="G314" s="21" t="s">
        <v>25</v>
      </c>
      <c r="H314" s="21" t="s">
        <v>162</v>
      </c>
      <c r="I314" s="21" t="s">
        <v>1936</v>
      </c>
    </row>
    <row r="315" spans="1:9" x14ac:dyDescent="0.25">
      <c r="A315" s="21" t="s">
        <v>1976</v>
      </c>
      <c r="B315">
        <v>80</v>
      </c>
      <c r="C315" s="21" t="s">
        <v>57</v>
      </c>
      <c r="D315" s="21" t="s">
        <v>35</v>
      </c>
      <c r="E315">
        <v>235</v>
      </c>
      <c r="F315">
        <v>22</v>
      </c>
      <c r="G315" s="21" t="s">
        <v>25</v>
      </c>
      <c r="H315" s="21" t="s">
        <v>471</v>
      </c>
      <c r="I315" s="21" t="s">
        <v>1936</v>
      </c>
    </row>
    <row r="316" spans="1:9" x14ac:dyDescent="0.25">
      <c r="A316" s="21" t="s">
        <v>1977</v>
      </c>
      <c r="B316">
        <v>64</v>
      </c>
      <c r="C316" s="21" t="s">
        <v>184</v>
      </c>
      <c r="D316" s="21" t="s">
        <v>24</v>
      </c>
      <c r="E316">
        <v>305</v>
      </c>
      <c r="F316">
        <v>22</v>
      </c>
      <c r="G316" s="21" t="s">
        <v>25</v>
      </c>
      <c r="H316" s="21" t="s">
        <v>117</v>
      </c>
      <c r="I316" s="21" t="s">
        <v>1936</v>
      </c>
    </row>
    <row r="317" spans="1:9" x14ac:dyDescent="0.25">
      <c r="A317" s="21" t="s">
        <v>1978</v>
      </c>
      <c r="B317">
        <v>94</v>
      </c>
      <c r="C317" s="21" t="s">
        <v>114</v>
      </c>
      <c r="D317" s="21" t="s">
        <v>52</v>
      </c>
      <c r="E317">
        <v>299</v>
      </c>
      <c r="F317">
        <v>26</v>
      </c>
      <c r="G317" s="21" t="s">
        <v>12</v>
      </c>
      <c r="H317" s="21" t="s">
        <v>718</v>
      </c>
      <c r="I317" s="21" t="s">
        <v>1936</v>
      </c>
    </row>
    <row r="318" spans="1:9" x14ac:dyDescent="0.25">
      <c r="A318" s="21" t="s">
        <v>1979</v>
      </c>
      <c r="B318">
        <v>92</v>
      </c>
      <c r="C318" s="21" t="s">
        <v>114</v>
      </c>
      <c r="D318" s="21" t="s">
        <v>44</v>
      </c>
      <c r="E318">
        <v>300</v>
      </c>
      <c r="F318">
        <v>24</v>
      </c>
      <c r="G318" s="21" t="s">
        <v>12</v>
      </c>
      <c r="H318" s="21" t="s">
        <v>152</v>
      </c>
      <c r="I318" s="21" t="s">
        <v>1936</v>
      </c>
    </row>
    <row r="319" spans="1:9" x14ac:dyDescent="0.25">
      <c r="A319" s="21" t="s">
        <v>1980</v>
      </c>
      <c r="B319">
        <v>37</v>
      </c>
      <c r="C319" s="21" t="s">
        <v>48</v>
      </c>
      <c r="D319" s="21" t="s">
        <v>52</v>
      </c>
      <c r="E319">
        <v>210</v>
      </c>
      <c r="F319">
        <v>25</v>
      </c>
      <c r="G319" s="21" t="s">
        <v>16</v>
      </c>
      <c r="H319" s="21" t="s">
        <v>280</v>
      </c>
      <c r="I319" s="21" t="s">
        <v>1936</v>
      </c>
    </row>
    <row r="320" spans="1:9" x14ac:dyDescent="0.25">
      <c r="A320" s="21" t="s">
        <v>1981</v>
      </c>
      <c r="B320">
        <v>38</v>
      </c>
      <c r="C320" s="21" t="s">
        <v>91</v>
      </c>
      <c r="D320" s="21" t="s">
        <v>44</v>
      </c>
      <c r="E320">
        <v>256</v>
      </c>
      <c r="F320">
        <v>23</v>
      </c>
      <c r="G320" s="21" t="s">
        <v>83</v>
      </c>
      <c r="H320" s="21" t="s">
        <v>98</v>
      </c>
      <c r="I320" s="21" t="s">
        <v>1936</v>
      </c>
    </row>
    <row r="321" spans="1:9" x14ac:dyDescent="0.25">
      <c r="A321" s="21" t="s">
        <v>1982</v>
      </c>
      <c r="B321">
        <v>49</v>
      </c>
      <c r="C321" s="21" t="s">
        <v>230</v>
      </c>
      <c r="D321" s="21" t="s">
        <v>54</v>
      </c>
      <c r="E321">
        <v>227</v>
      </c>
      <c r="F321">
        <v>22</v>
      </c>
      <c r="G321" s="21" t="s">
        <v>25</v>
      </c>
      <c r="H321" s="21" t="s">
        <v>65</v>
      </c>
      <c r="I321" s="21" t="s">
        <v>1936</v>
      </c>
    </row>
    <row r="322" spans="1:9" x14ac:dyDescent="0.25">
      <c r="A322" s="21" t="s">
        <v>1983</v>
      </c>
      <c r="B322">
        <v>47</v>
      </c>
      <c r="C322" s="21" t="s">
        <v>51</v>
      </c>
      <c r="D322" s="21" t="s">
        <v>11</v>
      </c>
      <c r="E322">
        <v>213</v>
      </c>
      <c r="F322">
        <v>23</v>
      </c>
      <c r="G322" s="21" t="s">
        <v>83</v>
      </c>
      <c r="H322" s="21" t="s">
        <v>1984</v>
      </c>
      <c r="I322" s="21" t="s">
        <v>1936</v>
      </c>
    </row>
    <row r="323" spans="1:9" x14ac:dyDescent="0.25">
      <c r="A323" s="21" t="s">
        <v>1985</v>
      </c>
      <c r="B323">
        <v>69</v>
      </c>
      <c r="C323" s="21" t="s">
        <v>277</v>
      </c>
      <c r="D323" s="21" t="s">
        <v>44</v>
      </c>
      <c r="E323">
        <v>326</v>
      </c>
      <c r="F323">
        <v>25</v>
      </c>
      <c r="G323" s="21" t="s">
        <v>12</v>
      </c>
      <c r="H323" s="21" t="s">
        <v>104</v>
      </c>
      <c r="I323" s="21" t="s">
        <v>1936</v>
      </c>
    </row>
    <row r="324" spans="1:9" x14ac:dyDescent="0.25">
      <c r="A324" s="21" t="s">
        <v>1986</v>
      </c>
      <c r="B324">
        <v>60</v>
      </c>
      <c r="C324" s="21" t="s">
        <v>213</v>
      </c>
      <c r="D324" s="21" t="s">
        <v>44</v>
      </c>
      <c r="E324">
        <v>263</v>
      </c>
      <c r="F324">
        <v>31</v>
      </c>
      <c r="G324" s="21" t="s">
        <v>21</v>
      </c>
      <c r="H324" s="21" t="s">
        <v>504</v>
      </c>
      <c r="I324" s="21" t="s">
        <v>1936</v>
      </c>
    </row>
    <row r="325" spans="1:9" x14ac:dyDescent="0.25">
      <c r="A325" s="21" t="s">
        <v>1987</v>
      </c>
      <c r="B325">
        <v>65</v>
      </c>
      <c r="C325" s="21" t="s">
        <v>277</v>
      </c>
      <c r="D325" s="21" t="s">
        <v>35</v>
      </c>
      <c r="E325">
        <v>308</v>
      </c>
      <c r="F325">
        <v>24</v>
      </c>
      <c r="G325" s="21" t="s">
        <v>16</v>
      </c>
      <c r="H325" s="21" t="s">
        <v>226</v>
      </c>
      <c r="I325" s="21" t="s">
        <v>1936</v>
      </c>
    </row>
    <row r="326" spans="1:9" x14ac:dyDescent="0.25">
      <c r="A326" s="21" t="s">
        <v>1988</v>
      </c>
      <c r="B326">
        <v>51</v>
      </c>
      <c r="C326" s="21" t="s">
        <v>213</v>
      </c>
      <c r="D326" s="21" t="s">
        <v>29</v>
      </c>
      <c r="E326">
        <v>247</v>
      </c>
      <c r="F326">
        <v>23</v>
      </c>
      <c r="G326" s="21" t="s">
        <v>25</v>
      </c>
      <c r="H326" s="21" t="s">
        <v>251</v>
      </c>
      <c r="I326" s="21" t="s">
        <v>1936</v>
      </c>
    </row>
    <row r="327" spans="1:9" x14ac:dyDescent="0.25">
      <c r="A327" s="21" t="s">
        <v>146</v>
      </c>
      <c r="B327">
        <v>10</v>
      </c>
      <c r="C327" s="21" t="s">
        <v>10</v>
      </c>
      <c r="D327" s="21" t="s">
        <v>54</v>
      </c>
      <c r="E327">
        <v>191</v>
      </c>
      <c r="F327">
        <v>25</v>
      </c>
      <c r="G327" s="21" t="s">
        <v>83</v>
      </c>
      <c r="H327" s="21" t="s">
        <v>1840</v>
      </c>
      <c r="I327" s="21" t="s">
        <v>1936</v>
      </c>
    </row>
    <row r="328" spans="1:9" x14ac:dyDescent="0.25">
      <c r="A328" s="21" t="s">
        <v>1989</v>
      </c>
      <c r="B328">
        <v>46</v>
      </c>
      <c r="C328" s="21" t="s">
        <v>158</v>
      </c>
      <c r="D328" s="21" t="s">
        <v>24</v>
      </c>
      <c r="E328">
        <v>248</v>
      </c>
      <c r="F328">
        <v>29</v>
      </c>
      <c r="G328" s="21" t="s">
        <v>30</v>
      </c>
      <c r="H328" s="21" t="s">
        <v>196</v>
      </c>
      <c r="I328" s="21" t="s">
        <v>1936</v>
      </c>
    </row>
    <row r="329" spans="1:9" x14ac:dyDescent="0.25">
      <c r="A329" s="21" t="s">
        <v>1990</v>
      </c>
      <c r="B329">
        <v>78</v>
      </c>
      <c r="C329" s="21" t="s">
        <v>140</v>
      </c>
      <c r="D329" s="21" t="s">
        <v>67</v>
      </c>
      <c r="E329">
        <v>330</v>
      </c>
      <c r="F329">
        <v>31</v>
      </c>
      <c r="G329" s="21" t="s">
        <v>64</v>
      </c>
      <c r="H329" s="21" t="s">
        <v>333</v>
      </c>
      <c r="I329" s="21" t="s">
        <v>1936</v>
      </c>
    </row>
    <row r="330" spans="1:9" x14ac:dyDescent="0.25">
      <c r="A330" s="21" t="s">
        <v>1991</v>
      </c>
      <c r="B330">
        <v>67</v>
      </c>
      <c r="C330" s="21" t="s">
        <v>184</v>
      </c>
      <c r="D330" s="21" t="s">
        <v>29</v>
      </c>
      <c r="E330">
        <v>305</v>
      </c>
      <c r="F330">
        <v>27</v>
      </c>
      <c r="G330" s="21" t="s">
        <v>12</v>
      </c>
      <c r="H330" s="21" t="s">
        <v>1992</v>
      </c>
      <c r="I330" s="21" t="s">
        <v>1936</v>
      </c>
    </row>
    <row r="331" spans="1:9" x14ac:dyDescent="0.25">
      <c r="A331" s="21" t="s">
        <v>1993</v>
      </c>
      <c r="B331">
        <v>91</v>
      </c>
      <c r="C331" s="21" t="s">
        <v>114</v>
      </c>
      <c r="D331" s="21" t="s">
        <v>24</v>
      </c>
      <c r="E331">
        <v>305</v>
      </c>
      <c r="F331">
        <v>23</v>
      </c>
      <c r="G331" s="21" t="s">
        <v>25</v>
      </c>
      <c r="H331" s="21" t="s">
        <v>1994</v>
      </c>
      <c r="I331" s="21" t="s">
        <v>1936</v>
      </c>
    </row>
    <row r="332" spans="1:9" x14ac:dyDescent="0.25">
      <c r="A332" s="21" t="s">
        <v>1995</v>
      </c>
      <c r="B332">
        <v>90</v>
      </c>
      <c r="C332" s="21" t="s">
        <v>213</v>
      </c>
      <c r="D332" s="21" t="s">
        <v>35</v>
      </c>
      <c r="E332">
        <v>255</v>
      </c>
      <c r="F332">
        <v>22</v>
      </c>
      <c r="G332" s="21" t="s">
        <v>25</v>
      </c>
      <c r="H332" s="21" t="s">
        <v>98</v>
      </c>
      <c r="I332" s="21" t="s">
        <v>1936</v>
      </c>
    </row>
    <row r="333" spans="1:9" x14ac:dyDescent="0.25">
      <c r="A333" s="21" t="s">
        <v>1996</v>
      </c>
      <c r="B333">
        <v>84</v>
      </c>
      <c r="C333" s="21" t="s">
        <v>57</v>
      </c>
      <c r="D333" s="21" t="s">
        <v>29</v>
      </c>
      <c r="E333">
        <v>249</v>
      </c>
      <c r="F333">
        <v>25</v>
      </c>
      <c r="G333" s="21" t="s">
        <v>16</v>
      </c>
      <c r="H333" s="21" t="s">
        <v>311</v>
      </c>
      <c r="I333" s="21" t="s">
        <v>1936</v>
      </c>
    </row>
    <row r="334" spans="1:9" x14ac:dyDescent="0.25">
      <c r="A334" s="21" t="s">
        <v>1997</v>
      </c>
      <c r="B334">
        <v>99</v>
      </c>
      <c r="C334" s="21" t="s">
        <v>213</v>
      </c>
      <c r="D334" s="21" t="s">
        <v>29</v>
      </c>
      <c r="E334">
        <v>251</v>
      </c>
      <c r="F334">
        <v>23</v>
      </c>
      <c r="G334" s="21" t="s">
        <v>30</v>
      </c>
      <c r="H334" s="21" t="s">
        <v>3251</v>
      </c>
      <c r="I334" s="21" t="s">
        <v>1936</v>
      </c>
    </row>
    <row r="335" spans="1:9" x14ac:dyDescent="0.25">
      <c r="A335" s="21" t="s">
        <v>1998</v>
      </c>
      <c r="B335">
        <v>31</v>
      </c>
      <c r="C335" s="21" t="s">
        <v>51</v>
      </c>
      <c r="D335" s="21" t="s">
        <v>11</v>
      </c>
      <c r="E335">
        <v>217</v>
      </c>
      <c r="F335">
        <v>22</v>
      </c>
      <c r="G335" s="21" t="s">
        <v>25</v>
      </c>
      <c r="H335" s="21" t="s">
        <v>106</v>
      </c>
      <c r="I335" s="21" t="s">
        <v>1936</v>
      </c>
    </row>
    <row r="336" spans="1:9" x14ac:dyDescent="0.25">
      <c r="A336" s="21" t="s">
        <v>1999</v>
      </c>
      <c r="B336">
        <v>24</v>
      </c>
      <c r="C336" s="21" t="s">
        <v>48</v>
      </c>
      <c r="D336" s="21" t="s">
        <v>11</v>
      </c>
      <c r="E336">
        <v>197</v>
      </c>
      <c r="F336">
        <v>29</v>
      </c>
      <c r="G336" s="21" t="s">
        <v>21</v>
      </c>
      <c r="H336" s="21" t="s">
        <v>274</v>
      </c>
      <c r="I336" s="21" t="s">
        <v>1936</v>
      </c>
    </row>
    <row r="337" spans="1:9" x14ac:dyDescent="0.25">
      <c r="A337" s="21" t="s">
        <v>2000</v>
      </c>
      <c r="B337">
        <v>74</v>
      </c>
      <c r="C337" s="21" t="s">
        <v>277</v>
      </c>
      <c r="D337" s="21" t="s">
        <v>29</v>
      </c>
      <c r="E337">
        <v>330</v>
      </c>
      <c r="F337">
        <v>25</v>
      </c>
      <c r="G337" s="21" t="s">
        <v>12</v>
      </c>
      <c r="H337" s="21" t="s">
        <v>558</v>
      </c>
      <c r="I337" s="21" t="s">
        <v>1936</v>
      </c>
    </row>
    <row r="338" spans="1:9" x14ac:dyDescent="0.25">
      <c r="A338" s="21" t="s">
        <v>2001</v>
      </c>
      <c r="B338">
        <v>58</v>
      </c>
      <c r="C338" s="21" t="s">
        <v>114</v>
      </c>
      <c r="D338" s="21" t="s">
        <v>11</v>
      </c>
      <c r="E338">
        <v>345</v>
      </c>
      <c r="F338">
        <v>29</v>
      </c>
      <c r="G338" s="21" t="s">
        <v>38</v>
      </c>
      <c r="H338" s="21" t="s">
        <v>1834</v>
      </c>
      <c r="I338" s="21" t="s">
        <v>1936</v>
      </c>
    </row>
    <row r="339" spans="1:9" x14ac:dyDescent="0.25">
      <c r="A339" s="21" t="s">
        <v>2002</v>
      </c>
      <c r="B339">
        <v>83</v>
      </c>
      <c r="C339" s="21" t="s">
        <v>57</v>
      </c>
      <c r="D339" s="21" t="s">
        <v>20</v>
      </c>
      <c r="E339">
        <v>251</v>
      </c>
      <c r="F339">
        <v>25</v>
      </c>
      <c r="G339" s="21" t="s">
        <v>83</v>
      </c>
      <c r="H339" s="21" t="s">
        <v>333</v>
      </c>
      <c r="I339" s="21" t="s">
        <v>1936</v>
      </c>
    </row>
    <row r="340" spans="1:9" x14ac:dyDescent="0.25">
      <c r="A340" s="21" t="s">
        <v>2003</v>
      </c>
      <c r="B340">
        <v>18</v>
      </c>
      <c r="C340" s="21" t="s">
        <v>10</v>
      </c>
      <c r="D340" s="21" t="s">
        <v>44</v>
      </c>
      <c r="E340">
        <v>197</v>
      </c>
      <c r="F340">
        <v>20</v>
      </c>
      <c r="G340" s="21" t="s">
        <v>25</v>
      </c>
      <c r="H340" s="21" t="s">
        <v>558</v>
      </c>
      <c r="I340" s="21" t="s">
        <v>1936</v>
      </c>
    </row>
    <row r="341" spans="1:9" x14ac:dyDescent="0.25">
      <c r="A341" s="21" t="s">
        <v>2004</v>
      </c>
      <c r="B341">
        <v>72</v>
      </c>
      <c r="C341" s="21" t="s">
        <v>277</v>
      </c>
      <c r="D341" s="21" t="s">
        <v>35</v>
      </c>
      <c r="E341">
        <v>310</v>
      </c>
      <c r="F341">
        <v>25</v>
      </c>
      <c r="G341" s="21" t="s">
        <v>16</v>
      </c>
      <c r="H341" s="21" t="s">
        <v>187</v>
      </c>
      <c r="I341" s="21" t="s">
        <v>1936</v>
      </c>
    </row>
    <row r="342" spans="1:9" x14ac:dyDescent="0.25">
      <c r="A342" s="21" t="s">
        <v>2005</v>
      </c>
      <c r="B342">
        <v>3</v>
      </c>
      <c r="C342" s="21" t="s">
        <v>10</v>
      </c>
      <c r="D342" s="21" t="s">
        <v>54</v>
      </c>
      <c r="E342">
        <v>201</v>
      </c>
      <c r="F342">
        <v>25</v>
      </c>
      <c r="G342" s="21" t="s">
        <v>12</v>
      </c>
      <c r="H342" s="21" t="s">
        <v>674</v>
      </c>
      <c r="I342" s="21" t="s">
        <v>1936</v>
      </c>
    </row>
    <row r="343" spans="1:9" x14ac:dyDescent="0.25">
      <c r="A343" s="21" t="s">
        <v>2006</v>
      </c>
      <c r="B343">
        <v>6</v>
      </c>
      <c r="C343" s="21" t="s">
        <v>230</v>
      </c>
      <c r="D343" s="21" t="s">
        <v>11</v>
      </c>
      <c r="E343">
        <v>232</v>
      </c>
      <c r="F343">
        <v>22</v>
      </c>
      <c r="G343" s="21" t="s">
        <v>12</v>
      </c>
      <c r="H343" s="21" t="s">
        <v>267</v>
      </c>
      <c r="I343" s="21" t="s">
        <v>1936</v>
      </c>
    </row>
    <row r="344" spans="1:9" x14ac:dyDescent="0.25">
      <c r="A344" s="21" t="s">
        <v>2007</v>
      </c>
      <c r="B344">
        <v>42</v>
      </c>
      <c r="C344" s="21" t="s">
        <v>91</v>
      </c>
      <c r="D344" s="21" t="s">
        <v>44</v>
      </c>
      <c r="E344">
        <v>300</v>
      </c>
      <c r="F344">
        <v>28</v>
      </c>
      <c r="G344" s="21" t="s">
        <v>38</v>
      </c>
      <c r="H344" s="21" t="s">
        <v>2008</v>
      </c>
      <c r="I344" s="21" t="s">
        <v>1936</v>
      </c>
    </row>
    <row r="345" spans="1:9" x14ac:dyDescent="0.25">
      <c r="A345" s="21" t="s">
        <v>2009</v>
      </c>
      <c r="B345">
        <v>46</v>
      </c>
      <c r="C345" s="21" t="s">
        <v>230</v>
      </c>
      <c r="D345" s="21" t="s">
        <v>11</v>
      </c>
      <c r="E345">
        <v>225</v>
      </c>
      <c r="F345">
        <v>22</v>
      </c>
      <c r="G345" s="21" t="s">
        <v>25</v>
      </c>
      <c r="H345" s="21" t="s">
        <v>98</v>
      </c>
      <c r="I345" s="21" t="s">
        <v>1936</v>
      </c>
    </row>
    <row r="346" spans="1:9" x14ac:dyDescent="0.25">
      <c r="A346" s="21" t="s">
        <v>2010</v>
      </c>
      <c r="B346">
        <v>25</v>
      </c>
      <c r="C346" s="21" t="s">
        <v>48</v>
      </c>
      <c r="D346" s="21" t="s">
        <v>11</v>
      </c>
      <c r="E346">
        <v>185</v>
      </c>
      <c r="F346">
        <v>28</v>
      </c>
      <c r="G346" s="21" t="s">
        <v>45</v>
      </c>
      <c r="H346" s="21" t="s">
        <v>280</v>
      </c>
      <c r="I346" s="21" t="s">
        <v>1936</v>
      </c>
    </row>
    <row r="347" spans="1:9" x14ac:dyDescent="0.25">
      <c r="A347" s="21" t="s">
        <v>2011</v>
      </c>
      <c r="B347">
        <v>79</v>
      </c>
      <c r="C347" s="21" t="s">
        <v>140</v>
      </c>
      <c r="D347" s="21" t="s">
        <v>67</v>
      </c>
      <c r="E347">
        <v>315</v>
      </c>
      <c r="F347">
        <v>28</v>
      </c>
      <c r="G347" s="21" t="s">
        <v>100</v>
      </c>
      <c r="H347" s="21" t="s">
        <v>31</v>
      </c>
      <c r="I347" s="21" t="s">
        <v>1936</v>
      </c>
    </row>
    <row r="348" spans="1:9" x14ac:dyDescent="0.25">
      <c r="A348" s="21" t="s">
        <v>2012</v>
      </c>
      <c r="B348">
        <v>21</v>
      </c>
      <c r="C348" s="21" t="s">
        <v>124</v>
      </c>
      <c r="D348" s="21" t="s">
        <v>52</v>
      </c>
      <c r="E348">
        <v>213</v>
      </c>
      <c r="F348">
        <v>24</v>
      </c>
      <c r="G348" s="21" t="s">
        <v>30</v>
      </c>
      <c r="H348" s="21" t="s">
        <v>674</v>
      </c>
      <c r="I348" s="21" t="s">
        <v>1936</v>
      </c>
    </row>
    <row r="349" spans="1:9" x14ac:dyDescent="0.25">
      <c r="A349" s="21" t="s">
        <v>2013</v>
      </c>
      <c r="B349">
        <v>26</v>
      </c>
      <c r="C349" s="21" t="s">
        <v>89</v>
      </c>
      <c r="D349" s="21" t="s">
        <v>54</v>
      </c>
      <c r="E349">
        <v>207</v>
      </c>
      <c r="F349">
        <v>23</v>
      </c>
      <c r="G349" s="21" t="s">
        <v>12</v>
      </c>
      <c r="H349" s="21" t="s">
        <v>117</v>
      </c>
      <c r="I349" s="21" t="s">
        <v>1936</v>
      </c>
    </row>
    <row r="350" spans="1:9" x14ac:dyDescent="0.25">
      <c r="A350" s="21" t="s">
        <v>2014</v>
      </c>
      <c r="B350">
        <v>11</v>
      </c>
      <c r="C350" s="21" t="s">
        <v>193</v>
      </c>
      <c r="D350" s="21" t="s">
        <v>44</v>
      </c>
      <c r="E350">
        <v>210</v>
      </c>
      <c r="F350">
        <v>23</v>
      </c>
      <c r="G350" s="21" t="s">
        <v>25</v>
      </c>
      <c r="H350" s="21" t="s">
        <v>3251</v>
      </c>
      <c r="I350" s="21" t="s">
        <v>1936</v>
      </c>
    </row>
    <row r="351" spans="1:9" x14ac:dyDescent="0.25">
      <c r="A351" s="21" t="s">
        <v>2015</v>
      </c>
      <c r="B351">
        <v>9</v>
      </c>
      <c r="C351" s="21" t="s">
        <v>76</v>
      </c>
      <c r="D351" s="21" t="s">
        <v>52</v>
      </c>
      <c r="E351">
        <v>183</v>
      </c>
      <c r="F351">
        <v>32</v>
      </c>
      <c r="G351" s="21" t="s">
        <v>254</v>
      </c>
      <c r="H351" s="21" t="s">
        <v>109</v>
      </c>
      <c r="I351" s="21" t="s">
        <v>1936</v>
      </c>
    </row>
    <row r="352" spans="1:9" x14ac:dyDescent="0.25">
      <c r="A352" s="21" t="s">
        <v>2016</v>
      </c>
      <c r="B352">
        <v>68</v>
      </c>
      <c r="C352" s="21" t="s">
        <v>319</v>
      </c>
      <c r="D352" s="21" t="s">
        <v>20</v>
      </c>
      <c r="E352">
        <v>295</v>
      </c>
      <c r="F352">
        <v>31</v>
      </c>
      <c r="G352" s="21" t="s">
        <v>64</v>
      </c>
      <c r="H352" s="21" t="s">
        <v>333</v>
      </c>
      <c r="I352" s="21" t="s">
        <v>1936</v>
      </c>
    </row>
    <row r="353" spans="1:9" x14ac:dyDescent="0.25">
      <c r="A353" s="21" t="s">
        <v>2017</v>
      </c>
      <c r="B353">
        <v>33</v>
      </c>
      <c r="C353" s="21" t="s">
        <v>48</v>
      </c>
      <c r="D353" s="21" t="s">
        <v>135</v>
      </c>
      <c r="E353">
        <v>188</v>
      </c>
      <c r="F353">
        <v>24</v>
      </c>
      <c r="G353" s="21" t="s">
        <v>25</v>
      </c>
      <c r="H353" s="21" t="s">
        <v>2018</v>
      </c>
      <c r="I353" s="21" t="s">
        <v>1936</v>
      </c>
    </row>
    <row r="354" spans="1:9" x14ac:dyDescent="0.25">
      <c r="A354" s="21" t="s">
        <v>2019</v>
      </c>
      <c r="B354">
        <v>81</v>
      </c>
      <c r="C354" s="21" t="s">
        <v>10</v>
      </c>
      <c r="D354" s="21" t="s">
        <v>35</v>
      </c>
      <c r="E354">
        <v>199</v>
      </c>
      <c r="F354">
        <v>25</v>
      </c>
      <c r="G354" s="21" t="s">
        <v>83</v>
      </c>
      <c r="H354" s="21" t="s">
        <v>36</v>
      </c>
      <c r="I354" s="21" t="s">
        <v>1936</v>
      </c>
    </row>
    <row r="355" spans="1:9" x14ac:dyDescent="0.25">
      <c r="A355" s="21" t="s">
        <v>2020</v>
      </c>
      <c r="B355">
        <v>16</v>
      </c>
      <c r="C355" s="21" t="s">
        <v>10</v>
      </c>
      <c r="D355" s="21" t="s">
        <v>54</v>
      </c>
      <c r="E355">
        <v>193</v>
      </c>
      <c r="F355">
        <v>23</v>
      </c>
      <c r="G355" s="21" t="s">
        <v>30</v>
      </c>
      <c r="H355" s="21" t="s">
        <v>130</v>
      </c>
      <c r="I355" s="21" t="s">
        <v>1936</v>
      </c>
    </row>
    <row r="356" spans="1:9" x14ac:dyDescent="0.25">
      <c r="A356" s="21" t="s">
        <v>2021</v>
      </c>
      <c r="B356">
        <v>29</v>
      </c>
      <c r="C356" s="21" t="s">
        <v>89</v>
      </c>
      <c r="D356" s="21" t="s">
        <v>86</v>
      </c>
      <c r="E356">
        <v>176</v>
      </c>
      <c r="F356">
        <v>22</v>
      </c>
      <c r="G356" s="21" t="s">
        <v>30</v>
      </c>
      <c r="H356" s="21" t="s">
        <v>618</v>
      </c>
      <c r="I356" s="21" t="s">
        <v>1936</v>
      </c>
    </row>
    <row r="357" spans="1:9" x14ac:dyDescent="0.25">
      <c r="A357" s="21" t="s">
        <v>2022</v>
      </c>
      <c r="B357">
        <v>96</v>
      </c>
      <c r="C357" s="21" t="s">
        <v>114</v>
      </c>
      <c r="D357" s="21" t="s">
        <v>24</v>
      </c>
      <c r="E357">
        <v>305</v>
      </c>
      <c r="F357">
        <v>25</v>
      </c>
      <c r="G357" s="21" t="s">
        <v>12</v>
      </c>
      <c r="H357" s="21" t="s">
        <v>101</v>
      </c>
      <c r="I357" s="21" t="s">
        <v>1936</v>
      </c>
    </row>
    <row r="358" spans="1:9" x14ac:dyDescent="0.25">
      <c r="A358" s="21" t="s">
        <v>2023</v>
      </c>
      <c r="B358">
        <v>11</v>
      </c>
      <c r="C358" s="21" t="s">
        <v>10</v>
      </c>
      <c r="D358" s="21" t="s">
        <v>24</v>
      </c>
      <c r="E358">
        <v>204</v>
      </c>
      <c r="F358">
        <v>24</v>
      </c>
      <c r="G358" s="21" t="s">
        <v>25</v>
      </c>
      <c r="H358" s="21" t="s">
        <v>2024</v>
      </c>
      <c r="I358" s="21" t="s">
        <v>1936</v>
      </c>
    </row>
    <row r="359" spans="1:9" x14ac:dyDescent="0.25">
      <c r="A359" s="21" t="s">
        <v>2025</v>
      </c>
      <c r="B359">
        <v>57</v>
      </c>
      <c r="C359" s="21" t="s">
        <v>15</v>
      </c>
      <c r="D359" s="21" t="s">
        <v>44</v>
      </c>
      <c r="E359">
        <v>240</v>
      </c>
      <c r="F359">
        <v>24</v>
      </c>
      <c r="G359" s="21" t="s">
        <v>12</v>
      </c>
      <c r="H359" s="21" t="s">
        <v>117</v>
      </c>
      <c r="I359" s="21" t="s">
        <v>1936</v>
      </c>
    </row>
    <row r="360" spans="1:9" x14ac:dyDescent="0.25">
      <c r="A360" s="21" t="s">
        <v>2026</v>
      </c>
      <c r="B360">
        <v>53</v>
      </c>
      <c r="C360" s="21" t="s">
        <v>213</v>
      </c>
      <c r="D360" s="21" t="s">
        <v>24</v>
      </c>
      <c r="E360">
        <v>251</v>
      </c>
      <c r="F360">
        <v>24</v>
      </c>
      <c r="G360" s="21" t="s">
        <v>25</v>
      </c>
      <c r="H360" s="21" t="s">
        <v>42</v>
      </c>
      <c r="I360" s="21" t="s">
        <v>1936</v>
      </c>
    </row>
    <row r="361" spans="1:9" x14ac:dyDescent="0.25">
      <c r="A361" s="21" t="s">
        <v>2027</v>
      </c>
      <c r="B361">
        <v>22</v>
      </c>
      <c r="C361" s="21" t="s">
        <v>48</v>
      </c>
      <c r="D361" s="21" t="s">
        <v>125</v>
      </c>
      <c r="E361">
        <v>185</v>
      </c>
      <c r="F361">
        <v>24</v>
      </c>
      <c r="G361" s="21" t="s">
        <v>25</v>
      </c>
      <c r="H361" s="21" t="s">
        <v>320</v>
      </c>
      <c r="I361" s="21" t="s">
        <v>1936</v>
      </c>
    </row>
    <row r="362" spans="1:9" x14ac:dyDescent="0.25">
      <c r="A362" s="21" t="s">
        <v>2028</v>
      </c>
      <c r="B362">
        <v>39</v>
      </c>
      <c r="C362" s="21" t="s">
        <v>48</v>
      </c>
      <c r="D362" s="21" t="s">
        <v>125</v>
      </c>
      <c r="E362">
        <v>180</v>
      </c>
      <c r="F362">
        <v>24</v>
      </c>
      <c r="G362" s="21" t="s">
        <v>25</v>
      </c>
      <c r="H362" s="21" t="s">
        <v>466</v>
      </c>
      <c r="I362" s="21" t="s">
        <v>1936</v>
      </c>
    </row>
    <row r="363" spans="1:9" x14ac:dyDescent="0.25">
      <c r="A363" s="21" t="s">
        <v>2029</v>
      </c>
      <c r="B363">
        <v>17</v>
      </c>
      <c r="C363" s="21" t="s">
        <v>10</v>
      </c>
      <c r="D363" s="21" t="s">
        <v>29</v>
      </c>
      <c r="E363">
        <v>211</v>
      </c>
      <c r="F363">
        <v>22</v>
      </c>
      <c r="G363" s="21" t="s">
        <v>25</v>
      </c>
      <c r="H363" s="21" t="s">
        <v>22</v>
      </c>
      <c r="I363" s="21" t="s">
        <v>1936</v>
      </c>
    </row>
    <row r="364" spans="1:9" x14ac:dyDescent="0.25">
      <c r="A364" s="21" t="s">
        <v>2030</v>
      </c>
      <c r="B364">
        <v>32</v>
      </c>
      <c r="C364" s="21" t="s">
        <v>89</v>
      </c>
      <c r="D364" s="21" t="s">
        <v>52</v>
      </c>
      <c r="E364">
        <v>195</v>
      </c>
      <c r="F364">
        <v>25</v>
      </c>
      <c r="G364" s="21" t="s">
        <v>38</v>
      </c>
      <c r="H364" s="21" t="s">
        <v>194</v>
      </c>
      <c r="I364" s="21" t="s">
        <v>1936</v>
      </c>
    </row>
    <row r="365" spans="1:9" x14ac:dyDescent="0.25">
      <c r="A365" s="21" t="s">
        <v>2031</v>
      </c>
      <c r="B365">
        <v>70</v>
      </c>
      <c r="C365" s="21" t="s">
        <v>277</v>
      </c>
      <c r="D365" s="21" t="s">
        <v>35</v>
      </c>
      <c r="E365">
        <v>315</v>
      </c>
      <c r="F365">
        <v>32</v>
      </c>
      <c r="G365" s="21" t="s">
        <v>254</v>
      </c>
      <c r="H365" s="21" t="s">
        <v>68</v>
      </c>
      <c r="I365" s="21" t="s">
        <v>1936</v>
      </c>
    </row>
    <row r="366" spans="1:9" x14ac:dyDescent="0.25">
      <c r="A366" s="21" t="s">
        <v>2032</v>
      </c>
      <c r="B366">
        <v>4</v>
      </c>
      <c r="C366" s="21" t="s">
        <v>193</v>
      </c>
      <c r="D366" s="21" t="s">
        <v>52</v>
      </c>
      <c r="E366">
        <v>222</v>
      </c>
      <c r="G366" s="21" t="s">
        <v>2033</v>
      </c>
      <c r="H366" s="21" t="s">
        <v>556</v>
      </c>
      <c r="I366" s="21" t="s">
        <v>1936</v>
      </c>
    </row>
    <row r="367" spans="1:9" x14ac:dyDescent="0.25">
      <c r="A367" s="21" t="s">
        <v>1845</v>
      </c>
      <c r="B367">
        <v>77</v>
      </c>
      <c r="C367" s="21" t="s">
        <v>277</v>
      </c>
      <c r="D367" s="21" t="s">
        <v>35</v>
      </c>
      <c r="E367">
        <v>315</v>
      </c>
      <c r="F367">
        <v>24</v>
      </c>
      <c r="G367" s="21" t="s">
        <v>12</v>
      </c>
      <c r="H367" s="21" t="s">
        <v>1047</v>
      </c>
      <c r="I367" s="21" t="s">
        <v>1844</v>
      </c>
    </row>
    <row r="368" spans="1:9" x14ac:dyDescent="0.25">
      <c r="A368" s="21" t="s">
        <v>1846</v>
      </c>
      <c r="B368">
        <v>48</v>
      </c>
      <c r="C368" s="21" t="s">
        <v>158</v>
      </c>
      <c r="D368" s="21" t="s">
        <v>24</v>
      </c>
      <c r="E368">
        <v>238</v>
      </c>
      <c r="F368">
        <v>24</v>
      </c>
      <c r="G368" s="21" t="s">
        <v>25</v>
      </c>
      <c r="H368" s="21" t="s">
        <v>128</v>
      </c>
      <c r="I368" s="21" t="s">
        <v>1844</v>
      </c>
    </row>
    <row r="369" spans="1:9" x14ac:dyDescent="0.25">
      <c r="A369" s="21" t="s">
        <v>1847</v>
      </c>
      <c r="B369">
        <v>8</v>
      </c>
      <c r="C369" s="21" t="s">
        <v>70</v>
      </c>
      <c r="D369" s="21" t="s">
        <v>24</v>
      </c>
      <c r="E369">
        <v>209</v>
      </c>
      <c r="F369">
        <v>29</v>
      </c>
      <c r="G369" s="21" t="s">
        <v>38</v>
      </c>
      <c r="H369" s="21" t="s">
        <v>80</v>
      </c>
      <c r="I369" s="21" t="s">
        <v>1844</v>
      </c>
    </row>
    <row r="370" spans="1:9" x14ac:dyDescent="0.25">
      <c r="A370" s="21" t="s">
        <v>1848</v>
      </c>
      <c r="B370">
        <v>26</v>
      </c>
      <c r="C370" s="21" t="s">
        <v>89</v>
      </c>
      <c r="D370" s="21" t="s">
        <v>24</v>
      </c>
      <c r="E370">
        <v>210</v>
      </c>
      <c r="F370">
        <v>23</v>
      </c>
      <c r="G370" s="21" t="s">
        <v>25</v>
      </c>
      <c r="H370" s="21" t="s">
        <v>93</v>
      </c>
      <c r="I370" s="21" t="s">
        <v>1844</v>
      </c>
    </row>
    <row r="371" spans="1:9" x14ac:dyDescent="0.25">
      <c r="A371" s="21" t="s">
        <v>1849</v>
      </c>
      <c r="B371">
        <v>20</v>
      </c>
      <c r="C371" s="21" t="s">
        <v>48</v>
      </c>
      <c r="D371" s="21" t="s">
        <v>52</v>
      </c>
      <c r="E371">
        <v>199</v>
      </c>
      <c r="F371">
        <v>26</v>
      </c>
      <c r="G371" s="21" t="s">
        <v>100</v>
      </c>
      <c r="H371" s="21" t="s">
        <v>36</v>
      </c>
      <c r="I371" s="21" t="s">
        <v>1844</v>
      </c>
    </row>
    <row r="372" spans="1:9" x14ac:dyDescent="0.25">
      <c r="A372" s="21" t="s">
        <v>1850</v>
      </c>
      <c r="B372">
        <v>22</v>
      </c>
      <c r="C372" s="21" t="s">
        <v>48</v>
      </c>
      <c r="D372" s="21" t="s">
        <v>11</v>
      </c>
      <c r="E372">
        <v>202</v>
      </c>
      <c r="F372">
        <v>27</v>
      </c>
      <c r="G372" s="21" t="s">
        <v>38</v>
      </c>
      <c r="H372" s="21" t="s">
        <v>272</v>
      </c>
      <c r="I372" s="21" t="s">
        <v>1844</v>
      </c>
    </row>
    <row r="373" spans="1:9" x14ac:dyDescent="0.25">
      <c r="A373" s="21" t="s">
        <v>1851</v>
      </c>
      <c r="B373">
        <v>49</v>
      </c>
      <c r="C373" s="21" t="s">
        <v>15</v>
      </c>
      <c r="D373" s="21" t="s">
        <v>24</v>
      </c>
      <c r="E373">
        <v>235</v>
      </c>
      <c r="F373">
        <v>24</v>
      </c>
      <c r="G373" s="21" t="s">
        <v>30</v>
      </c>
      <c r="H373" s="21" t="s">
        <v>55</v>
      </c>
      <c r="I373" s="21" t="s">
        <v>1844</v>
      </c>
    </row>
    <row r="374" spans="1:9" x14ac:dyDescent="0.25">
      <c r="A374" s="21" t="s">
        <v>1852</v>
      </c>
      <c r="B374">
        <v>51</v>
      </c>
      <c r="C374" s="21" t="s">
        <v>15</v>
      </c>
      <c r="D374" s="21" t="s">
        <v>11</v>
      </c>
      <c r="E374">
        <v>235</v>
      </c>
      <c r="F374">
        <v>25</v>
      </c>
      <c r="G374" s="21" t="s">
        <v>12</v>
      </c>
      <c r="H374" s="21" t="s">
        <v>400</v>
      </c>
      <c r="I374" s="21" t="s">
        <v>1844</v>
      </c>
    </row>
    <row r="375" spans="1:9" x14ac:dyDescent="0.25">
      <c r="A375" s="21" t="s">
        <v>1853</v>
      </c>
      <c r="B375">
        <v>30</v>
      </c>
      <c r="C375" s="21" t="s">
        <v>89</v>
      </c>
      <c r="D375" s="21" t="s">
        <v>52</v>
      </c>
      <c r="E375">
        <v>200</v>
      </c>
      <c r="F375">
        <v>25</v>
      </c>
      <c r="G375" s="21" t="s">
        <v>45</v>
      </c>
      <c r="H375" s="21" t="s">
        <v>282</v>
      </c>
      <c r="I375" s="21" t="s">
        <v>1844</v>
      </c>
    </row>
    <row r="376" spans="1:9" x14ac:dyDescent="0.25">
      <c r="A376" s="21" t="s">
        <v>1854</v>
      </c>
      <c r="B376">
        <v>24</v>
      </c>
      <c r="C376" s="21" t="s">
        <v>89</v>
      </c>
      <c r="D376" s="21" t="s">
        <v>54</v>
      </c>
      <c r="E376">
        <v>215</v>
      </c>
      <c r="F376">
        <v>27</v>
      </c>
      <c r="G376" s="21" t="s">
        <v>100</v>
      </c>
      <c r="H376" s="21" t="s">
        <v>36</v>
      </c>
      <c r="I376" s="21" t="s">
        <v>1844</v>
      </c>
    </row>
    <row r="377" spans="1:9" x14ac:dyDescent="0.25">
      <c r="A377" s="21" t="s">
        <v>1855</v>
      </c>
      <c r="B377">
        <v>83</v>
      </c>
      <c r="C377" s="21" t="s">
        <v>10</v>
      </c>
      <c r="D377" s="21" t="s">
        <v>24</v>
      </c>
      <c r="E377">
        <v>203</v>
      </c>
      <c r="F377">
        <v>27</v>
      </c>
      <c r="G377" s="21" t="s">
        <v>100</v>
      </c>
      <c r="H377" s="21" t="s">
        <v>128</v>
      </c>
      <c r="I377" s="21" t="s">
        <v>1844</v>
      </c>
    </row>
    <row r="378" spans="1:9" x14ac:dyDescent="0.25">
      <c r="A378" s="21" t="s">
        <v>1856</v>
      </c>
      <c r="B378">
        <v>39</v>
      </c>
      <c r="C378" s="21" t="s">
        <v>48</v>
      </c>
      <c r="D378" s="21" t="s">
        <v>11</v>
      </c>
      <c r="E378">
        <v>190</v>
      </c>
      <c r="F378">
        <v>24</v>
      </c>
      <c r="G378" s="21" t="s">
        <v>83</v>
      </c>
      <c r="H378" s="21" t="s">
        <v>1374</v>
      </c>
      <c r="I378" s="21" t="s">
        <v>1844</v>
      </c>
    </row>
    <row r="379" spans="1:9" x14ac:dyDescent="0.25">
      <c r="A379" s="21" t="s">
        <v>1857</v>
      </c>
      <c r="B379">
        <v>62</v>
      </c>
      <c r="C379" s="21" t="s">
        <v>184</v>
      </c>
      <c r="D379" s="21" t="s">
        <v>29</v>
      </c>
      <c r="E379">
        <v>315</v>
      </c>
      <c r="F379">
        <v>24</v>
      </c>
      <c r="G379" s="21" t="s">
        <v>25</v>
      </c>
      <c r="H379" s="21" t="s">
        <v>516</v>
      </c>
      <c r="I379" s="21" t="s">
        <v>1844</v>
      </c>
    </row>
    <row r="380" spans="1:9" x14ac:dyDescent="0.25">
      <c r="A380" s="21" t="s">
        <v>1858</v>
      </c>
      <c r="B380">
        <v>6</v>
      </c>
      <c r="C380" s="21" t="s">
        <v>70</v>
      </c>
      <c r="D380" s="21" t="s">
        <v>24</v>
      </c>
      <c r="E380">
        <v>209</v>
      </c>
      <c r="F380">
        <v>26</v>
      </c>
      <c r="G380" s="21" t="s">
        <v>83</v>
      </c>
      <c r="H380" s="21" t="s">
        <v>274</v>
      </c>
      <c r="I380" s="21" t="s">
        <v>1844</v>
      </c>
    </row>
    <row r="381" spans="1:9" x14ac:dyDescent="0.25">
      <c r="A381" s="21" t="s">
        <v>1859</v>
      </c>
      <c r="B381">
        <v>9</v>
      </c>
      <c r="C381" s="21" t="s">
        <v>70</v>
      </c>
      <c r="D381" s="21" t="s">
        <v>35</v>
      </c>
      <c r="E381">
        <v>215</v>
      </c>
      <c r="F381">
        <v>25</v>
      </c>
      <c r="G381" s="21" t="s">
        <v>12</v>
      </c>
      <c r="H381" s="21" t="s">
        <v>267</v>
      </c>
      <c r="I381" s="21" t="s">
        <v>1844</v>
      </c>
    </row>
    <row r="382" spans="1:9" x14ac:dyDescent="0.25">
      <c r="A382" s="21" t="s">
        <v>1860</v>
      </c>
      <c r="B382">
        <v>65</v>
      </c>
      <c r="C382" s="21" t="s">
        <v>277</v>
      </c>
      <c r="D382" s="21" t="s">
        <v>67</v>
      </c>
      <c r="E382">
        <v>310</v>
      </c>
      <c r="F382">
        <v>27</v>
      </c>
      <c r="G382" s="21" t="s">
        <v>45</v>
      </c>
      <c r="H382" s="21" t="s">
        <v>1861</v>
      </c>
      <c r="I382" s="21" t="s">
        <v>1844</v>
      </c>
    </row>
    <row r="383" spans="1:9" x14ac:dyDescent="0.25">
      <c r="A383" s="21" t="s">
        <v>1862</v>
      </c>
      <c r="B383">
        <v>79</v>
      </c>
      <c r="C383" s="21" t="s">
        <v>277</v>
      </c>
      <c r="D383" s="21" t="s">
        <v>29</v>
      </c>
      <c r="E383">
        <v>330</v>
      </c>
      <c r="F383">
        <v>22</v>
      </c>
      <c r="G383" s="21" t="s">
        <v>30</v>
      </c>
      <c r="H383" s="21" t="s">
        <v>136</v>
      </c>
      <c r="I383" s="21" t="s">
        <v>1844</v>
      </c>
    </row>
    <row r="384" spans="1:9" x14ac:dyDescent="0.25">
      <c r="A384" s="21" t="s">
        <v>1863</v>
      </c>
      <c r="B384">
        <v>95</v>
      </c>
      <c r="C384" s="21" t="s">
        <v>114</v>
      </c>
      <c r="D384" s="21" t="s">
        <v>35</v>
      </c>
      <c r="E384">
        <v>290</v>
      </c>
      <c r="F384">
        <v>23</v>
      </c>
      <c r="G384" s="21" t="s">
        <v>25</v>
      </c>
      <c r="H384" s="21" t="s">
        <v>251</v>
      </c>
      <c r="I384" s="21" t="s">
        <v>1844</v>
      </c>
    </row>
    <row r="385" spans="1:9" x14ac:dyDescent="0.25">
      <c r="A385" s="21" t="s">
        <v>1864</v>
      </c>
      <c r="B385">
        <v>1</v>
      </c>
      <c r="C385" s="21" t="s">
        <v>10</v>
      </c>
      <c r="D385" s="21" t="s">
        <v>11</v>
      </c>
      <c r="E385">
        <v>201</v>
      </c>
      <c r="F385">
        <v>22</v>
      </c>
      <c r="G385" s="21" t="s">
        <v>30</v>
      </c>
      <c r="H385" s="21" t="s">
        <v>267</v>
      </c>
      <c r="I385" s="21" t="s">
        <v>1844</v>
      </c>
    </row>
    <row r="386" spans="1:9" x14ac:dyDescent="0.25">
      <c r="A386" s="21" t="s">
        <v>1865</v>
      </c>
      <c r="B386">
        <v>4</v>
      </c>
      <c r="C386" s="21" t="s">
        <v>193</v>
      </c>
      <c r="D386" s="21" t="s">
        <v>24</v>
      </c>
      <c r="E386">
        <v>211</v>
      </c>
      <c r="F386">
        <v>25</v>
      </c>
      <c r="G386" s="21" t="s">
        <v>83</v>
      </c>
      <c r="H386" s="21" t="s">
        <v>36</v>
      </c>
      <c r="I386" s="21" t="s">
        <v>1844</v>
      </c>
    </row>
    <row r="387" spans="1:9" x14ac:dyDescent="0.25">
      <c r="A387" s="21" t="s">
        <v>1866</v>
      </c>
      <c r="B387">
        <v>76</v>
      </c>
      <c r="C387" s="21" t="s">
        <v>140</v>
      </c>
      <c r="D387" s="21" t="s">
        <v>20</v>
      </c>
      <c r="E387">
        <v>310</v>
      </c>
      <c r="F387">
        <v>24</v>
      </c>
      <c r="G387" s="21" t="s">
        <v>25</v>
      </c>
      <c r="H387" s="21" t="s">
        <v>132</v>
      </c>
      <c r="I387" s="21" t="s">
        <v>1844</v>
      </c>
    </row>
    <row r="388" spans="1:9" x14ac:dyDescent="0.25">
      <c r="A388" s="21" t="s">
        <v>1867</v>
      </c>
      <c r="B388">
        <v>71</v>
      </c>
      <c r="C388" s="21" t="s">
        <v>140</v>
      </c>
      <c r="D388" s="21" t="s">
        <v>35</v>
      </c>
      <c r="E388">
        <v>314</v>
      </c>
      <c r="F388">
        <v>29</v>
      </c>
      <c r="G388" s="21" t="s">
        <v>21</v>
      </c>
      <c r="H388" s="21" t="s">
        <v>267</v>
      </c>
      <c r="I388" s="21" t="s">
        <v>1844</v>
      </c>
    </row>
    <row r="389" spans="1:9" x14ac:dyDescent="0.25">
      <c r="A389" s="21" t="s">
        <v>1868</v>
      </c>
      <c r="B389">
        <v>43</v>
      </c>
      <c r="C389" s="21" t="s">
        <v>124</v>
      </c>
      <c r="D389" s="21" t="s">
        <v>135</v>
      </c>
      <c r="E389">
        <v>135</v>
      </c>
      <c r="F389">
        <v>26</v>
      </c>
      <c r="G389" s="21" t="s">
        <v>25</v>
      </c>
      <c r="H389" s="21" t="s">
        <v>1869</v>
      </c>
      <c r="I389" s="21" t="s">
        <v>1844</v>
      </c>
    </row>
    <row r="390" spans="1:9" x14ac:dyDescent="0.25">
      <c r="A390" s="21" t="s">
        <v>1871</v>
      </c>
      <c r="B390">
        <v>59</v>
      </c>
      <c r="C390" s="21" t="s">
        <v>15</v>
      </c>
      <c r="D390" s="21" t="s">
        <v>24</v>
      </c>
      <c r="E390">
        <v>228</v>
      </c>
      <c r="F390">
        <v>24</v>
      </c>
      <c r="G390" s="21" t="s">
        <v>12</v>
      </c>
      <c r="H390" s="21" t="s">
        <v>243</v>
      </c>
      <c r="I390" s="21" t="s">
        <v>1844</v>
      </c>
    </row>
    <row r="391" spans="1:9" x14ac:dyDescent="0.25">
      <c r="A391" s="21" t="s">
        <v>1870</v>
      </c>
      <c r="B391">
        <v>35</v>
      </c>
      <c r="C391" s="21" t="s">
        <v>48</v>
      </c>
      <c r="D391" s="21" t="s">
        <v>125</v>
      </c>
      <c r="E391">
        <v>190</v>
      </c>
      <c r="F391">
        <v>26</v>
      </c>
      <c r="G391" s="21" t="s">
        <v>12</v>
      </c>
      <c r="H391" s="21" t="s">
        <v>439</v>
      </c>
      <c r="I391" s="21" t="s">
        <v>1844</v>
      </c>
    </row>
    <row r="392" spans="1:9" x14ac:dyDescent="0.25">
      <c r="A392" s="21" t="s">
        <v>1872</v>
      </c>
      <c r="B392">
        <v>86</v>
      </c>
      <c r="C392" s="21" t="s">
        <v>57</v>
      </c>
      <c r="D392" s="21" t="s">
        <v>29</v>
      </c>
      <c r="E392">
        <v>256</v>
      </c>
      <c r="F392">
        <v>25</v>
      </c>
      <c r="G392" s="21" t="s">
        <v>83</v>
      </c>
      <c r="H392" s="21" t="s">
        <v>98</v>
      </c>
      <c r="I392" s="21" t="s">
        <v>1844</v>
      </c>
    </row>
    <row r="393" spans="1:9" x14ac:dyDescent="0.25">
      <c r="A393" s="21" t="s">
        <v>1873</v>
      </c>
      <c r="B393">
        <v>25</v>
      </c>
      <c r="C393" s="21" t="s">
        <v>51</v>
      </c>
      <c r="D393" s="21" t="s">
        <v>54</v>
      </c>
      <c r="E393">
        <v>215</v>
      </c>
      <c r="F393">
        <v>24</v>
      </c>
      <c r="G393" s="21" t="s">
        <v>30</v>
      </c>
      <c r="H393" s="21" t="s">
        <v>98</v>
      </c>
      <c r="I393" s="21" t="s">
        <v>1844</v>
      </c>
    </row>
    <row r="394" spans="1:9" x14ac:dyDescent="0.25">
      <c r="A394" s="21" t="s">
        <v>1874</v>
      </c>
      <c r="B394">
        <v>33</v>
      </c>
      <c r="C394" s="21" t="s">
        <v>48</v>
      </c>
      <c r="D394" s="21" t="s">
        <v>44</v>
      </c>
      <c r="E394">
        <v>200</v>
      </c>
      <c r="F394">
        <v>27</v>
      </c>
      <c r="G394" s="21" t="s">
        <v>45</v>
      </c>
      <c r="H394" s="21" t="s">
        <v>130</v>
      </c>
      <c r="I394" s="21" t="s">
        <v>1844</v>
      </c>
    </row>
    <row r="395" spans="1:9" x14ac:dyDescent="0.25">
      <c r="A395" s="21" t="s">
        <v>1875</v>
      </c>
      <c r="B395">
        <v>61</v>
      </c>
      <c r="C395" s="21" t="s">
        <v>184</v>
      </c>
      <c r="D395" s="21" t="s">
        <v>44</v>
      </c>
      <c r="E395">
        <v>326</v>
      </c>
      <c r="F395">
        <v>26</v>
      </c>
      <c r="G395" s="21" t="s">
        <v>12</v>
      </c>
      <c r="H395" s="21" t="s">
        <v>196</v>
      </c>
      <c r="I395" s="21" t="s">
        <v>1844</v>
      </c>
    </row>
    <row r="396" spans="1:9" x14ac:dyDescent="0.25">
      <c r="A396" s="21" t="s">
        <v>1876</v>
      </c>
      <c r="B396">
        <v>42</v>
      </c>
      <c r="C396" s="21" t="s">
        <v>48</v>
      </c>
      <c r="D396" s="21" t="s">
        <v>54</v>
      </c>
      <c r="E396">
        <v>191</v>
      </c>
      <c r="F396">
        <v>23</v>
      </c>
      <c r="G396" s="21" t="s">
        <v>25</v>
      </c>
      <c r="H396" s="21" t="s">
        <v>46</v>
      </c>
      <c r="I396" s="21" t="s">
        <v>1844</v>
      </c>
    </row>
    <row r="397" spans="1:9" x14ac:dyDescent="0.25">
      <c r="A397" s="21" t="s">
        <v>1877</v>
      </c>
      <c r="B397">
        <v>93</v>
      </c>
      <c r="C397" s="21" t="s">
        <v>319</v>
      </c>
      <c r="D397" s="21" t="s">
        <v>35</v>
      </c>
      <c r="E397">
        <v>263</v>
      </c>
      <c r="F397">
        <v>23</v>
      </c>
      <c r="G397" s="21" t="s">
        <v>25</v>
      </c>
      <c r="H397" s="21" t="s">
        <v>471</v>
      </c>
      <c r="I397" s="21" t="s">
        <v>1844</v>
      </c>
    </row>
    <row r="398" spans="1:9" x14ac:dyDescent="0.25">
      <c r="A398" s="21" t="s">
        <v>1878</v>
      </c>
      <c r="B398">
        <v>46</v>
      </c>
      <c r="C398" s="21" t="s">
        <v>158</v>
      </c>
      <c r="D398" s="21" t="s">
        <v>29</v>
      </c>
      <c r="E398">
        <v>250</v>
      </c>
      <c r="F398">
        <v>38</v>
      </c>
      <c r="G398" s="21" t="s">
        <v>1199</v>
      </c>
      <c r="H398" s="21" t="s">
        <v>120</v>
      </c>
      <c r="I398" s="21" t="s">
        <v>1844</v>
      </c>
    </row>
    <row r="399" spans="1:9" x14ac:dyDescent="0.25">
      <c r="A399" s="21" t="s">
        <v>1879</v>
      </c>
      <c r="B399">
        <v>15</v>
      </c>
      <c r="C399" s="21" t="s">
        <v>10</v>
      </c>
      <c r="D399" s="21" t="s">
        <v>24</v>
      </c>
      <c r="E399">
        <v>200</v>
      </c>
      <c r="F399">
        <v>22</v>
      </c>
      <c r="G399" s="21" t="s">
        <v>25</v>
      </c>
      <c r="H399" s="21" t="s">
        <v>471</v>
      </c>
      <c r="I399" s="21" t="s">
        <v>1844</v>
      </c>
    </row>
    <row r="400" spans="1:9" x14ac:dyDescent="0.25">
      <c r="A400" s="21" t="s">
        <v>1880</v>
      </c>
      <c r="B400">
        <v>41</v>
      </c>
      <c r="C400" s="21" t="s">
        <v>89</v>
      </c>
      <c r="D400" s="21" t="s">
        <v>11</v>
      </c>
      <c r="E400">
        <v>205</v>
      </c>
      <c r="F400">
        <v>26</v>
      </c>
      <c r="G400" s="21" t="s">
        <v>30</v>
      </c>
      <c r="H400" s="21" t="s">
        <v>430</v>
      </c>
      <c r="I400" s="21" t="s">
        <v>1844</v>
      </c>
    </row>
    <row r="401" spans="1:9" x14ac:dyDescent="0.25">
      <c r="A401" s="21" t="s">
        <v>1881</v>
      </c>
      <c r="B401">
        <v>91</v>
      </c>
      <c r="C401" s="21" t="s">
        <v>319</v>
      </c>
      <c r="D401" s="21" t="s">
        <v>35</v>
      </c>
      <c r="E401">
        <v>270</v>
      </c>
      <c r="F401">
        <v>27</v>
      </c>
      <c r="G401" s="21" t="s">
        <v>38</v>
      </c>
      <c r="H401" s="21" t="s">
        <v>17</v>
      </c>
      <c r="I401" s="21" t="s">
        <v>1844</v>
      </c>
    </row>
    <row r="402" spans="1:9" x14ac:dyDescent="0.25">
      <c r="A402" s="21" t="s">
        <v>1882</v>
      </c>
      <c r="B402">
        <v>50</v>
      </c>
      <c r="C402" s="21" t="s">
        <v>15</v>
      </c>
      <c r="D402" s="21" t="s">
        <v>24</v>
      </c>
      <c r="E402">
        <v>230</v>
      </c>
      <c r="F402">
        <v>23</v>
      </c>
      <c r="G402" s="21" t="s">
        <v>25</v>
      </c>
      <c r="H402" s="21" t="s">
        <v>42</v>
      </c>
      <c r="I402" s="21" t="s">
        <v>1844</v>
      </c>
    </row>
    <row r="403" spans="1:9" x14ac:dyDescent="0.25">
      <c r="A403" s="21" t="s">
        <v>1883</v>
      </c>
      <c r="B403">
        <v>85</v>
      </c>
      <c r="C403" s="21" t="s">
        <v>10</v>
      </c>
      <c r="D403" s="21" t="s">
        <v>35</v>
      </c>
      <c r="E403">
        <v>219</v>
      </c>
      <c r="F403">
        <v>23</v>
      </c>
      <c r="G403" s="21" t="s">
        <v>12</v>
      </c>
      <c r="H403" s="21" t="s">
        <v>136</v>
      </c>
      <c r="I403" s="21" t="s">
        <v>1844</v>
      </c>
    </row>
    <row r="404" spans="1:9" x14ac:dyDescent="0.25">
      <c r="A404" s="21" t="s">
        <v>1884</v>
      </c>
      <c r="B404">
        <v>92</v>
      </c>
      <c r="C404" s="21" t="s">
        <v>114</v>
      </c>
      <c r="D404" s="21" t="s">
        <v>44</v>
      </c>
      <c r="E404">
        <v>303</v>
      </c>
      <c r="F404">
        <v>27</v>
      </c>
      <c r="G404" s="21" t="s">
        <v>45</v>
      </c>
      <c r="H404" s="21" t="s">
        <v>106</v>
      </c>
      <c r="I404" s="21" t="s">
        <v>1844</v>
      </c>
    </row>
    <row r="405" spans="1:9" x14ac:dyDescent="0.25">
      <c r="A405" s="21" t="s">
        <v>1885</v>
      </c>
      <c r="B405">
        <v>23</v>
      </c>
      <c r="C405" s="21" t="s">
        <v>89</v>
      </c>
      <c r="D405" s="21" t="s">
        <v>11</v>
      </c>
      <c r="E405">
        <v>192</v>
      </c>
      <c r="F405">
        <v>21</v>
      </c>
      <c r="G405" s="21" t="s">
        <v>25</v>
      </c>
      <c r="H405" s="21" t="s">
        <v>98</v>
      </c>
      <c r="I405" s="21" t="s">
        <v>1844</v>
      </c>
    </row>
    <row r="406" spans="1:9" x14ac:dyDescent="0.25">
      <c r="A406" s="21" t="s">
        <v>1886</v>
      </c>
      <c r="B406">
        <v>63</v>
      </c>
      <c r="C406" s="21" t="s">
        <v>184</v>
      </c>
      <c r="D406" s="21" t="s">
        <v>44</v>
      </c>
      <c r="E406">
        <v>335</v>
      </c>
      <c r="F406">
        <v>22</v>
      </c>
      <c r="G406" s="21" t="s">
        <v>30</v>
      </c>
      <c r="H406" s="21" t="s">
        <v>196</v>
      </c>
      <c r="I406" s="21" t="s">
        <v>1844</v>
      </c>
    </row>
    <row r="407" spans="1:9" x14ac:dyDescent="0.25">
      <c r="A407" s="21" t="s">
        <v>1887</v>
      </c>
      <c r="B407">
        <v>21</v>
      </c>
      <c r="C407" s="21" t="s">
        <v>48</v>
      </c>
      <c r="D407" s="21" t="s">
        <v>135</v>
      </c>
      <c r="E407">
        <v>184</v>
      </c>
      <c r="F407">
        <v>28</v>
      </c>
      <c r="G407" s="21" t="s">
        <v>38</v>
      </c>
      <c r="H407" s="21" t="s">
        <v>516</v>
      </c>
      <c r="I407" s="21" t="s">
        <v>1844</v>
      </c>
    </row>
    <row r="408" spans="1:9" x14ac:dyDescent="0.25">
      <c r="A408" s="21" t="s">
        <v>1888</v>
      </c>
      <c r="B408">
        <v>36</v>
      </c>
      <c r="C408" s="21" t="s">
        <v>51</v>
      </c>
      <c r="D408" s="21" t="s">
        <v>125</v>
      </c>
      <c r="E408">
        <v>219</v>
      </c>
      <c r="F408">
        <v>24</v>
      </c>
      <c r="G408" s="21" t="s">
        <v>83</v>
      </c>
      <c r="H408" s="21" t="s">
        <v>196</v>
      </c>
      <c r="I408" s="21" t="s">
        <v>1844</v>
      </c>
    </row>
    <row r="409" spans="1:9" x14ac:dyDescent="0.25">
      <c r="A409" s="21" t="s">
        <v>1889</v>
      </c>
      <c r="B409">
        <v>37</v>
      </c>
      <c r="C409" s="21" t="s">
        <v>48</v>
      </c>
      <c r="D409" s="21" t="s">
        <v>54</v>
      </c>
      <c r="E409">
        <v>192</v>
      </c>
      <c r="F409">
        <v>21</v>
      </c>
      <c r="G409" s="21" t="s">
        <v>25</v>
      </c>
      <c r="H409" s="21" t="s">
        <v>1890</v>
      </c>
      <c r="I409" s="21" t="s">
        <v>1844</v>
      </c>
    </row>
    <row r="410" spans="1:9" x14ac:dyDescent="0.25">
      <c r="A410" s="21" t="s">
        <v>1891</v>
      </c>
      <c r="B410">
        <v>94</v>
      </c>
      <c r="C410" s="21" t="s">
        <v>319</v>
      </c>
      <c r="D410" s="21" t="s">
        <v>29</v>
      </c>
      <c r="E410">
        <v>265</v>
      </c>
      <c r="F410">
        <v>27</v>
      </c>
      <c r="G410" s="21" t="s">
        <v>45</v>
      </c>
      <c r="H410" s="21" t="s">
        <v>36</v>
      </c>
      <c r="I410" s="21" t="s">
        <v>1844</v>
      </c>
    </row>
    <row r="411" spans="1:9" x14ac:dyDescent="0.25">
      <c r="A411" s="21" t="s">
        <v>1892</v>
      </c>
      <c r="B411">
        <v>10</v>
      </c>
      <c r="C411" s="21" t="s">
        <v>193</v>
      </c>
      <c r="D411" s="21" t="s">
        <v>52</v>
      </c>
      <c r="E411">
        <v>210</v>
      </c>
      <c r="F411">
        <v>37</v>
      </c>
      <c r="G411" s="21" t="s">
        <v>1199</v>
      </c>
      <c r="H411" s="21" t="s">
        <v>304</v>
      </c>
      <c r="I411" s="21" t="s">
        <v>1844</v>
      </c>
    </row>
    <row r="412" spans="1:9" x14ac:dyDescent="0.25">
      <c r="A412" s="21" t="s">
        <v>1893</v>
      </c>
      <c r="B412">
        <v>56</v>
      </c>
      <c r="C412" s="21" t="s">
        <v>319</v>
      </c>
      <c r="D412" s="21" t="s">
        <v>44</v>
      </c>
      <c r="E412">
        <v>260</v>
      </c>
      <c r="F412">
        <v>24</v>
      </c>
      <c r="G412" s="21" t="s">
        <v>83</v>
      </c>
      <c r="H412" s="21" t="s">
        <v>189</v>
      </c>
      <c r="I412" s="21" t="s">
        <v>1844</v>
      </c>
    </row>
    <row r="413" spans="1:9" x14ac:dyDescent="0.25">
      <c r="A413" s="21" t="s">
        <v>1894</v>
      </c>
      <c r="B413">
        <v>88</v>
      </c>
      <c r="C413" s="21" t="s">
        <v>57</v>
      </c>
      <c r="D413" s="21" t="s">
        <v>35</v>
      </c>
      <c r="E413">
        <v>250</v>
      </c>
      <c r="F413">
        <v>28</v>
      </c>
      <c r="G413" s="21" t="s">
        <v>45</v>
      </c>
      <c r="H413" s="21" t="s">
        <v>115</v>
      </c>
      <c r="I413" s="21" t="s">
        <v>1844</v>
      </c>
    </row>
    <row r="414" spans="1:9" x14ac:dyDescent="0.25">
      <c r="A414" s="21" t="s">
        <v>1895</v>
      </c>
      <c r="B414">
        <v>16</v>
      </c>
      <c r="C414" s="21" t="s">
        <v>10</v>
      </c>
      <c r="D414" s="21" t="s">
        <v>24</v>
      </c>
      <c r="E414">
        <v>200</v>
      </c>
      <c r="F414">
        <v>26</v>
      </c>
      <c r="G414" s="21" t="s">
        <v>30</v>
      </c>
      <c r="H414" s="21" t="s">
        <v>165</v>
      </c>
      <c r="I414" s="21" t="s">
        <v>1844</v>
      </c>
    </row>
    <row r="415" spans="1:9" x14ac:dyDescent="0.25">
      <c r="A415" s="21" t="s">
        <v>1896</v>
      </c>
      <c r="B415">
        <v>44</v>
      </c>
      <c r="C415" s="21" t="s">
        <v>15</v>
      </c>
      <c r="D415" s="21" t="s">
        <v>52</v>
      </c>
      <c r="E415">
        <v>232</v>
      </c>
      <c r="F415">
        <v>25</v>
      </c>
      <c r="G415" s="21" t="s">
        <v>30</v>
      </c>
      <c r="H415" s="21" t="s">
        <v>87</v>
      </c>
      <c r="I415" s="21" t="s">
        <v>1844</v>
      </c>
    </row>
    <row r="416" spans="1:9" x14ac:dyDescent="0.25">
      <c r="A416" s="21" t="s">
        <v>1897</v>
      </c>
      <c r="B416">
        <v>47</v>
      </c>
      <c r="C416" s="21" t="s">
        <v>15</v>
      </c>
      <c r="D416" s="21" t="s">
        <v>44</v>
      </c>
      <c r="E416">
        <v>220</v>
      </c>
      <c r="F416">
        <v>24</v>
      </c>
      <c r="G416" s="21" t="s">
        <v>83</v>
      </c>
      <c r="H416" s="21" t="s">
        <v>481</v>
      </c>
      <c r="I416" s="21" t="s">
        <v>1844</v>
      </c>
    </row>
    <row r="417" spans="1:9" x14ac:dyDescent="0.25">
      <c r="A417" s="21" t="s">
        <v>1898</v>
      </c>
      <c r="B417">
        <v>27</v>
      </c>
      <c r="C417" s="21" t="s">
        <v>51</v>
      </c>
      <c r="D417" s="21" t="s">
        <v>11</v>
      </c>
      <c r="E417">
        <v>225</v>
      </c>
      <c r="F417">
        <v>21</v>
      </c>
      <c r="G417" s="21" t="s">
        <v>25</v>
      </c>
      <c r="H417" s="21" t="s">
        <v>471</v>
      </c>
      <c r="I417" s="21" t="s">
        <v>1844</v>
      </c>
    </row>
    <row r="418" spans="1:9" x14ac:dyDescent="0.25">
      <c r="A418" s="21" t="s">
        <v>1899</v>
      </c>
      <c r="B418">
        <v>90</v>
      </c>
      <c r="C418" s="21" t="s">
        <v>319</v>
      </c>
      <c r="D418" s="21" t="s">
        <v>35</v>
      </c>
      <c r="E418">
        <v>268</v>
      </c>
      <c r="F418">
        <v>24</v>
      </c>
      <c r="G418" s="21" t="s">
        <v>12</v>
      </c>
      <c r="H418" s="21" t="s">
        <v>31</v>
      </c>
      <c r="I418" s="21" t="s">
        <v>1844</v>
      </c>
    </row>
    <row r="419" spans="1:9" x14ac:dyDescent="0.25">
      <c r="A419" s="21" t="s">
        <v>1900</v>
      </c>
      <c r="B419">
        <v>64</v>
      </c>
      <c r="C419" s="21" t="s">
        <v>184</v>
      </c>
      <c r="D419" s="21" t="s">
        <v>35</v>
      </c>
      <c r="E419">
        <v>310</v>
      </c>
      <c r="F419">
        <v>29</v>
      </c>
      <c r="G419" s="21" t="s">
        <v>100</v>
      </c>
      <c r="H419" s="21" t="s">
        <v>176</v>
      </c>
      <c r="I419" s="21" t="s">
        <v>1844</v>
      </c>
    </row>
    <row r="420" spans="1:9" x14ac:dyDescent="0.25">
      <c r="A420" s="21" t="s">
        <v>1901</v>
      </c>
      <c r="B420">
        <v>18</v>
      </c>
      <c r="C420" s="21" t="s">
        <v>10</v>
      </c>
      <c r="D420" s="21" t="s">
        <v>54</v>
      </c>
      <c r="E420">
        <v>185</v>
      </c>
      <c r="F420">
        <v>24</v>
      </c>
      <c r="G420" s="21" t="s">
        <v>25</v>
      </c>
      <c r="H420" s="21" t="s">
        <v>1047</v>
      </c>
      <c r="I420" s="21" t="s">
        <v>1844</v>
      </c>
    </row>
    <row r="421" spans="1:9" x14ac:dyDescent="0.25">
      <c r="A421" s="21" t="s">
        <v>1902</v>
      </c>
      <c r="B421">
        <v>2</v>
      </c>
      <c r="C421" s="21" t="s">
        <v>76</v>
      </c>
      <c r="D421" s="21" t="s">
        <v>54</v>
      </c>
      <c r="E421">
        <v>185</v>
      </c>
      <c r="F421">
        <v>23</v>
      </c>
      <c r="G421" s="21" t="s">
        <v>30</v>
      </c>
      <c r="H421" s="21" t="s">
        <v>251</v>
      </c>
      <c r="I421" s="21" t="s">
        <v>1844</v>
      </c>
    </row>
    <row r="422" spans="1:9" x14ac:dyDescent="0.25">
      <c r="A422" s="21" t="s">
        <v>1903</v>
      </c>
      <c r="B422">
        <v>28</v>
      </c>
      <c r="C422" s="21" t="s">
        <v>51</v>
      </c>
      <c r="D422" s="21" t="s">
        <v>52</v>
      </c>
      <c r="E422">
        <v>220</v>
      </c>
      <c r="F422">
        <v>26</v>
      </c>
      <c r="G422" s="21" t="s">
        <v>38</v>
      </c>
      <c r="H422" s="21" t="s">
        <v>187</v>
      </c>
      <c r="I422" s="21" t="s">
        <v>1844</v>
      </c>
    </row>
    <row r="423" spans="1:9" x14ac:dyDescent="0.25">
      <c r="A423" s="21" t="s">
        <v>1904</v>
      </c>
      <c r="B423">
        <v>17</v>
      </c>
      <c r="C423" s="21" t="s">
        <v>10</v>
      </c>
      <c r="D423" s="21" t="s">
        <v>11</v>
      </c>
      <c r="E423">
        <v>205</v>
      </c>
      <c r="F423">
        <v>25</v>
      </c>
      <c r="G423" s="21" t="s">
        <v>16</v>
      </c>
      <c r="H423" s="21" t="s">
        <v>556</v>
      </c>
      <c r="I423" s="21" t="s">
        <v>1844</v>
      </c>
    </row>
    <row r="424" spans="1:9" x14ac:dyDescent="0.25">
      <c r="A424" s="21" t="s">
        <v>1905</v>
      </c>
      <c r="B424">
        <v>81</v>
      </c>
      <c r="C424" s="21" t="s">
        <v>57</v>
      </c>
      <c r="D424" s="21" t="s">
        <v>44</v>
      </c>
      <c r="E424">
        <v>240</v>
      </c>
      <c r="F424">
        <v>24</v>
      </c>
      <c r="G424" s="21" t="s">
        <v>30</v>
      </c>
      <c r="H424" s="21" t="s">
        <v>267</v>
      </c>
      <c r="I424" s="21" t="s">
        <v>1844</v>
      </c>
    </row>
    <row r="425" spans="1:9" x14ac:dyDescent="0.25">
      <c r="A425" s="21" t="s">
        <v>1906</v>
      </c>
      <c r="B425">
        <v>60</v>
      </c>
      <c r="C425" s="21" t="s">
        <v>277</v>
      </c>
      <c r="D425" s="21" t="s">
        <v>35</v>
      </c>
      <c r="E425">
        <v>310</v>
      </c>
      <c r="F425">
        <v>24</v>
      </c>
      <c r="G425" s="21" t="s">
        <v>25</v>
      </c>
      <c r="H425" s="21" t="s">
        <v>17</v>
      </c>
      <c r="I425" s="21" t="s">
        <v>1844</v>
      </c>
    </row>
    <row r="426" spans="1:9" x14ac:dyDescent="0.25">
      <c r="A426" s="21" t="s">
        <v>1907</v>
      </c>
      <c r="B426">
        <v>58</v>
      </c>
      <c r="C426" s="21" t="s">
        <v>319</v>
      </c>
      <c r="D426" s="21" t="s">
        <v>35</v>
      </c>
      <c r="E426">
        <v>263</v>
      </c>
      <c r="F426">
        <v>22</v>
      </c>
      <c r="G426" s="21" t="s">
        <v>30</v>
      </c>
      <c r="H426" s="21" t="s">
        <v>109</v>
      </c>
      <c r="I426" s="21" t="s">
        <v>1844</v>
      </c>
    </row>
    <row r="427" spans="1:9" x14ac:dyDescent="0.25">
      <c r="A427" s="21" t="s">
        <v>1908</v>
      </c>
      <c r="B427">
        <v>34</v>
      </c>
      <c r="C427" s="21" t="s">
        <v>51</v>
      </c>
      <c r="D427" s="21" t="s">
        <v>54</v>
      </c>
      <c r="E427">
        <v>235</v>
      </c>
      <c r="F427">
        <v>26</v>
      </c>
      <c r="G427" s="21" t="s">
        <v>38</v>
      </c>
      <c r="H427" s="21" t="s">
        <v>187</v>
      </c>
      <c r="I427" s="21" t="s">
        <v>1844</v>
      </c>
    </row>
    <row r="428" spans="1:9" x14ac:dyDescent="0.25">
      <c r="A428" s="21" t="s">
        <v>1909</v>
      </c>
      <c r="B428">
        <v>57</v>
      </c>
      <c r="C428" s="21" t="s">
        <v>15</v>
      </c>
      <c r="D428" s="21" t="s">
        <v>24</v>
      </c>
      <c r="E428">
        <v>250</v>
      </c>
      <c r="F428">
        <v>26</v>
      </c>
      <c r="G428" s="21" t="s">
        <v>16</v>
      </c>
      <c r="H428" s="21" t="s">
        <v>106</v>
      </c>
      <c r="I428" s="21" t="s">
        <v>1844</v>
      </c>
    </row>
    <row r="429" spans="1:9" x14ac:dyDescent="0.25">
      <c r="A429" s="21" t="s">
        <v>1910</v>
      </c>
      <c r="B429">
        <v>75</v>
      </c>
      <c r="C429" s="21" t="s">
        <v>140</v>
      </c>
      <c r="D429" s="21" t="s">
        <v>20</v>
      </c>
      <c r="E429">
        <v>300</v>
      </c>
      <c r="F429">
        <v>24</v>
      </c>
      <c r="G429" s="21" t="s">
        <v>12</v>
      </c>
      <c r="H429" s="21" t="s">
        <v>36</v>
      </c>
      <c r="I429" s="21" t="s">
        <v>1844</v>
      </c>
    </row>
    <row r="430" spans="1:9" x14ac:dyDescent="0.25">
      <c r="A430" s="21" t="s">
        <v>1911</v>
      </c>
      <c r="B430">
        <v>19</v>
      </c>
      <c r="C430" s="21" t="s">
        <v>10</v>
      </c>
      <c r="D430" s="21" t="s">
        <v>54</v>
      </c>
      <c r="E430">
        <v>187</v>
      </c>
      <c r="F430">
        <v>24</v>
      </c>
      <c r="G430" s="21" t="s">
        <v>25</v>
      </c>
      <c r="H430" s="21" t="s">
        <v>68</v>
      </c>
      <c r="I430" s="21" t="s">
        <v>1844</v>
      </c>
    </row>
    <row r="431" spans="1:9" x14ac:dyDescent="0.25">
      <c r="A431" s="21" t="s">
        <v>1912</v>
      </c>
      <c r="B431">
        <v>38</v>
      </c>
      <c r="C431" s="21" t="s">
        <v>48</v>
      </c>
      <c r="D431" s="21" t="s">
        <v>135</v>
      </c>
      <c r="E431">
        <v>183</v>
      </c>
      <c r="F431">
        <v>22</v>
      </c>
      <c r="G431" s="21" t="s">
        <v>25</v>
      </c>
      <c r="H431" s="21" t="s">
        <v>274</v>
      </c>
      <c r="I431" s="21" t="s">
        <v>1844</v>
      </c>
    </row>
    <row r="432" spans="1:9" x14ac:dyDescent="0.25">
      <c r="A432" s="21" t="s">
        <v>1913</v>
      </c>
      <c r="B432">
        <v>98</v>
      </c>
      <c r="C432" s="21" t="s">
        <v>114</v>
      </c>
      <c r="D432" s="21" t="s">
        <v>44</v>
      </c>
      <c r="E432">
        <v>335</v>
      </c>
      <c r="F432">
        <v>28</v>
      </c>
      <c r="G432" s="21" t="s">
        <v>100</v>
      </c>
      <c r="H432" s="21" t="s">
        <v>136</v>
      </c>
      <c r="I432" s="21" t="s">
        <v>1844</v>
      </c>
    </row>
    <row r="433" spans="1:9" x14ac:dyDescent="0.25">
      <c r="A433" s="21" t="s">
        <v>1914</v>
      </c>
      <c r="B433">
        <v>87</v>
      </c>
      <c r="C433" s="21" t="s">
        <v>57</v>
      </c>
      <c r="D433" s="21" t="s">
        <v>67</v>
      </c>
      <c r="E433">
        <v>260</v>
      </c>
      <c r="F433">
        <v>24</v>
      </c>
      <c r="G433" s="21" t="s">
        <v>25</v>
      </c>
      <c r="H433" s="21" t="s">
        <v>683</v>
      </c>
      <c r="I433" s="21" t="s">
        <v>1844</v>
      </c>
    </row>
    <row r="434" spans="1:9" x14ac:dyDescent="0.25">
      <c r="A434" s="21" t="s">
        <v>1915</v>
      </c>
      <c r="B434">
        <v>96</v>
      </c>
      <c r="C434" s="21" t="s">
        <v>319</v>
      </c>
      <c r="D434" s="21" t="s">
        <v>44</v>
      </c>
      <c r="E434">
        <v>272</v>
      </c>
      <c r="F434">
        <v>22</v>
      </c>
      <c r="G434" s="21" t="s">
        <v>30</v>
      </c>
      <c r="H434" s="21" t="s">
        <v>643</v>
      </c>
      <c r="I434" s="21" t="s">
        <v>1844</v>
      </c>
    </row>
    <row r="435" spans="1:9" x14ac:dyDescent="0.25">
      <c r="A435" s="21" t="s">
        <v>1916</v>
      </c>
      <c r="B435">
        <v>89</v>
      </c>
      <c r="C435" s="21" t="s">
        <v>57</v>
      </c>
      <c r="D435" s="21" t="s">
        <v>35</v>
      </c>
      <c r="E435">
        <v>255</v>
      </c>
      <c r="F435">
        <v>26</v>
      </c>
      <c r="G435" s="21" t="s">
        <v>16</v>
      </c>
      <c r="H435" s="21" t="s">
        <v>274</v>
      </c>
      <c r="I435" s="21" t="s">
        <v>1844</v>
      </c>
    </row>
    <row r="436" spans="1:9" x14ac:dyDescent="0.25">
      <c r="A436" s="21" t="s">
        <v>1917</v>
      </c>
      <c r="B436">
        <v>99</v>
      </c>
      <c r="C436" s="21" t="s">
        <v>114</v>
      </c>
      <c r="D436" s="21" t="s">
        <v>44</v>
      </c>
      <c r="E436">
        <v>346</v>
      </c>
      <c r="F436">
        <v>24</v>
      </c>
      <c r="G436" s="21" t="s">
        <v>30</v>
      </c>
      <c r="H436" s="21" t="s">
        <v>267</v>
      </c>
      <c r="I436" s="21" t="s">
        <v>1844</v>
      </c>
    </row>
    <row r="437" spans="1:9" x14ac:dyDescent="0.25">
      <c r="A437" s="21" t="s">
        <v>1918</v>
      </c>
      <c r="B437">
        <v>70</v>
      </c>
      <c r="C437" s="21" t="s">
        <v>277</v>
      </c>
      <c r="D437" s="21" t="s">
        <v>29</v>
      </c>
      <c r="E437">
        <v>309</v>
      </c>
      <c r="F437">
        <v>24</v>
      </c>
      <c r="G437" s="21" t="s">
        <v>30</v>
      </c>
      <c r="H437" s="21" t="s">
        <v>813</v>
      </c>
      <c r="I437" s="21" t="s">
        <v>1844</v>
      </c>
    </row>
    <row r="438" spans="1:9" x14ac:dyDescent="0.25">
      <c r="A438" s="21" t="s">
        <v>1919</v>
      </c>
      <c r="B438">
        <v>14</v>
      </c>
      <c r="C438" s="21" t="s">
        <v>10</v>
      </c>
      <c r="D438" s="21" t="s">
        <v>11</v>
      </c>
      <c r="E438">
        <v>192</v>
      </c>
      <c r="F438">
        <v>25</v>
      </c>
      <c r="G438" s="21" t="s">
        <v>25</v>
      </c>
      <c r="H438" s="21" t="s">
        <v>484</v>
      </c>
      <c r="I438" s="21" t="s">
        <v>1844</v>
      </c>
    </row>
    <row r="439" spans="1:9" x14ac:dyDescent="0.25">
      <c r="A439" s="21" t="s">
        <v>1920</v>
      </c>
      <c r="B439">
        <v>52</v>
      </c>
      <c r="C439" s="21" t="s">
        <v>319</v>
      </c>
      <c r="D439" s="21" t="s">
        <v>24</v>
      </c>
      <c r="E439">
        <v>263</v>
      </c>
      <c r="F439">
        <v>28</v>
      </c>
      <c r="G439" s="21" t="s">
        <v>45</v>
      </c>
      <c r="H439" s="21" t="s">
        <v>1808</v>
      </c>
      <c r="I439" s="21" t="s">
        <v>1844</v>
      </c>
    </row>
    <row r="440" spans="1:9" x14ac:dyDescent="0.25">
      <c r="A440" s="21" t="s">
        <v>1922</v>
      </c>
      <c r="B440">
        <v>29</v>
      </c>
      <c r="C440" s="21" t="s">
        <v>48</v>
      </c>
      <c r="D440" s="21" t="s">
        <v>11</v>
      </c>
      <c r="E440">
        <v>202</v>
      </c>
      <c r="F440">
        <v>22</v>
      </c>
      <c r="G440" s="21" t="s">
        <v>25</v>
      </c>
      <c r="H440" s="21" t="s">
        <v>556</v>
      </c>
      <c r="I440" s="21" t="s">
        <v>1844</v>
      </c>
    </row>
    <row r="441" spans="1:9" x14ac:dyDescent="0.25">
      <c r="A441" s="21" t="s">
        <v>1921</v>
      </c>
      <c r="B441">
        <v>11</v>
      </c>
      <c r="C441" s="21" t="s">
        <v>10</v>
      </c>
      <c r="D441" s="21" t="s">
        <v>86</v>
      </c>
      <c r="E441">
        <v>181</v>
      </c>
      <c r="F441">
        <v>28</v>
      </c>
      <c r="G441" s="21" t="s">
        <v>45</v>
      </c>
      <c r="H441" s="21" t="s">
        <v>572</v>
      </c>
      <c r="I441" s="21" t="s">
        <v>1844</v>
      </c>
    </row>
    <row r="442" spans="1:9" x14ac:dyDescent="0.25">
      <c r="A442" s="21" t="s">
        <v>1923</v>
      </c>
      <c r="B442">
        <v>31</v>
      </c>
      <c r="C442" s="21" t="s">
        <v>89</v>
      </c>
      <c r="D442" s="21" t="s">
        <v>54</v>
      </c>
      <c r="E442">
        <v>192</v>
      </c>
      <c r="F442">
        <v>32</v>
      </c>
      <c r="G442" s="21" t="s">
        <v>64</v>
      </c>
      <c r="H442" s="21" t="s">
        <v>165</v>
      </c>
      <c r="I442" s="21" t="s">
        <v>1844</v>
      </c>
    </row>
    <row r="443" spans="1:9" x14ac:dyDescent="0.25">
      <c r="A443" s="21" t="s">
        <v>1924</v>
      </c>
      <c r="B443">
        <v>80</v>
      </c>
      <c r="C443" s="21" t="s">
        <v>10</v>
      </c>
      <c r="D443" s="21" t="s">
        <v>52</v>
      </c>
      <c r="E443">
        <v>197</v>
      </c>
      <c r="F443">
        <v>27</v>
      </c>
      <c r="G443" s="21" t="s">
        <v>100</v>
      </c>
      <c r="H443" s="21" t="s">
        <v>149</v>
      </c>
      <c r="I443" s="21" t="s">
        <v>1844</v>
      </c>
    </row>
    <row r="444" spans="1:9" x14ac:dyDescent="0.25">
      <c r="A444" s="21" t="s">
        <v>1925</v>
      </c>
      <c r="B444">
        <v>97</v>
      </c>
      <c r="C444" s="21" t="s">
        <v>114</v>
      </c>
      <c r="D444" s="21" t="s">
        <v>29</v>
      </c>
      <c r="E444">
        <v>285</v>
      </c>
      <c r="F444">
        <v>24</v>
      </c>
      <c r="G444" s="21" t="s">
        <v>25</v>
      </c>
      <c r="H444" s="21" t="s">
        <v>516</v>
      </c>
      <c r="I444" s="21" t="s">
        <v>1844</v>
      </c>
    </row>
    <row r="445" spans="1:9" x14ac:dyDescent="0.25">
      <c r="A445" s="21" t="s">
        <v>1926</v>
      </c>
      <c r="B445">
        <v>68</v>
      </c>
      <c r="C445" s="21" t="s">
        <v>114</v>
      </c>
      <c r="D445" s="21" t="s">
        <v>44</v>
      </c>
      <c r="E445">
        <v>340</v>
      </c>
      <c r="F445">
        <v>28</v>
      </c>
      <c r="G445" s="21" t="s">
        <v>45</v>
      </c>
      <c r="H445" s="21" t="s">
        <v>272</v>
      </c>
      <c r="I445" s="21" t="s">
        <v>1844</v>
      </c>
    </row>
    <row r="446" spans="1:9" x14ac:dyDescent="0.25">
      <c r="A446" s="21" t="s">
        <v>1927</v>
      </c>
      <c r="B446">
        <v>67</v>
      </c>
      <c r="C446" s="21" t="s">
        <v>28</v>
      </c>
      <c r="D446" s="21" t="s">
        <v>20</v>
      </c>
      <c r="E446">
        <v>313</v>
      </c>
      <c r="F446">
        <v>24</v>
      </c>
      <c r="G446" s="21" t="s">
        <v>25</v>
      </c>
      <c r="H446" s="21" t="s">
        <v>122</v>
      </c>
      <c r="I446" s="21" t="s">
        <v>1844</v>
      </c>
    </row>
    <row r="447" spans="1:9" x14ac:dyDescent="0.25">
      <c r="A447" s="21" t="s">
        <v>1928</v>
      </c>
      <c r="B447">
        <v>82</v>
      </c>
      <c r="C447" s="21" t="s">
        <v>57</v>
      </c>
      <c r="D447" s="21" t="s">
        <v>29</v>
      </c>
      <c r="E447">
        <v>247</v>
      </c>
      <c r="F447">
        <v>25</v>
      </c>
      <c r="G447" s="21" t="s">
        <v>83</v>
      </c>
      <c r="H447" s="21" t="s">
        <v>282</v>
      </c>
      <c r="I447" s="21" t="s">
        <v>1844</v>
      </c>
    </row>
    <row r="448" spans="1:9" x14ac:dyDescent="0.25">
      <c r="A448" s="21" t="s">
        <v>1929</v>
      </c>
      <c r="B448">
        <v>53</v>
      </c>
      <c r="C448" s="21" t="s">
        <v>15</v>
      </c>
      <c r="D448" s="21" t="s">
        <v>44</v>
      </c>
      <c r="E448">
        <v>245</v>
      </c>
      <c r="F448">
        <v>23</v>
      </c>
      <c r="G448" s="21" t="s">
        <v>25</v>
      </c>
      <c r="H448" s="21" t="s">
        <v>272</v>
      </c>
      <c r="I448" s="21" t="s">
        <v>1844</v>
      </c>
    </row>
    <row r="449" spans="1:9" x14ac:dyDescent="0.25">
      <c r="A449" s="21" t="s">
        <v>1930</v>
      </c>
      <c r="B449">
        <v>84</v>
      </c>
      <c r="C449" s="21" t="s">
        <v>57</v>
      </c>
      <c r="D449" s="21" t="s">
        <v>35</v>
      </c>
      <c r="E449">
        <v>250</v>
      </c>
      <c r="F449">
        <v>25</v>
      </c>
      <c r="G449" s="21" t="s">
        <v>30</v>
      </c>
      <c r="H449" s="21" t="s">
        <v>522</v>
      </c>
      <c r="I449" s="21" t="s">
        <v>1844</v>
      </c>
    </row>
    <row r="450" spans="1:9" x14ac:dyDescent="0.25">
      <c r="A450" s="21" t="s">
        <v>1931</v>
      </c>
      <c r="B450">
        <v>12</v>
      </c>
      <c r="C450" s="21" t="s">
        <v>10</v>
      </c>
      <c r="D450" s="21" t="s">
        <v>135</v>
      </c>
      <c r="E450">
        <v>177</v>
      </c>
      <c r="F450">
        <v>23</v>
      </c>
      <c r="G450" s="21" t="s">
        <v>83</v>
      </c>
      <c r="H450" s="21" t="s">
        <v>1047</v>
      </c>
      <c r="I450" s="21" t="s">
        <v>1844</v>
      </c>
    </row>
    <row r="451" spans="1:9" x14ac:dyDescent="0.25">
      <c r="A451" s="21" t="s">
        <v>1932</v>
      </c>
      <c r="B451">
        <v>73</v>
      </c>
      <c r="C451" s="21" t="s">
        <v>140</v>
      </c>
      <c r="D451" s="21" t="s">
        <v>35</v>
      </c>
      <c r="E451">
        <v>312</v>
      </c>
      <c r="F451">
        <v>24</v>
      </c>
      <c r="G451" s="21" t="s">
        <v>16</v>
      </c>
      <c r="H451" s="21" t="s">
        <v>233</v>
      </c>
      <c r="I451" s="21" t="s">
        <v>1844</v>
      </c>
    </row>
    <row r="452" spans="1:9" x14ac:dyDescent="0.25">
      <c r="A452" s="21" t="s">
        <v>1933</v>
      </c>
      <c r="B452">
        <v>32</v>
      </c>
      <c r="C452" s="21" t="s">
        <v>51</v>
      </c>
      <c r="D452" s="21" t="s">
        <v>86</v>
      </c>
      <c r="E452">
        <v>206</v>
      </c>
      <c r="F452">
        <v>24</v>
      </c>
      <c r="G452" s="21" t="s">
        <v>16</v>
      </c>
      <c r="H452" s="21" t="s">
        <v>152</v>
      </c>
      <c r="I452" s="21" t="s">
        <v>1844</v>
      </c>
    </row>
    <row r="453" spans="1:9" x14ac:dyDescent="0.25">
      <c r="A453" s="21" t="s">
        <v>1934</v>
      </c>
      <c r="B453">
        <v>40</v>
      </c>
      <c r="C453" s="21" t="s">
        <v>89</v>
      </c>
      <c r="D453" s="21" t="s">
        <v>125</v>
      </c>
      <c r="E453">
        <v>200</v>
      </c>
      <c r="F453">
        <v>28</v>
      </c>
      <c r="G453" s="21" t="s">
        <v>38</v>
      </c>
      <c r="H453" s="21" t="s">
        <v>320</v>
      </c>
      <c r="I453" s="21" t="s">
        <v>1844</v>
      </c>
    </row>
    <row r="454" spans="1:9" x14ac:dyDescent="0.25">
      <c r="A454" s="21" t="s">
        <v>1935</v>
      </c>
      <c r="B454">
        <v>55</v>
      </c>
      <c r="C454" s="21" t="s">
        <v>15</v>
      </c>
      <c r="D454" s="21" t="s">
        <v>24</v>
      </c>
      <c r="E454">
        <v>245</v>
      </c>
      <c r="F454">
        <v>26</v>
      </c>
      <c r="G454" s="21" t="s">
        <v>12</v>
      </c>
      <c r="H454" s="21" t="s">
        <v>456</v>
      </c>
      <c r="I454" s="21" t="s">
        <v>1844</v>
      </c>
    </row>
    <row r="455" spans="1:9" x14ac:dyDescent="0.25">
      <c r="A455" s="21" t="s">
        <v>2408</v>
      </c>
      <c r="B455">
        <v>46</v>
      </c>
      <c r="C455" s="21" t="s">
        <v>213</v>
      </c>
      <c r="D455" s="21" t="s">
        <v>35</v>
      </c>
      <c r="E455">
        <v>251</v>
      </c>
      <c r="F455">
        <v>25</v>
      </c>
      <c r="G455" s="21" t="s">
        <v>25</v>
      </c>
      <c r="H455" s="21" t="s">
        <v>267</v>
      </c>
      <c r="I455" s="21" t="s">
        <v>2407</v>
      </c>
    </row>
    <row r="456" spans="1:9" x14ac:dyDescent="0.25">
      <c r="A456" s="21" t="s">
        <v>2409</v>
      </c>
      <c r="B456">
        <v>38</v>
      </c>
      <c r="C456" s="21" t="s">
        <v>51</v>
      </c>
      <c r="D456" s="21" t="s">
        <v>135</v>
      </c>
      <c r="E456">
        <v>195</v>
      </c>
      <c r="F456">
        <v>33</v>
      </c>
      <c r="G456" s="21" t="s">
        <v>21</v>
      </c>
      <c r="H456" s="21" t="s">
        <v>22</v>
      </c>
      <c r="I456" s="21" t="s">
        <v>2407</v>
      </c>
    </row>
    <row r="457" spans="1:9" x14ac:dyDescent="0.25">
      <c r="A457" s="21" t="s">
        <v>2410</v>
      </c>
      <c r="B457">
        <v>58</v>
      </c>
      <c r="C457" s="21" t="s">
        <v>213</v>
      </c>
      <c r="D457" s="21" t="s">
        <v>24</v>
      </c>
      <c r="E457">
        <v>250</v>
      </c>
      <c r="F457">
        <v>29</v>
      </c>
      <c r="G457" s="21" t="s">
        <v>64</v>
      </c>
      <c r="H457" s="21" t="s">
        <v>389</v>
      </c>
      <c r="I457" s="21" t="s">
        <v>2407</v>
      </c>
    </row>
    <row r="458" spans="1:9" x14ac:dyDescent="0.25">
      <c r="A458" s="21" t="s">
        <v>2411</v>
      </c>
      <c r="B458">
        <v>89</v>
      </c>
      <c r="C458" s="21" t="s">
        <v>57</v>
      </c>
      <c r="D458" s="21" t="s">
        <v>29</v>
      </c>
      <c r="E458">
        <v>255</v>
      </c>
      <c r="F458">
        <v>23</v>
      </c>
      <c r="G458" s="21" t="s">
        <v>25</v>
      </c>
      <c r="H458" s="21" t="s">
        <v>2412</v>
      </c>
      <c r="I458" s="21" t="s">
        <v>2407</v>
      </c>
    </row>
    <row r="459" spans="1:9" x14ac:dyDescent="0.25">
      <c r="A459" s="21" t="s">
        <v>2413</v>
      </c>
      <c r="B459">
        <v>25</v>
      </c>
      <c r="C459" s="21" t="s">
        <v>51</v>
      </c>
      <c r="D459" s="21" t="s">
        <v>135</v>
      </c>
      <c r="E459">
        <v>205</v>
      </c>
      <c r="F459">
        <v>30</v>
      </c>
      <c r="G459" s="21" t="s">
        <v>111</v>
      </c>
      <c r="H459" s="21" t="s">
        <v>73</v>
      </c>
      <c r="I459" s="21" t="s">
        <v>2407</v>
      </c>
    </row>
    <row r="460" spans="1:9" x14ac:dyDescent="0.25">
      <c r="A460" s="21" t="s">
        <v>2414</v>
      </c>
      <c r="B460">
        <v>62</v>
      </c>
      <c r="C460" s="21" t="s">
        <v>277</v>
      </c>
      <c r="D460" s="21" t="s">
        <v>29</v>
      </c>
      <c r="E460">
        <v>308</v>
      </c>
      <c r="F460">
        <v>24</v>
      </c>
      <c r="G460" s="21" t="s">
        <v>25</v>
      </c>
      <c r="H460" s="21" t="s">
        <v>261</v>
      </c>
      <c r="I460" s="21" t="s">
        <v>2407</v>
      </c>
    </row>
    <row r="461" spans="1:9" x14ac:dyDescent="0.25">
      <c r="A461" s="21" t="s">
        <v>2415</v>
      </c>
      <c r="B461">
        <v>19</v>
      </c>
      <c r="C461" s="21" t="s">
        <v>76</v>
      </c>
      <c r="D461" s="21" t="s">
        <v>125</v>
      </c>
      <c r="E461">
        <v>206</v>
      </c>
      <c r="F461">
        <v>24</v>
      </c>
      <c r="G461" s="21" t="s">
        <v>83</v>
      </c>
      <c r="H461" s="21" t="s">
        <v>385</v>
      </c>
      <c r="I461" s="21" t="s">
        <v>2407</v>
      </c>
    </row>
    <row r="462" spans="1:9" x14ac:dyDescent="0.25">
      <c r="A462" s="21" t="s">
        <v>2416</v>
      </c>
      <c r="B462">
        <v>12</v>
      </c>
      <c r="C462" s="21" t="s">
        <v>70</v>
      </c>
      <c r="D462" s="21" t="s">
        <v>35</v>
      </c>
      <c r="E462">
        <v>225</v>
      </c>
      <c r="F462">
        <v>44</v>
      </c>
      <c r="G462" s="21" t="s">
        <v>2417</v>
      </c>
      <c r="H462" s="21" t="s">
        <v>98</v>
      </c>
      <c r="I462" s="21" t="s">
        <v>2407</v>
      </c>
    </row>
    <row r="463" spans="1:9" x14ac:dyDescent="0.25">
      <c r="A463" s="21" t="s">
        <v>2418</v>
      </c>
      <c r="B463">
        <v>84</v>
      </c>
      <c r="C463" s="21" t="s">
        <v>57</v>
      </c>
      <c r="D463" s="21" t="s">
        <v>29</v>
      </c>
      <c r="E463">
        <v>245</v>
      </c>
      <c r="F463">
        <v>31</v>
      </c>
      <c r="G463" s="21" t="s">
        <v>21</v>
      </c>
      <c r="H463" s="21" t="s">
        <v>112</v>
      </c>
      <c r="I463" s="21" t="s">
        <v>2407</v>
      </c>
    </row>
    <row r="464" spans="1:9" x14ac:dyDescent="0.25">
      <c r="A464" s="21" t="s">
        <v>2419</v>
      </c>
      <c r="B464">
        <v>52</v>
      </c>
      <c r="C464" s="21" t="s">
        <v>230</v>
      </c>
      <c r="D464" s="21" t="s">
        <v>11</v>
      </c>
      <c r="E464">
        <v>235</v>
      </c>
      <c r="F464">
        <v>23</v>
      </c>
      <c r="G464" s="21" t="s">
        <v>30</v>
      </c>
      <c r="H464" s="21" t="s">
        <v>65</v>
      </c>
      <c r="I464" s="21" t="s">
        <v>2407</v>
      </c>
    </row>
    <row r="465" spans="1:9" x14ac:dyDescent="0.25">
      <c r="A465" s="21" t="s">
        <v>2420</v>
      </c>
      <c r="B465">
        <v>6</v>
      </c>
      <c r="C465" s="21" t="s">
        <v>10</v>
      </c>
      <c r="D465" s="21" t="s">
        <v>44</v>
      </c>
      <c r="E465">
        <v>210</v>
      </c>
      <c r="F465">
        <v>25</v>
      </c>
      <c r="G465" s="21" t="s">
        <v>25</v>
      </c>
      <c r="H465" s="21" t="s">
        <v>471</v>
      </c>
      <c r="I465" s="21" t="s">
        <v>2407</v>
      </c>
    </row>
    <row r="466" spans="1:9" x14ac:dyDescent="0.25">
      <c r="A466" s="21" t="s">
        <v>2421</v>
      </c>
      <c r="B466">
        <v>5</v>
      </c>
      <c r="C466" s="21" t="s">
        <v>193</v>
      </c>
      <c r="D466" s="21" t="s">
        <v>52</v>
      </c>
      <c r="E466">
        <v>193</v>
      </c>
      <c r="F466">
        <v>23</v>
      </c>
      <c r="G466" s="21" t="s">
        <v>25</v>
      </c>
      <c r="H466" s="21" t="s">
        <v>196</v>
      </c>
      <c r="I466" s="21" t="s">
        <v>2407</v>
      </c>
    </row>
    <row r="467" spans="1:9" x14ac:dyDescent="0.25">
      <c r="A467" s="21" t="s">
        <v>2422</v>
      </c>
      <c r="B467">
        <v>43</v>
      </c>
      <c r="C467" s="21" t="s">
        <v>48</v>
      </c>
      <c r="D467" s="21" t="s">
        <v>11</v>
      </c>
      <c r="E467">
        <v>191</v>
      </c>
      <c r="F467">
        <v>30</v>
      </c>
      <c r="G467" s="21" t="s">
        <v>64</v>
      </c>
      <c r="H467" s="21" t="s">
        <v>347</v>
      </c>
      <c r="I467" s="21" t="s">
        <v>2407</v>
      </c>
    </row>
    <row r="468" spans="1:9" x14ac:dyDescent="0.25">
      <c r="A468" s="21" t="s">
        <v>2423</v>
      </c>
      <c r="B468">
        <v>65</v>
      </c>
      <c r="C468" s="21" t="s">
        <v>140</v>
      </c>
      <c r="D468" s="21" t="s">
        <v>67</v>
      </c>
      <c r="E468">
        <v>305</v>
      </c>
      <c r="F468">
        <v>24</v>
      </c>
      <c r="G468" s="21" t="s">
        <v>25</v>
      </c>
      <c r="H468" s="21" t="s">
        <v>2424</v>
      </c>
      <c r="I468" s="21" t="s">
        <v>2407</v>
      </c>
    </row>
    <row r="469" spans="1:9" x14ac:dyDescent="0.25">
      <c r="A469" s="21" t="s">
        <v>2425</v>
      </c>
      <c r="B469">
        <v>39</v>
      </c>
      <c r="C469" s="21" t="s">
        <v>89</v>
      </c>
      <c r="D469" s="21" t="s">
        <v>125</v>
      </c>
      <c r="E469">
        <v>202</v>
      </c>
      <c r="F469">
        <v>28</v>
      </c>
      <c r="G469" s="21" t="s">
        <v>83</v>
      </c>
      <c r="H469" s="21" t="s">
        <v>651</v>
      </c>
      <c r="I469" s="21" t="s">
        <v>2407</v>
      </c>
    </row>
    <row r="470" spans="1:9" x14ac:dyDescent="0.25">
      <c r="A470" s="21" t="s">
        <v>2426</v>
      </c>
      <c r="B470">
        <v>1</v>
      </c>
      <c r="C470" s="21" t="s">
        <v>10</v>
      </c>
      <c r="D470" s="21" t="s">
        <v>86</v>
      </c>
      <c r="E470">
        <v>174</v>
      </c>
      <c r="F470">
        <v>23</v>
      </c>
      <c r="G470" s="21" t="s">
        <v>30</v>
      </c>
      <c r="H470" s="21" t="s">
        <v>191</v>
      </c>
      <c r="I470" s="21" t="s">
        <v>2407</v>
      </c>
    </row>
    <row r="471" spans="1:9" x14ac:dyDescent="0.25">
      <c r="A471" s="21" t="s">
        <v>2427</v>
      </c>
      <c r="B471">
        <v>54</v>
      </c>
      <c r="C471" s="21" t="s">
        <v>230</v>
      </c>
      <c r="D471" s="21" t="s">
        <v>52</v>
      </c>
      <c r="E471">
        <v>233</v>
      </c>
      <c r="F471">
        <v>32</v>
      </c>
      <c r="G471" s="21" t="s">
        <v>254</v>
      </c>
      <c r="H471" s="21" t="s">
        <v>556</v>
      </c>
      <c r="I471" s="21" t="s">
        <v>2407</v>
      </c>
    </row>
    <row r="472" spans="1:9" x14ac:dyDescent="0.25">
      <c r="A472" s="21" t="s">
        <v>2428</v>
      </c>
      <c r="B472">
        <v>24</v>
      </c>
      <c r="C472" s="21" t="s">
        <v>48</v>
      </c>
      <c r="D472" s="21" t="s">
        <v>52</v>
      </c>
      <c r="E472">
        <v>206</v>
      </c>
      <c r="F472">
        <v>25</v>
      </c>
      <c r="G472" s="21" t="s">
        <v>45</v>
      </c>
      <c r="H472" s="21" t="s">
        <v>65</v>
      </c>
      <c r="I472" s="21" t="s">
        <v>2407</v>
      </c>
    </row>
    <row r="473" spans="1:9" x14ac:dyDescent="0.25">
      <c r="A473" s="21" t="s">
        <v>2429</v>
      </c>
      <c r="B473">
        <v>35</v>
      </c>
      <c r="C473" s="21" t="s">
        <v>48</v>
      </c>
      <c r="D473" s="21" t="s">
        <v>52</v>
      </c>
      <c r="E473">
        <v>206</v>
      </c>
      <c r="F473">
        <v>25</v>
      </c>
      <c r="G473" s="21" t="s">
        <v>16</v>
      </c>
      <c r="H473" s="21" t="s">
        <v>65</v>
      </c>
      <c r="I473" s="21" t="s">
        <v>2407</v>
      </c>
    </row>
    <row r="474" spans="1:9" x14ac:dyDescent="0.25">
      <c r="A474" s="21" t="s">
        <v>2430</v>
      </c>
      <c r="B474">
        <v>30</v>
      </c>
      <c r="C474" s="21" t="s">
        <v>48</v>
      </c>
      <c r="D474" s="21" t="s">
        <v>54</v>
      </c>
      <c r="E474">
        <v>200</v>
      </c>
      <c r="F474">
        <v>27</v>
      </c>
      <c r="G474" s="21" t="s">
        <v>30</v>
      </c>
      <c r="H474" s="21" t="s">
        <v>385</v>
      </c>
      <c r="I474" s="21" t="s">
        <v>2407</v>
      </c>
    </row>
    <row r="475" spans="1:9" x14ac:dyDescent="0.25">
      <c r="A475" s="21" t="s">
        <v>2431</v>
      </c>
      <c r="B475">
        <v>32</v>
      </c>
      <c r="C475" s="21" t="s">
        <v>89</v>
      </c>
      <c r="D475" s="21" t="s">
        <v>125</v>
      </c>
      <c r="E475">
        <v>205</v>
      </c>
      <c r="F475">
        <v>26</v>
      </c>
      <c r="G475" s="21" t="s">
        <v>16</v>
      </c>
      <c r="H475" s="21" t="s">
        <v>683</v>
      </c>
      <c r="I475" s="21" t="s">
        <v>2407</v>
      </c>
    </row>
    <row r="476" spans="1:9" x14ac:dyDescent="0.25">
      <c r="A476" s="21" t="s">
        <v>2432</v>
      </c>
      <c r="B476">
        <v>13</v>
      </c>
      <c r="C476" s="21" t="s">
        <v>10</v>
      </c>
      <c r="D476" s="21" t="s">
        <v>29</v>
      </c>
      <c r="E476">
        <v>231</v>
      </c>
      <c r="F476">
        <v>28</v>
      </c>
      <c r="G476" s="21" t="s">
        <v>64</v>
      </c>
      <c r="H476" s="21" t="s">
        <v>152</v>
      </c>
      <c r="I476" s="21" t="s">
        <v>2407</v>
      </c>
    </row>
    <row r="477" spans="1:9" x14ac:dyDescent="0.25">
      <c r="A477" s="21" t="s">
        <v>2433</v>
      </c>
      <c r="B477">
        <v>53</v>
      </c>
      <c r="C477" s="21" t="s">
        <v>230</v>
      </c>
      <c r="D477" s="21" t="s">
        <v>24</v>
      </c>
      <c r="E477">
        <v>240</v>
      </c>
      <c r="F477">
        <v>23</v>
      </c>
      <c r="G477" s="21" t="s">
        <v>25</v>
      </c>
      <c r="H477" s="21" t="s">
        <v>120</v>
      </c>
      <c r="I477" s="21" t="s">
        <v>2407</v>
      </c>
    </row>
    <row r="478" spans="1:9" x14ac:dyDescent="0.25">
      <c r="A478" s="21" t="s">
        <v>2434</v>
      </c>
      <c r="B478">
        <v>7</v>
      </c>
      <c r="C478" s="21" t="s">
        <v>51</v>
      </c>
      <c r="D478" s="21" t="s">
        <v>11</v>
      </c>
      <c r="E478">
        <v>228</v>
      </c>
      <c r="F478">
        <v>27</v>
      </c>
      <c r="G478" s="21" t="s">
        <v>38</v>
      </c>
      <c r="H478" s="21" t="s">
        <v>267</v>
      </c>
      <c r="I478" s="21" t="s">
        <v>2407</v>
      </c>
    </row>
    <row r="479" spans="1:9" x14ac:dyDescent="0.25">
      <c r="A479" s="21" t="s">
        <v>2435</v>
      </c>
      <c r="B479">
        <v>11</v>
      </c>
      <c r="C479" s="21" t="s">
        <v>70</v>
      </c>
      <c r="D479" s="21" t="s">
        <v>29</v>
      </c>
      <c r="E479">
        <v>235</v>
      </c>
      <c r="F479">
        <v>32</v>
      </c>
      <c r="G479" s="21" t="s">
        <v>186</v>
      </c>
      <c r="H479" s="21" t="s">
        <v>335</v>
      </c>
      <c r="I479" s="21" t="s">
        <v>2407</v>
      </c>
    </row>
    <row r="480" spans="1:9" x14ac:dyDescent="0.25">
      <c r="A480" s="21" t="s">
        <v>2436</v>
      </c>
      <c r="B480">
        <v>17</v>
      </c>
      <c r="C480" s="21" t="s">
        <v>10</v>
      </c>
      <c r="D480" s="21" t="s">
        <v>11</v>
      </c>
      <c r="E480">
        <v>184</v>
      </c>
      <c r="F480">
        <v>26</v>
      </c>
      <c r="G480" s="21" t="s">
        <v>45</v>
      </c>
      <c r="H480" s="21" t="s">
        <v>267</v>
      </c>
      <c r="I480" s="21" t="s">
        <v>2407</v>
      </c>
    </row>
    <row r="481" spans="1:9" x14ac:dyDescent="0.25">
      <c r="A481" s="21" t="s">
        <v>2437</v>
      </c>
      <c r="B481">
        <v>36</v>
      </c>
      <c r="C481" s="21" t="s">
        <v>48</v>
      </c>
      <c r="D481" s="21" t="s">
        <v>52</v>
      </c>
      <c r="E481">
        <v>180</v>
      </c>
      <c r="F481">
        <v>24</v>
      </c>
      <c r="G481" s="21" t="s">
        <v>25</v>
      </c>
      <c r="H481" s="21" t="s">
        <v>694</v>
      </c>
      <c r="I481" s="21" t="s">
        <v>2407</v>
      </c>
    </row>
    <row r="482" spans="1:9" x14ac:dyDescent="0.25">
      <c r="A482" s="21" t="s">
        <v>2438</v>
      </c>
      <c r="B482">
        <v>80</v>
      </c>
      <c r="C482" s="21" t="s">
        <v>10</v>
      </c>
      <c r="D482" s="21" t="s">
        <v>125</v>
      </c>
      <c r="E482">
        <v>180</v>
      </c>
      <c r="F482">
        <v>24</v>
      </c>
      <c r="G482" s="21" t="s">
        <v>25</v>
      </c>
      <c r="H482" s="21" t="s">
        <v>101</v>
      </c>
      <c r="I482" s="21" t="s">
        <v>2407</v>
      </c>
    </row>
    <row r="483" spans="1:9" x14ac:dyDescent="0.25">
      <c r="A483" s="21" t="s">
        <v>2439</v>
      </c>
      <c r="B483">
        <v>92</v>
      </c>
      <c r="C483" s="21" t="s">
        <v>19</v>
      </c>
      <c r="D483" s="21" t="s">
        <v>67</v>
      </c>
      <c r="E483">
        <v>281</v>
      </c>
      <c r="F483">
        <v>30</v>
      </c>
      <c r="G483" s="21" t="s">
        <v>111</v>
      </c>
      <c r="H483" s="21" t="s">
        <v>55</v>
      </c>
      <c r="I483" s="21" t="s">
        <v>2407</v>
      </c>
    </row>
    <row r="484" spans="1:9" x14ac:dyDescent="0.25">
      <c r="A484" s="21" t="s">
        <v>2440</v>
      </c>
      <c r="B484">
        <v>49</v>
      </c>
      <c r="C484" s="21" t="s">
        <v>213</v>
      </c>
      <c r="D484" s="21" t="s">
        <v>44</v>
      </c>
      <c r="E484">
        <v>240</v>
      </c>
      <c r="F484">
        <v>24</v>
      </c>
      <c r="G484" s="21" t="s">
        <v>12</v>
      </c>
      <c r="H484" s="21" t="s">
        <v>1329</v>
      </c>
      <c r="I484" s="21" t="s">
        <v>2407</v>
      </c>
    </row>
    <row r="485" spans="1:9" x14ac:dyDescent="0.25">
      <c r="A485" s="21" t="s">
        <v>2441</v>
      </c>
      <c r="B485">
        <v>14</v>
      </c>
      <c r="C485" s="21" t="s">
        <v>10</v>
      </c>
      <c r="D485" s="21" t="s">
        <v>52</v>
      </c>
      <c r="E485">
        <v>208</v>
      </c>
      <c r="F485">
        <v>26</v>
      </c>
      <c r="G485" s="21" t="s">
        <v>38</v>
      </c>
      <c r="H485" s="21" t="s">
        <v>3251</v>
      </c>
      <c r="I485" s="21" t="s">
        <v>2407</v>
      </c>
    </row>
    <row r="486" spans="1:9" x14ac:dyDescent="0.25">
      <c r="A486" s="21" t="s">
        <v>2442</v>
      </c>
      <c r="B486">
        <v>67</v>
      </c>
      <c r="C486" s="21" t="s">
        <v>277</v>
      </c>
      <c r="D486" s="21" t="s">
        <v>29</v>
      </c>
      <c r="E486">
        <v>312</v>
      </c>
      <c r="F486">
        <v>23</v>
      </c>
      <c r="G486" s="21" t="s">
        <v>25</v>
      </c>
      <c r="H486" s="21" t="s">
        <v>442</v>
      </c>
      <c r="I486" s="21" t="s">
        <v>2407</v>
      </c>
    </row>
    <row r="487" spans="1:9" x14ac:dyDescent="0.25">
      <c r="A487" s="21" t="s">
        <v>2443</v>
      </c>
      <c r="B487">
        <v>15</v>
      </c>
      <c r="C487" s="21" t="s">
        <v>10</v>
      </c>
      <c r="D487" s="21" t="s">
        <v>135</v>
      </c>
      <c r="E487">
        <v>183</v>
      </c>
      <c r="F487">
        <v>28</v>
      </c>
      <c r="G487" s="21" t="s">
        <v>30</v>
      </c>
      <c r="H487" s="21" t="s">
        <v>267</v>
      </c>
      <c r="I487" s="21" t="s">
        <v>2407</v>
      </c>
    </row>
    <row r="488" spans="1:9" x14ac:dyDescent="0.25">
      <c r="A488" s="21" t="s">
        <v>2444</v>
      </c>
      <c r="B488">
        <v>71</v>
      </c>
      <c r="C488" s="21" t="s">
        <v>19</v>
      </c>
      <c r="D488" s="21" t="s">
        <v>44</v>
      </c>
      <c r="E488">
        <v>293</v>
      </c>
      <c r="F488">
        <v>23</v>
      </c>
      <c r="G488" s="21" t="s">
        <v>25</v>
      </c>
      <c r="H488" s="21" t="s">
        <v>288</v>
      </c>
      <c r="I488" s="21" t="s">
        <v>2407</v>
      </c>
    </row>
    <row r="489" spans="1:9" x14ac:dyDescent="0.25">
      <c r="A489" s="21" t="s">
        <v>2445</v>
      </c>
      <c r="B489">
        <v>4</v>
      </c>
      <c r="C489" s="21" t="s">
        <v>70</v>
      </c>
      <c r="D489" s="21" t="s">
        <v>35</v>
      </c>
      <c r="E489">
        <v>218</v>
      </c>
      <c r="F489">
        <v>32</v>
      </c>
      <c r="G489" s="21" t="s">
        <v>21</v>
      </c>
      <c r="H489" s="21" t="s">
        <v>643</v>
      </c>
      <c r="I489" s="21" t="s">
        <v>2407</v>
      </c>
    </row>
    <row r="490" spans="1:9" x14ac:dyDescent="0.25">
      <c r="A490" s="21" t="s">
        <v>2446</v>
      </c>
      <c r="B490">
        <v>70</v>
      </c>
      <c r="C490" s="21" t="s">
        <v>28</v>
      </c>
      <c r="D490" s="21" t="s">
        <v>35</v>
      </c>
      <c r="E490">
        <v>306</v>
      </c>
      <c r="F490">
        <v>23</v>
      </c>
      <c r="G490" s="21" t="s">
        <v>30</v>
      </c>
      <c r="H490" s="21" t="s">
        <v>31</v>
      </c>
      <c r="I490" s="21" t="s">
        <v>2407</v>
      </c>
    </row>
    <row r="491" spans="1:9" x14ac:dyDescent="0.25">
      <c r="A491" s="21" t="s">
        <v>2447</v>
      </c>
      <c r="B491">
        <v>96</v>
      </c>
      <c r="C491" s="21" t="s">
        <v>19</v>
      </c>
      <c r="D491" s="21" t="s">
        <v>29</v>
      </c>
      <c r="E491">
        <v>324</v>
      </c>
      <c r="F491">
        <v>32</v>
      </c>
      <c r="G491" s="21" t="s">
        <v>254</v>
      </c>
      <c r="H491" s="21" t="s">
        <v>1563</v>
      </c>
      <c r="I491" s="21" t="s">
        <v>2407</v>
      </c>
    </row>
    <row r="492" spans="1:9" x14ac:dyDescent="0.25">
      <c r="A492" s="21" t="s">
        <v>2448</v>
      </c>
      <c r="B492">
        <v>6</v>
      </c>
      <c r="C492" s="21" t="s">
        <v>193</v>
      </c>
      <c r="D492" s="21" t="s">
        <v>125</v>
      </c>
      <c r="E492">
        <v>196</v>
      </c>
      <c r="F492">
        <v>25</v>
      </c>
      <c r="G492" s="21" t="s">
        <v>30</v>
      </c>
      <c r="H492" s="21" t="s">
        <v>355</v>
      </c>
      <c r="I492" s="21" t="s">
        <v>2407</v>
      </c>
    </row>
    <row r="493" spans="1:9" x14ac:dyDescent="0.25">
      <c r="A493" s="21" t="s">
        <v>2449</v>
      </c>
      <c r="B493">
        <v>82</v>
      </c>
      <c r="C493" s="21" t="s">
        <v>57</v>
      </c>
      <c r="D493" s="21" t="s">
        <v>67</v>
      </c>
      <c r="E493">
        <v>255</v>
      </c>
      <c r="F493">
        <v>24</v>
      </c>
      <c r="G493" s="21" t="s">
        <v>25</v>
      </c>
      <c r="H493" s="21" t="s">
        <v>837</v>
      </c>
      <c r="I493" s="21" t="s">
        <v>2407</v>
      </c>
    </row>
    <row r="494" spans="1:9" x14ac:dyDescent="0.25">
      <c r="A494" s="21" t="s">
        <v>2450</v>
      </c>
      <c r="B494">
        <v>68</v>
      </c>
      <c r="C494" s="21" t="s">
        <v>140</v>
      </c>
      <c r="D494" s="21" t="s">
        <v>35</v>
      </c>
      <c r="E494">
        <v>313</v>
      </c>
      <c r="F494">
        <v>24</v>
      </c>
      <c r="G494" s="21" t="s">
        <v>83</v>
      </c>
      <c r="H494" s="21" t="s">
        <v>2451</v>
      </c>
      <c r="I494" s="21" t="s">
        <v>2407</v>
      </c>
    </row>
    <row r="495" spans="1:9" x14ac:dyDescent="0.25">
      <c r="A495" s="21" t="s">
        <v>2452</v>
      </c>
      <c r="B495">
        <v>61</v>
      </c>
      <c r="C495" s="21" t="s">
        <v>277</v>
      </c>
      <c r="D495" s="21" t="s">
        <v>44</v>
      </c>
      <c r="E495">
        <v>321</v>
      </c>
      <c r="F495">
        <v>24</v>
      </c>
      <c r="G495" s="21" t="s">
        <v>30</v>
      </c>
      <c r="H495" s="21" t="s">
        <v>115</v>
      </c>
      <c r="I495" s="21" t="s">
        <v>2407</v>
      </c>
    </row>
    <row r="496" spans="1:9" x14ac:dyDescent="0.25">
      <c r="A496" s="21" t="s">
        <v>2453</v>
      </c>
      <c r="B496">
        <v>66</v>
      </c>
      <c r="C496" s="21" t="s">
        <v>184</v>
      </c>
      <c r="D496" s="21" t="s">
        <v>35</v>
      </c>
      <c r="E496">
        <v>319</v>
      </c>
      <c r="F496">
        <v>31</v>
      </c>
      <c r="G496" s="21" t="s">
        <v>64</v>
      </c>
      <c r="H496" s="21" t="s">
        <v>2454</v>
      </c>
      <c r="I496" s="21" t="s">
        <v>2407</v>
      </c>
    </row>
    <row r="497" spans="1:9" x14ac:dyDescent="0.25">
      <c r="A497" s="21" t="s">
        <v>2455</v>
      </c>
      <c r="B497">
        <v>74</v>
      </c>
      <c r="C497" s="21" t="s">
        <v>28</v>
      </c>
      <c r="D497" s="21" t="s">
        <v>20</v>
      </c>
      <c r="E497">
        <v>326</v>
      </c>
      <c r="F497">
        <v>25</v>
      </c>
      <c r="G497" s="21" t="s">
        <v>16</v>
      </c>
      <c r="H497" s="21" t="s">
        <v>251</v>
      </c>
      <c r="I497" s="21" t="s">
        <v>2407</v>
      </c>
    </row>
    <row r="498" spans="1:9" x14ac:dyDescent="0.25">
      <c r="A498" s="21" t="s">
        <v>2456</v>
      </c>
      <c r="B498">
        <v>18</v>
      </c>
      <c r="C498" s="21" t="s">
        <v>10</v>
      </c>
      <c r="D498" s="21" t="s">
        <v>52</v>
      </c>
      <c r="E498">
        <v>206</v>
      </c>
      <c r="F498">
        <v>23</v>
      </c>
      <c r="G498" s="21" t="s">
        <v>12</v>
      </c>
      <c r="H498" s="21" t="s">
        <v>168</v>
      </c>
      <c r="I498" s="21" t="s">
        <v>2407</v>
      </c>
    </row>
    <row r="499" spans="1:9" x14ac:dyDescent="0.25">
      <c r="A499" s="21" t="s">
        <v>2457</v>
      </c>
      <c r="B499">
        <v>41</v>
      </c>
      <c r="C499" s="21" t="s">
        <v>57</v>
      </c>
      <c r="D499" s="21" t="s">
        <v>29</v>
      </c>
      <c r="E499">
        <v>265</v>
      </c>
      <c r="F499">
        <v>24</v>
      </c>
      <c r="G499" s="21" t="s">
        <v>25</v>
      </c>
      <c r="H499" s="21" t="s">
        <v>168</v>
      </c>
      <c r="I499" s="21" t="s">
        <v>2407</v>
      </c>
    </row>
    <row r="500" spans="1:9" x14ac:dyDescent="0.25">
      <c r="A500" s="21" t="s">
        <v>2458</v>
      </c>
      <c r="B500">
        <v>60</v>
      </c>
      <c r="C500" s="21" t="s">
        <v>277</v>
      </c>
      <c r="D500" s="21" t="s">
        <v>35</v>
      </c>
      <c r="E500">
        <v>310</v>
      </c>
      <c r="F500">
        <v>25</v>
      </c>
      <c r="G500" s="21" t="s">
        <v>30</v>
      </c>
      <c r="H500" s="21" t="s">
        <v>978</v>
      </c>
      <c r="I500" s="21" t="s">
        <v>2407</v>
      </c>
    </row>
    <row r="501" spans="1:9" x14ac:dyDescent="0.25">
      <c r="A501" s="21" t="s">
        <v>2459</v>
      </c>
      <c r="B501">
        <v>69</v>
      </c>
      <c r="C501" s="21" t="s">
        <v>277</v>
      </c>
      <c r="D501" s="21" t="s">
        <v>52</v>
      </c>
      <c r="E501">
        <v>310</v>
      </c>
      <c r="F501">
        <v>28</v>
      </c>
      <c r="G501" s="21" t="s">
        <v>21</v>
      </c>
      <c r="H501" s="21" t="s">
        <v>132</v>
      </c>
      <c r="I501" s="21" t="s">
        <v>2407</v>
      </c>
    </row>
    <row r="502" spans="1:9" x14ac:dyDescent="0.25">
      <c r="A502" s="21" t="s">
        <v>2460</v>
      </c>
      <c r="B502">
        <v>27</v>
      </c>
      <c r="C502" s="21" t="s">
        <v>48</v>
      </c>
      <c r="D502" s="21" t="s">
        <v>24</v>
      </c>
      <c r="E502">
        <v>199</v>
      </c>
      <c r="F502">
        <v>23</v>
      </c>
      <c r="G502" s="21" t="s">
        <v>25</v>
      </c>
      <c r="H502" s="21" t="s">
        <v>895</v>
      </c>
      <c r="I502" s="21" t="s">
        <v>2407</v>
      </c>
    </row>
    <row r="503" spans="1:9" x14ac:dyDescent="0.25">
      <c r="A503" s="21" t="s">
        <v>2461</v>
      </c>
      <c r="B503">
        <v>86</v>
      </c>
      <c r="C503" s="21" t="s">
        <v>57</v>
      </c>
      <c r="D503" s="21" t="s">
        <v>67</v>
      </c>
      <c r="E503">
        <v>258</v>
      </c>
      <c r="F503">
        <v>29</v>
      </c>
      <c r="G503" s="21" t="s">
        <v>83</v>
      </c>
      <c r="H503" s="21" t="s">
        <v>2462</v>
      </c>
      <c r="I503" s="21" t="s">
        <v>2407</v>
      </c>
    </row>
    <row r="504" spans="1:9" x14ac:dyDescent="0.25">
      <c r="A504" s="21" t="s">
        <v>2463</v>
      </c>
      <c r="B504">
        <v>37</v>
      </c>
      <c r="C504" s="21" t="s">
        <v>48</v>
      </c>
      <c r="D504" s="21" t="s">
        <v>11</v>
      </c>
      <c r="E504">
        <v>202</v>
      </c>
      <c r="F504">
        <v>22</v>
      </c>
      <c r="G504" s="21" t="s">
        <v>25</v>
      </c>
      <c r="H504" s="21" t="s">
        <v>73</v>
      </c>
      <c r="I504" s="21" t="s">
        <v>2407</v>
      </c>
    </row>
    <row r="505" spans="1:9" x14ac:dyDescent="0.25">
      <c r="A505" s="21" t="s">
        <v>2464</v>
      </c>
      <c r="B505">
        <v>10</v>
      </c>
      <c r="C505" s="21" t="s">
        <v>10</v>
      </c>
      <c r="D505" s="21" t="s">
        <v>135</v>
      </c>
      <c r="E505">
        <v>174</v>
      </c>
      <c r="F505">
        <v>24</v>
      </c>
      <c r="G505" s="21" t="s">
        <v>16</v>
      </c>
      <c r="H505" s="21" t="s">
        <v>530</v>
      </c>
      <c r="I505" s="21" t="s">
        <v>2407</v>
      </c>
    </row>
    <row r="506" spans="1:9" x14ac:dyDescent="0.25">
      <c r="A506" s="21" t="s">
        <v>2465</v>
      </c>
      <c r="B506">
        <v>75</v>
      </c>
      <c r="C506" s="21" t="s">
        <v>277</v>
      </c>
      <c r="D506" s="21" t="s">
        <v>29</v>
      </c>
      <c r="E506">
        <v>309</v>
      </c>
      <c r="F506">
        <v>25</v>
      </c>
      <c r="G506" s="21" t="s">
        <v>12</v>
      </c>
      <c r="H506" s="21" t="s">
        <v>330</v>
      </c>
      <c r="I506" s="21" t="s">
        <v>2407</v>
      </c>
    </row>
    <row r="507" spans="1:9" x14ac:dyDescent="0.25">
      <c r="A507" s="21" t="s">
        <v>2466</v>
      </c>
      <c r="B507">
        <v>23</v>
      </c>
      <c r="C507" s="21" t="s">
        <v>48</v>
      </c>
      <c r="D507" s="21" t="s">
        <v>11</v>
      </c>
      <c r="E507">
        <v>195</v>
      </c>
      <c r="F507">
        <v>25</v>
      </c>
      <c r="G507" s="21" t="s">
        <v>16</v>
      </c>
      <c r="H507" s="21" t="s">
        <v>442</v>
      </c>
      <c r="I507" s="21" t="s">
        <v>2407</v>
      </c>
    </row>
    <row r="508" spans="1:9" x14ac:dyDescent="0.25">
      <c r="A508" s="21" t="s">
        <v>2467</v>
      </c>
      <c r="B508">
        <v>22</v>
      </c>
      <c r="C508" s="21" t="s">
        <v>89</v>
      </c>
      <c r="D508" s="21" t="s">
        <v>11</v>
      </c>
      <c r="E508">
        <v>211</v>
      </c>
      <c r="F508">
        <v>27</v>
      </c>
      <c r="G508" s="21" t="s">
        <v>100</v>
      </c>
      <c r="H508" s="21" t="s">
        <v>251</v>
      </c>
      <c r="I508" s="21" t="s">
        <v>2407</v>
      </c>
    </row>
    <row r="509" spans="1:9" x14ac:dyDescent="0.25">
      <c r="A509" s="21" t="s">
        <v>2468</v>
      </c>
      <c r="B509">
        <v>98</v>
      </c>
      <c r="C509" s="21" t="s">
        <v>213</v>
      </c>
      <c r="D509" s="21" t="s">
        <v>20</v>
      </c>
      <c r="E509">
        <v>271</v>
      </c>
      <c r="F509">
        <v>25</v>
      </c>
      <c r="G509" s="21" t="s">
        <v>16</v>
      </c>
      <c r="H509" s="21" t="s">
        <v>117</v>
      </c>
      <c r="I509" s="21" t="s">
        <v>2407</v>
      </c>
    </row>
    <row r="510" spans="1:9" x14ac:dyDescent="0.25">
      <c r="A510" s="21" t="s">
        <v>2469</v>
      </c>
      <c r="B510">
        <v>56</v>
      </c>
      <c r="C510" s="21" t="s">
        <v>19</v>
      </c>
      <c r="D510" s="21" t="s">
        <v>24</v>
      </c>
      <c r="E510">
        <v>307</v>
      </c>
      <c r="F510">
        <v>29</v>
      </c>
      <c r="G510" s="21" t="s">
        <v>21</v>
      </c>
      <c r="H510" s="21" t="s">
        <v>149</v>
      </c>
      <c r="I510" s="21" t="s">
        <v>2407</v>
      </c>
    </row>
    <row r="511" spans="1:9" x14ac:dyDescent="0.25">
      <c r="A511" s="21" t="s">
        <v>2470</v>
      </c>
      <c r="B511">
        <v>79</v>
      </c>
      <c r="C511" s="21" t="s">
        <v>19</v>
      </c>
      <c r="D511" s="21" t="s">
        <v>35</v>
      </c>
      <c r="E511">
        <v>270</v>
      </c>
      <c r="F511">
        <v>28</v>
      </c>
      <c r="G511" s="21" t="s">
        <v>16</v>
      </c>
      <c r="H511" s="21" t="s">
        <v>582</v>
      </c>
      <c r="I511" s="21" t="s">
        <v>2407</v>
      </c>
    </row>
    <row r="512" spans="1:9" x14ac:dyDescent="0.25">
      <c r="A512" s="21" t="s">
        <v>2471</v>
      </c>
      <c r="B512">
        <v>59</v>
      </c>
      <c r="C512" s="21" t="s">
        <v>213</v>
      </c>
      <c r="D512" s="21" t="s">
        <v>24</v>
      </c>
      <c r="E512">
        <v>236</v>
      </c>
      <c r="F512">
        <v>24</v>
      </c>
      <c r="G512" s="21" t="s">
        <v>25</v>
      </c>
      <c r="H512" s="21" t="s">
        <v>1611</v>
      </c>
      <c r="I512" s="21" t="s">
        <v>2407</v>
      </c>
    </row>
    <row r="513" spans="1:9" x14ac:dyDescent="0.25">
      <c r="A513" s="21" t="s">
        <v>2472</v>
      </c>
      <c r="B513">
        <v>16</v>
      </c>
      <c r="C513" s="21" t="s">
        <v>10</v>
      </c>
      <c r="D513" s="21" t="s">
        <v>24</v>
      </c>
      <c r="E513">
        <v>215</v>
      </c>
      <c r="F513">
        <v>28</v>
      </c>
      <c r="G513" s="21" t="s">
        <v>21</v>
      </c>
      <c r="H513" s="21" t="s">
        <v>3252</v>
      </c>
      <c r="I513" s="21" t="s">
        <v>2407</v>
      </c>
    </row>
    <row r="514" spans="1:9" x14ac:dyDescent="0.25">
      <c r="A514" s="21" t="s">
        <v>2473</v>
      </c>
      <c r="B514">
        <v>44</v>
      </c>
      <c r="C514" s="21" t="s">
        <v>213</v>
      </c>
      <c r="D514" s="21" t="s">
        <v>44</v>
      </c>
      <c r="E514">
        <v>275</v>
      </c>
      <c r="F514">
        <v>24</v>
      </c>
      <c r="G514" s="21" t="s">
        <v>83</v>
      </c>
      <c r="H514" s="21" t="s">
        <v>304</v>
      </c>
      <c r="I514" s="21" t="s">
        <v>2407</v>
      </c>
    </row>
    <row r="515" spans="1:9" x14ac:dyDescent="0.25">
      <c r="A515" s="21" t="s">
        <v>2474</v>
      </c>
      <c r="B515">
        <v>91</v>
      </c>
      <c r="C515" s="21" t="s">
        <v>19</v>
      </c>
      <c r="D515" s="21" t="s">
        <v>44</v>
      </c>
      <c r="E515">
        <v>290</v>
      </c>
      <c r="F515">
        <v>25</v>
      </c>
      <c r="G515" s="21" t="s">
        <v>83</v>
      </c>
      <c r="H515" s="21" t="s">
        <v>274</v>
      </c>
      <c r="I515" s="21" t="s">
        <v>2407</v>
      </c>
    </row>
    <row r="516" spans="1:9" x14ac:dyDescent="0.25">
      <c r="A516" s="21" t="s">
        <v>2475</v>
      </c>
      <c r="B516">
        <v>94</v>
      </c>
      <c r="C516" s="21" t="s">
        <v>19</v>
      </c>
      <c r="D516" s="21" t="s">
        <v>29</v>
      </c>
      <c r="E516">
        <v>287</v>
      </c>
      <c r="F516">
        <v>25</v>
      </c>
      <c r="G516" s="21" t="s">
        <v>83</v>
      </c>
      <c r="H516" s="21" t="s">
        <v>120</v>
      </c>
      <c r="I516" s="21" t="s">
        <v>2407</v>
      </c>
    </row>
    <row r="517" spans="1:9" x14ac:dyDescent="0.25">
      <c r="A517" s="21" t="s">
        <v>2476</v>
      </c>
      <c r="B517">
        <v>28</v>
      </c>
      <c r="C517" s="21" t="s">
        <v>48</v>
      </c>
      <c r="D517" s="21" t="s">
        <v>52</v>
      </c>
      <c r="E517">
        <v>177</v>
      </c>
      <c r="F517">
        <v>27</v>
      </c>
      <c r="G517" s="21" t="s">
        <v>38</v>
      </c>
      <c r="H517" s="21" t="s">
        <v>267</v>
      </c>
      <c r="I517" s="21" t="s">
        <v>2407</v>
      </c>
    </row>
    <row r="518" spans="1:9" x14ac:dyDescent="0.25">
      <c r="A518" s="21" t="s">
        <v>2477</v>
      </c>
      <c r="B518">
        <v>51</v>
      </c>
      <c r="C518" s="21" t="s">
        <v>230</v>
      </c>
      <c r="D518" s="21" t="s">
        <v>52</v>
      </c>
      <c r="E518">
        <v>225</v>
      </c>
      <c r="F518">
        <v>23</v>
      </c>
      <c r="G518" s="21" t="s">
        <v>25</v>
      </c>
      <c r="H518" s="21" t="s">
        <v>627</v>
      </c>
      <c r="I518" s="21" t="s">
        <v>2407</v>
      </c>
    </row>
    <row r="519" spans="1:9" x14ac:dyDescent="0.25">
      <c r="A519" s="21" t="s">
        <v>2478</v>
      </c>
      <c r="B519">
        <v>26</v>
      </c>
      <c r="C519" s="21" t="s">
        <v>89</v>
      </c>
      <c r="D519" s="21" t="s">
        <v>54</v>
      </c>
      <c r="E519">
        <v>195</v>
      </c>
      <c r="F519">
        <v>31</v>
      </c>
      <c r="G519" s="21" t="s">
        <v>111</v>
      </c>
      <c r="H519" s="21" t="s">
        <v>120</v>
      </c>
      <c r="I519" s="21" t="s">
        <v>2407</v>
      </c>
    </row>
    <row r="520" spans="1:9" x14ac:dyDescent="0.25">
      <c r="A520" s="21" t="s">
        <v>2479</v>
      </c>
      <c r="B520">
        <v>95</v>
      </c>
      <c r="C520" s="21" t="s">
        <v>19</v>
      </c>
      <c r="D520" s="21" t="s">
        <v>52</v>
      </c>
      <c r="E520">
        <v>305</v>
      </c>
      <c r="F520">
        <v>28</v>
      </c>
      <c r="G520" s="21" t="s">
        <v>45</v>
      </c>
      <c r="H520" s="21" t="s">
        <v>522</v>
      </c>
      <c r="I520" s="21" t="s">
        <v>2407</v>
      </c>
    </row>
    <row r="521" spans="1:9" x14ac:dyDescent="0.25">
      <c r="A521" s="21" t="s">
        <v>2480</v>
      </c>
      <c r="B521">
        <v>76</v>
      </c>
      <c r="C521" s="21" t="s">
        <v>140</v>
      </c>
      <c r="D521" s="21" t="s">
        <v>67</v>
      </c>
      <c r="E521">
        <v>338</v>
      </c>
      <c r="F521">
        <v>29</v>
      </c>
      <c r="G521" s="21" t="s">
        <v>21</v>
      </c>
      <c r="H521" s="21" t="s">
        <v>3251</v>
      </c>
      <c r="I521" s="21" t="s">
        <v>2407</v>
      </c>
    </row>
    <row r="522" spans="1:9" x14ac:dyDescent="0.25">
      <c r="A522" s="21" t="s">
        <v>2481</v>
      </c>
      <c r="B522">
        <v>81</v>
      </c>
      <c r="C522" s="21" t="s">
        <v>10</v>
      </c>
      <c r="D522" s="21" t="s">
        <v>44</v>
      </c>
      <c r="E522">
        <v>195</v>
      </c>
      <c r="F522">
        <v>26</v>
      </c>
      <c r="G522" s="21" t="s">
        <v>16</v>
      </c>
      <c r="H522" s="21" t="s">
        <v>2482</v>
      </c>
      <c r="I522" s="21" t="s">
        <v>2407</v>
      </c>
    </row>
    <row r="523" spans="1:9" x14ac:dyDescent="0.25">
      <c r="A523" s="21" t="s">
        <v>2483</v>
      </c>
      <c r="B523">
        <v>9</v>
      </c>
      <c r="C523" s="21" t="s">
        <v>10</v>
      </c>
      <c r="D523" s="21" t="s">
        <v>135</v>
      </c>
      <c r="E523">
        <v>195</v>
      </c>
      <c r="F523">
        <v>23</v>
      </c>
      <c r="G523" s="21" t="s">
        <v>25</v>
      </c>
      <c r="H523" s="21" t="s">
        <v>284</v>
      </c>
      <c r="I523" s="21" t="s">
        <v>2407</v>
      </c>
    </row>
    <row r="524" spans="1:9" x14ac:dyDescent="0.25">
      <c r="A524" s="21" t="s">
        <v>2484</v>
      </c>
      <c r="B524">
        <v>64</v>
      </c>
      <c r="C524" s="21" t="s">
        <v>277</v>
      </c>
      <c r="D524" s="21" t="s">
        <v>44</v>
      </c>
      <c r="E524">
        <v>312</v>
      </c>
      <c r="F524">
        <v>28</v>
      </c>
      <c r="G524" s="21" t="s">
        <v>45</v>
      </c>
      <c r="H524" s="21" t="s">
        <v>288</v>
      </c>
      <c r="I524" s="21" t="s">
        <v>2407</v>
      </c>
    </row>
    <row r="525" spans="1:9" x14ac:dyDescent="0.25">
      <c r="A525" s="21" t="s">
        <v>2485</v>
      </c>
      <c r="B525">
        <v>48</v>
      </c>
      <c r="C525" s="21" t="s">
        <v>230</v>
      </c>
      <c r="D525" s="21" t="s">
        <v>54</v>
      </c>
      <c r="E525">
        <v>230</v>
      </c>
      <c r="F525">
        <v>23</v>
      </c>
      <c r="G525" s="21" t="s">
        <v>30</v>
      </c>
      <c r="H525" s="21" t="s">
        <v>320</v>
      </c>
      <c r="I525" s="21" t="s">
        <v>2407</v>
      </c>
    </row>
    <row r="526" spans="1:9" x14ac:dyDescent="0.25">
      <c r="A526" s="21" t="s">
        <v>2486</v>
      </c>
      <c r="B526">
        <v>3</v>
      </c>
      <c r="C526" s="21" t="s">
        <v>76</v>
      </c>
      <c r="D526" s="21" t="s">
        <v>24</v>
      </c>
      <c r="E526">
        <v>218</v>
      </c>
      <c r="F526">
        <v>35</v>
      </c>
      <c r="G526" s="21" t="s">
        <v>1199</v>
      </c>
      <c r="H526" s="21" t="s">
        <v>115</v>
      </c>
      <c r="I526" s="21" t="s">
        <v>2407</v>
      </c>
    </row>
    <row r="527" spans="1:9" x14ac:dyDescent="0.25">
      <c r="A527" s="21" t="s">
        <v>2487</v>
      </c>
      <c r="B527">
        <v>83</v>
      </c>
      <c r="C527" s="21" t="s">
        <v>10</v>
      </c>
      <c r="D527" s="21" t="s">
        <v>86</v>
      </c>
      <c r="E527">
        <v>155</v>
      </c>
      <c r="F527">
        <v>22</v>
      </c>
      <c r="G527" s="21" t="s">
        <v>25</v>
      </c>
      <c r="H527" s="21" t="s">
        <v>439</v>
      </c>
      <c r="I527" s="21" t="s">
        <v>2407</v>
      </c>
    </row>
    <row r="528" spans="1:9" x14ac:dyDescent="0.25">
      <c r="A528" s="21" t="s">
        <v>2488</v>
      </c>
      <c r="B528">
        <v>2</v>
      </c>
      <c r="C528" s="21" t="s">
        <v>70</v>
      </c>
      <c r="D528" s="21" t="s">
        <v>29</v>
      </c>
      <c r="E528">
        <v>236</v>
      </c>
      <c r="F528">
        <v>24</v>
      </c>
      <c r="G528" s="21" t="s">
        <v>30</v>
      </c>
      <c r="H528" s="21" t="s">
        <v>251</v>
      </c>
      <c r="I528" s="21" t="s">
        <v>2407</v>
      </c>
    </row>
    <row r="529" spans="1:9" x14ac:dyDescent="0.25">
      <c r="A529" s="21" t="s">
        <v>2489</v>
      </c>
      <c r="B529">
        <v>97</v>
      </c>
      <c r="C529" s="21" t="s">
        <v>158</v>
      </c>
      <c r="D529" s="21" t="s">
        <v>44</v>
      </c>
      <c r="E529">
        <v>245</v>
      </c>
      <c r="F529">
        <v>31</v>
      </c>
      <c r="G529" s="21" t="s">
        <v>16</v>
      </c>
      <c r="H529" s="21" t="s">
        <v>2490</v>
      </c>
      <c r="I529" s="21" t="s">
        <v>2407</v>
      </c>
    </row>
    <row r="530" spans="1:9" x14ac:dyDescent="0.25">
      <c r="A530" s="21" t="s">
        <v>2491</v>
      </c>
      <c r="B530">
        <v>9</v>
      </c>
      <c r="C530" s="21" t="s">
        <v>213</v>
      </c>
      <c r="D530" s="21" t="s">
        <v>29</v>
      </c>
      <c r="E530">
        <v>259</v>
      </c>
      <c r="F530">
        <v>23</v>
      </c>
      <c r="G530" s="21" t="s">
        <v>30</v>
      </c>
      <c r="H530" s="21" t="s">
        <v>274</v>
      </c>
      <c r="I530" s="21" t="s">
        <v>2407</v>
      </c>
    </row>
    <row r="531" spans="1:9" x14ac:dyDescent="0.25">
      <c r="A531" s="21" t="s">
        <v>2492</v>
      </c>
      <c r="B531">
        <v>34</v>
      </c>
      <c r="C531" s="21" t="s">
        <v>89</v>
      </c>
      <c r="D531" s="21" t="s">
        <v>52</v>
      </c>
      <c r="E531">
        <v>202</v>
      </c>
      <c r="F531">
        <v>24</v>
      </c>
      <c r="G531" s="21" t="s">
        <v>25</v>
      </c>
      <c r="H531" s="21" t="s">
        <v>136</v>
      </c>
      <c r="I531" s="21" t="s">
        <v>2407</v>
      </c>
    </row>
    <row r="532" spans="1:9" x14ac:dyDescent="0.25">
      <c r="A532" s="21" t="s">
        <v>2493</v>
      </c>
      <c r="B532">
        <v>21</v>
      </c>
      <c r="C532" s="21" t="s">
        <v>51</v>
      </c>
      <c r="D532" s="21" t="s">
        <v>125</v>
      </c>
      <c r="E532">
        <v>214</v>
      </c>
      <c r="F532">
        <v>25</v>
      </c>
      <c r="G532" s="21" t="s">
        <v>12</v>
      </c>
      <c r="H532" s="21" t="s">
        <v>46</v>
      </c>
      <c r="I532" s="21" t="s">
        <v>2407</v>
      </c>
    </row>
    <row r="533" spans="1:9" x14ac:dyDescent="0.25">
      <c r="A533" s="21" t="s">
        <v>2494</v>
      </c>
      <c r="B533">
        <v>50</v>
      </c>
      <c r="C533" s="21" t="s">
        <v>19</v>
      </c>
      <c r="D533" s="21" t="s">
        <v>35</v>
      </c>
      <c r="E533">
        <v>347</v>
      </c>
      <c r="F533">
        <v>27</v>
      </c>
      <c r="G533" s="21" t="s">
        <v>45</v>
      </c>
      <c r="H533" s="21" t="s">
        <v>274</v>
      </c>
      <c r="I533" s="21" t="s">
        <v>2407</v>
      </c>
    </row>
    <row r="534" spans="1:9" x14ac:dyDescent="0.25">
      <c r="A534" s="21" t="s">
        <v>2495</v>
      </c>
      <c r="B534">
        <v>73</v>
      </c>
      <c r="C534" s="21" t="s">
        <v>140</v>
      </c>
      <c r="D534" s="21" t="s">
        <v>29</v>
      </c>
      <c r="E534">
        <v>300</v>
      </c>
      <c r="F534">
        <v>24</v>
      </c>
      <c r="G534" s="21" t="s">
        <v>83</v>
      </c>
      <c r="H534" s="21" t="s">
        <v>17</v>
      </c>
      <c r="I534" s="21" t="s">
        <v>2407</v>
      </c>
    </row>
    <row r="535" spans="1:9" x14ac:dyDescent="0.25">
      <c r="A535" s="21" t="s">
        <v>2496</v>
      </c>
      <c r="B535">
        <v>33</v>
      </c>
      <c r="C535" s="21" t="s">
        <v>89</v>
      </c>
      <c r="D535" s="21" t="s">
        <v>52</v>
      </c>
      <c r="E535">
        <v>200</v>
      </c>
      <c r="F535">
        <v>24</v>
      </c>
      <c r="G535" s="21" t="s">
        <v>83</v>
      </c>
      <c r="H535" s="21" t="s">
        <v>204</v>
      </c>
      <c r="I535" s="21" t="s">
        <v>2407</v>
      </c>
    </row>
    <row r="536" spans="1:9" x14ac:dyDescent="0.25">
      <c r="A536" s="21" t="s">
        <v>2497</v>
      </c>
      <c r="B536">
        <v>72</v>
      </c>
      <c r="C536" s="21" t="s">
        <v>140</v>
      </c>
      <c r="D536" s="21" t="s">
        <v>67</v>
      </c>
      <c r="E536">
        <v>306</v>
      </c>
      <c r="F536">
        <v>31</v>
      </c>
      <c r="G536" s="21" t="s">
        <v>21</v>
      </c>
      <c r="H536" s="21" t="s">
        <v>288</v>
      </c>
      <c r="I536" s="21" t="s">
        <v>2407</v>
      </c>
    </row>
    <row r="537" spans="1:9" x14ac:dyDescent="0.25">
      <c r="A537" s="21" t="s">
        <v>2498</v>
      </c>
      <c r="B537">
        <v>45</v>
      </c>
      <c r="C537" s="21" t="s">
        <v>230</v>
      </c>
      <c r="D537" s="21" t="s">
        <v>11</v>
      </c>
      <c r="E537">
        <v>237</v>
      </c>
      <c r="F537">
        <v>24</v>
      </c>
      <c r="G537" s="21" t="s">
        <v>16</v>
      </c>
      <c r="H537" s="21" t="s">
        <v>267</v>
      </c>
      <c r="I537" s="21" t="s">
        <v>2407</v>
      </c>
    </row>
    <row r="538" spans="1:9" x14ac:dyDescent="0.25">
      <c r="A538" s="21" t="s">
        <v>2499</v>
      </c>
      <c r="B538">
        <v>29</v>
      </c>
      <c r="C538" s="21" t="s">
        <v>51</v>
      </c>
      <c r="D538" s="21" t="s">
        <v>11</v>
      </c>
      <c r="E538">
        <v>214</v>
      </c>
      <c r="F538">
        <v>23</v>
      </c>
      <c r="G538" s="21" t="s">
        <v>25</v>
      </c>
      <c r="H538" s="21" t="s">
        <v>13</v>
      </c>
      <c r="I538" s="21" t="s">
        <v>2407</v>
      </c>
    </row>
    <row r="539" spans="1:9" x14ac:dyDescent="0.25">
      <c r="A539" s="21" t="s">
        <v>2500</v>
      </c>
      <c r="B539">
        <v>31</v>
      </c>
      <c r="C539" s="21" t="s">
        <v>89</v>
      </c>
      <c r="D539" s="21" t="s">
        <v>135</v>
      </c>
      <c r="E539">
        <v>203</v>
      </c>
      <c r="F539">
        <v>23</v>
      </c>
      <c r="G539" s="21" t="s">
        <v>12</v>
      </c>
      <c r="H539" s="21" t="s">
        <v>168</v>
      </c>
      <c r="I539" s="21" t="s">
        <v>2407</v>
      </c>
    </row>
    <row r="540" spans="1:9" x14ac:dyDescent="0.25">
      <c r="A540" s="21" t="s">
        <v>2501</v>
      </c>
      <c r="B540">
        <v>78</v>
      </c>
      <c r="C540" s="21" t="s">
        <v>140</v>
      </c>
      <c r="D540" s="21" t="s">
        <v>29</v>
      </c>
      <c r="E540">
        <v>320</v>
      </c>
      <c r="F540">
        <v>23</v>
      </c>
      <c r="G540" s="21" t="s">
        <v>12</v>
      </c>
      <c r="H540" s="21" t="s">
        <v>117</v>
      </c>
      <c r="I540" s="21" t="s">
        <v>2407</v>
      </c>
    </row>
    <row r="541" spans="1:9" x14ac:dyDescent="0.25">
      <c r="A541" s="21" t="s">
        <v>2502</v>
      </c>
      <c r="B541">
        <v>57</v>
      </c>
      <c r="C541" s="21" t="s">
        <v>213</v>
      </c>
      <c r="D541" s="21" t="s">
        <v>44</v>
      </c>
      <c r="E541">
        <v>230</v>
      </c>
      <c r="F541">
        <v>24</v>
      </c>
      <c r="G541" s="21" t="s">
        <v>25</v>
      </c>
      <c r="H541" s="21" t="s">
        <v>1341</v>
      </c>
      <c r="I541" s="21" t="s">
        <v>2407</v>
      </c>
    </row>
    <row r="542" spans="1:9" x14ac:dyDescent="0.25">
      <c r="A542" s="21" t="s">
        <v>2503</v>
      </c>
      <c r="B542">
        <v>90</v>
      </c>
      <c r="C542" s="21" t="s">
        <v>19</v>
      </c>
      <c r="D542" s="21" t="s">
        <v>67</v>
      </c>
      <c r="E542">
        <v>283</v>
      </c>
      <c r="F542">
        <v>22</v>
      </c>
      <c r="G542" s="21" t="s">
        <v>25</v>
      </c>
      <c r="H542" s="21" t="s">
        <v>320</v>
      </c>
      <c r="I542" s="21" t="s">
        <v>2407</v>
      </c>
    </row>
    <row r="543" spans="1:9" x14ac:dyDescent="0.25">
      <c r="A543" s="21" t="s">
        <v>2504</v>
      </c>
      <c r="B543">
        <v>88</v>
      </c>
      <c r="C543" s="21" t="s">
        <v>57</v>
      </c>
      <c r="D543" s="21" t="s">
        <v>29</v>
      </c>
      <c r="E543">
        <v>247</v>
      </c>
      <c r="F543">
        <v>23</v>
      </c>
      <c r="G543" s="21" t="s">
        <v>25</v>
      </c>
      <c r="H543" s="21" t="s">
        <v>274</v>
      </c>
      <c r="I543" s="21" t="s">
        <v>2407</v>
      </c>
    </row>
    <row r="544" spans="1:9" x14ac:dyDescent="0.25">
      <c r="A544" s="21" t="s">
        <v>2505</v>
      </c>
      <c r="B544">
        <v>74</v>
      </c>
      <c r="C544" s="21" t="s">
        <v>277</v>
      </c>
      <c r="D544" s="21" t="s">
        <v>35</v>
      </c>
      <c r="E544">
        <v>307</v>
      </c>
      <c r="G544" s="21" t="s">
        <v>100</v>
      </c>
      <c r="H544" s="21" t="s">
        <v>2506</v>
      </c>
      <c r="I544" s="21" t="s">
        <v>2407</v>
      </c>
    </row>
    <row r="545" spans="1:9" x14ac:dyDescent="0.25">
      <c r="A545" s="21" t="s">
        <v>455</v>
      </c>
      <c r="B545">
        <v>17</v>
      </c>
      <c r="C545" s="21" t="s">
        <v>70</v>
      </c>
      <c r="D545" s="21" t="s">
        <v>29</v>
      </c>
      <c r="E545">
        <v>237</v>
      </c>
      <c r="F545">
        <v>26</v>
      </c>
      <c r="G545" s="21" t="s">
        <v>45</v>
      </c>
      <c r="H545" s="21" t="s">
        <v>456</v>
      </c>
      <c r="I545" s="21" t="s">
        <v>454</v>
      </c>
    </row>
    <row r="546" spans="1:9" x14ac:dyDescent="0.25">
      <c r="A546" s="21" t="s">
        <v>457</v>
      </c>
      <c r="B546">
        <v>70</v>
      </c>
      <c r="C546" s="21" t="s">
        <v>140</v>
      </c>
      <c r="D546" s="21" t="s">
        <v>29</v>
      </c>
      <c r="E546">
        <v>305</v>
      </c>
      <c r="F546">
        <v>22</v>
      </c>
      <c r="G546" s="21" t="s">
        <v>25</v>
      </c>
      <c r="H546" s="21" t="s">
        <v>39</v>
      </c>
      <c r="I546" s="21" t="s">
        <v>454</v>
      </c>
    </row>
    <row r="547" spans="1:9" x14ac:dyDescent="0.25">
      <c r="A547" s="21" t="s">
        <v>458</v>
      </c>
      <c r="B547">
        <v>51</v>
      </c>
      <c r="C547" s="21" t="s">
        <v>114</v>
      </c>
      <c r="D547" s="21" t="s">
        <v>44</v>
      </c>
      <c r="E547">
        <v>325</v>
      </c>
      <c r="F547">
        <v>28</v>
      </c>
      <c r="G547" s="21" t="s">
        <v>38</v>
      </c>
      <c r="H547" s="21" t="s">
        <v>39</v>
      </c>
      <c r="I547" s="21" t="s">
        <v>454</v>
      </c>
    </row>
    <row r="548" spans="1:9" x14ac:dyDescent="0.25">
      <c r="A548" s="21" t="s">
        <v>459</v>
      </c>
      <c r="B548">
        <v>19</v>
      </c>
      <c r="C548" s="21" t="s">
        <v>193</v>
      </c>
      <c r="D548" s="21" t="s">
        <v>24</v>
      </c>
      <c r="E548">
        <v>200</v>
      </c>
      <c r="F548">
        <v>22</v>
      </c>
      <c r="G548" s="21" t="s">
        <v>25</v>
      </c>
      <c r="H548" s="21" t="s">
        <v>33</v>
      </c>
      <c r="I548" s="21" t="s">
        <v>454</v>
      </c>
    </row>
    <row r="549" spans="1:9" x14ac:dyDescent="0.25">
      <c r="A549" s="21" t="s">
        <v>460</v>
      </c>
      <c r="B549">
        <v>86</v>
      </c>
      <c r="C549" s="21" t="s">
        <v>10</v>
      </c>
      <c r="D549" s="21" t="s">
        <v>86</v>
      </c>
      <c r="E549">
        <v>185</v>
      </c>
      <c r="F549">
        <v>32</v>
      </c>
      <c r="G549" s="21" t="s">
        <v>111</v>
      </c>
      <c r="H549" s="21" t="s">
        <v>143</v>
      </c>
      <c r="I549" s="21" t="s">
        <v>454</v>
      </c>
    </row>
    <row r="550" spans="1:9" x14ac:dyDescent="0.25">
      <c r="A550" s="21" t="s">
        <v>461</v>
      </c>
      <c r="B550">
        <v>11</v>
      </c>
      <c r="C550" s="21" t="s">
        <v>70</v>
      </c>
      <c r="D550" s="21" t="s">
        <v>24</v>
      </c>
      <c r="E550">
        <v>234</v>
      </c>
      <c r="F550">
        <v>31</v>
      </c>
      <c r="G550" s="21" t="s">
        <v>111</v>
      </c>
      <c r="H550" s="21" t="s">
        <v>280</v>
      </c>
      <c r="I550" s="21" t="s">
        <v>454</v>
      </c>
    </row>
    <row r="551" spans="1:9" x14ac:dyDescent="0.25">
      <c r="A551" s="21" t="s">
        <v>462</v>
      </c>
      <c r="B551">
        <v>55</v>
      </c>
      <c r="C551" s="21" t="s">
        <v>319</v>
      </c>
      <c r="D551" s="21" t="s">
        <v>44</v>
      </c>
      <c r="E551">
        <v>281</v>
      </c>
      <c r="F551">
        <v>24</v>
      </c>
      <c r="G551" s="21" t="s">
        <v>30</v>
      </c>
      <c r="H551" s="21" t="s">
        <v>282</v>
      </c>
      <c r="I551" s="21" t="s">
        <v>454</v>
      </c>
    </row>
    <row r="552" spans="1:9" x14ac:dyDescent="0.25">
      <c r="A552" s="21" t="s">
        <v>463</v>
      </c>
      <c r="B552">
        <v>2</v>
      </c>
      <c r="C552" s="21" t="s">
        <v>76</v>
      </c>
      <c r="D552" s="21" t="s">
        <v>125</v>
      </c>
      <c r="E552">
        <v>183</v>
      </c>
      <c r="F552">
        <v>25</v>
      </c>
      <c r="G552" s="21" t="s">
        <v>12</v>
      </c>
      <c r="H552" s="21" t="s">
        <v>269</v>
      </c>
      <c r="I552" s="21" t="s">
        <v>454</v>
      </c>
    </row>
    <row r="553" spans="1:9" x14ac:dyDescent="0.25">
      <c r="A553" s="21" t="s">
        <v>464</v>
      </c>
      <c r="B553">
        <v>71</v>
      </c>
      <c r="C553" s="21" t="s">
        <v>277</v>
      </c>
      <c r="D553" s="21" t="s">
        <v>35</v>
      </c>
      <c r="E553">
        <v>302</v>
      </c>
      <c r="F553">
        <v>25</v>
      </c>
      <c r="G553" s="21" t="s">
        <v>16</v>
      </c>
      <c r="H553" s="21" t="s">
        <v>3251</v>
      </c>
      <c r="I553" s="21" t="s">
        <v>454</v>
      </c>
    </row>
    <row r="554" spans="1:9" x14ac:dyDescent="0.25">
      <c r="A554" s="21" t="s">
        <v>465</v>
      </c>
      <c r="B554">
        <v>47</v>
      </c>
      <c r="C554" s="21" t="s">
        <v>48</v>
      </c>
      <c r="D554" s="21" t="s">
        <v>52</v>
      </c>
      <c r="E554">
        <v>205</v>
      </c>
      <c r="F554">
        <v>21</v>
      </c>
      <c r="G554" s="21" t="s">
        <v>25</v>
      </c>
      <c r="H554" s="21" t="s">
        <v>466</v>
      </c>
      <c r="I554" s="21" t="s">
        <v>454</v>
      </c>
    </row>
    <row r="555" spans="1:9" x14ac:dyDescent="0.25">
      <c r="A555" s="21" t="s">
        <v>467</v>
      </c>
      <c r="B555">
        <v>43</v>
      </c>
      <c r="C555" s="21" t="s">
        <v>15</v>
      </c>
      <c r="D555" s="21" t="s">
        <v>52</v>
      </c>
      <c r="E555">
        <v>224</v>
      </c>
      <c r="F555">
        <v>23</v>
      </c>
      <c r="G555" s="21" t="s">
        <v>25</v>
      </c>
      <c r="H555" s="21" t="s">
        <v>87</v>
      </c>
      <c r="I555" s="21" t="s">
        <v>454</v>
      </c>
    </row>
    <row r="556" spans="1:9" x14ac:dyDescent="0.25">
      <c r="A556" s="21" t="s">
        <v>468</v>
      </c>
      <c r="B556">
        <v>35</v>
      </c>
      <c r="C556" s="21" t="s">
        <v>51</v>
      </c>
      <c r="D556" s="21" t="s">
        <v>135</v>
      </c>
      <c r="E556">
        <v>190</v>
      </c>
      <c r="F556">
        <v>24</v>
      </c>
      <c r="G556" s="21" t="s">
        <v>25</v>
      </c>
      <c r="H556" s="21" t="s">
        <v>357</v>
      </c>
      <c r="I556" s="21" t="s">
        <v>454</v>
      </c>
    </row>
    <row r="557" spans="1:9" x14ac:dyDescent="0.25">
      <c r="A557" s="21" t="s">
        <v>469</v>
      </c>
      <c r="B557">
        <v>65</v>
      </c>
      <c r="C557" s="21" t="s">
        <v>277</v>
      </c>
      <c r="D557" s="21" t="s">
        <v>67</v>
      </c>
      <c r="E557">
        <v>313</v>
      </c>
      <c r="F557">
        <v>27</v>
      </c>
      <c r="G557" s="21" t="s">
        <v>45</v>
      </c>
      <c r="H557" s="21" t="s">
        <v>117</v>
      </c>
      <c r="I557" s="21" t="s">
        <v>454</v>
      </c>
    </row>
    <row r="558" spans="1:9" x14ac:dyDescent="0.25">
      <c r="A558" s="21" t="s">
        <v>470</v>
      </c>
      <c r="B558">
        <v>98</v>
      </c>
      <c r="C558" s="21" t="s">
        <v>114</v>
      </c>
      <c r="D558" s="21" t="s">
        <v>24</v>
      </c>
      <c r="E558">
        <v>290</v>
      </c>
      <c r="G558" s="21" t="s">
        <v>25</v>
      </c>
      <c r="H558" s="21" t="s">
        <v>471</v>
      </c>
      <c r="I558" s="21" t="s">
        <v>454</v>
      </c>
    </row>
    <row r="559" spans="1:9" x14ac:dyDescent="0.25">
      <c r="A559" s="21" t="s">
        <v>472</v>
      </c>
      <c r="B559">
        <v>79</v>
      </c>
      <c r="C559" s="21" t="s">
        <v>140</v>
      </c>
      <c r="D559" s="21" t="s">
        <v>141</v>
      </c>
      <c r="E559">
        <v>311</v>
      </c>
      <c r="F559">
        <v>24</v>
      </c>
      <c r="G559" s="21" t="s">
        <v>30</v>
      </c>
      <c r="H559" s="21" t="s">
        <v>473</v>
      </c>
      <c r="I559" s="21" t="s">
        <v>454</v>
      </c>
    </row>
    <row r="560" spans="1:9" x14ac:dyDescent="0.25">
      <c r="A560" s="21" t="s">
        <v>474</v>
      </c>
      <c r="B560">
        <v>93</v>
      </c>
      <c r="C560" s="21" t="s">
        <v>114</v>
      </c>
      <c r="D560" s="21" t="s">
        <v>24</v>
      </c>
      <c r="E560">
        <v>305</v>
      </c>
      <c r="F560">
        <v>28</v>
      </c>
      <c r="G560" s="21" t="s">
        <v>83</v>
      </c>
      <c r="H560" s="21" t="s">
        <v>17</v>
      </c>
      <c r="I560" s="21" t="s">
        <v>454</v>
      </c>
    </row>
    <row r="561" spans="1:9" x14ac:dyDescent="0.25">
      <c r="A561" s="21" t="s">
        <v>475</v>
      </c>
      <c r="B561">
        <v>66</v>
      </c>
      <c r="C561" s="21" t="s">
        <v>277</v>
      </c>
      <c r="D561" s="21" t="s">
        <v>29</v>
      </c>
      <c r="E561">
        <v>300</v>
      </c>
      <c r="F561">
        <v>23</v>
      </c>
      <c r="G561" s="21" t="s">
        <v>83</v>
      </c>
      <c r="H561" s="21" t="s">
        <v>33</v>
      </c>
      <c r="I561" s="21" t="s">
        <v>454</v>
      </c>
    </row>
    <row r="562" spans="1:9" x14ac:dyDescent="0.25">
      <c r="A562" s="21" t="s">
        <v>476</v>
      </c>
      <c r="B562">
        <v>28</v>
      </c>
      <c r="C562" s="21" t="s">
        <v>51</v>
      </c>
      <c r="D562" s="21" t="s">
        <v>54</v>
      </c>
      <c r="E562">
        <v>190</v>
      </c>
      <c r="F562">
        <v>22</v>
      </c>
      <c r="G562" s="21" t="s">
        <v>25</v>
      </c>
      <c r="H562" s="21" t="s">
        <v>196</v>
      </c>
      <c r="I562" s="21" t="s">
        <v>454</v>
      </c>
    </row>
    <row r="563" spans="1:9" x14ac:dyDescent="0.25">
      <c r="A563" s="21" t="s">
        <v>477</v>
      </c>
      <c r="B563">
        <v>80</v>
      </c>
      <c r="C563" s="21" t="s">
        <v>10</v>
      </c>
      <c r="D563" s="21" t="s">
        <v>135</v>
      </c>
      <c r="E563">
        <v>177</v>
      </c>
      <c r="F563">
        <v>29</v>
      </c>
      <c r="G563" s="21" t="s">
        <v>21</v>
      </c>
      <c r="H563" s="21" t="s">
        <v>347</v>
      </c>
      <c r="I563" s="21" t="s">
        <v>454</v>
      </c>
    </row>
    <row r="564" spans="1:9" x14ac:dyDescent="0.25">
      <c r="A564" s="21" t="s">
        <v>478</v>
      </c>
      <c r="B564">
        <v>13</v>
      </c>
      <c r="C564" s="21" t="s">
        <v>10</v>
      </c>
      <c r="D564" s="21" t="s">
        <v>24</v>
      </c>
      <c r="E564">
        <v>210</v>
      </c>
      <c r="F564">
        <v>23</v>
      </c>
      <c r="G564" s="21" t="s">
        <v>12</v>
      </c>
      <c r="H564" s="21" t="s">
        <v>3252</v>
      </c>
      <c r="I564" s="21" t="s">
        <v>454</v>
      </c>
    </row>
    <row r="565" spans="1:9" x14ac:dyDescent="0.25">
      <c r="A565" s="21" t="s">
        <v>479</v>
      </c>
      <c r="B565">
        <v>73</v>
      </c>
      <c r="C565" s="21" t="s">
        <v>140</v>
      </c>
      <c r="D565" s="21" t="s">
        <v>29</v>
      </c>
      <c r="E565">
        <v>320</v>
      </c>
      <c r="F565">
        <v>28</v>
      </c>
      <c r="G565" s="21" t="s">
        <v>38</v>
      </c>
      <c r="H565" s="21" t="s">
        <v>256</v>
      </c>
      <c r="I565" s="21" t="s">
        <v>454</v>
      </c>
    </row>
    <row r="566" spans="1:9" x14ac:dyDescent="0.25">
      <c r="A566" s="21" t="s">
        <v>480</v>
      </c>
      <c r="B566">
        <v>14</v>
      </c>
      <c r="C566" s="21" t="s">
        <v>10</v>
      </c>
      <c r="D566" s="21" t="s">
        <v>11</v>
      </c>
      <c r="E566">
        <v>191</v>
      </c>
      <c r="F566">
        <v>28</v>
      </c>
      <c r="G566" s="21" t="s">
        <v>21</v>
      </c>
      <c r="H566" s="21" t="s">
        <v>481</v>
      </c>
      <c r="I566" s="21" t="s">
        <v>454</v>
      </c>
    </row>
    <row r="567" spans="1:9" x14ac:dyDescent="0.25">
      <c r="A567" s="21" t="s">
        <v>482</v>
      </c>
      <c r="B567">
        <v>53</v>
      </c>
      <c r="C567" s="21" t="s">
        <v>15</v>
      </c>
      <c r="D567" s="21" t="s">
        <v>11</v>
      </c>
      <c r="E567">
        <v>237</v>
      </c>
      <c r="F567">
        <v>24</v>
      </c>
      <c r="G567" s="21" t="s">
        <v>12</v>
      </c>
      <c r="H567" s="21" t="s">
        <v>152</v>
      </c>
      <c r="I567" s="21" t="s">
        <v>454</v>
      </c>
    </row>
    <row r="568" spans="1:9" x14ac:dyDescent="0.25">
      <c r="A568" s="21" t="s">
        <v>483</v>
      </c>
      <c r="B568">
        <v>72</v>
      </c>
      <c r="C568" s="21" t="s">
        <v>140</v>
      </c>
      <c r="D568" s="21" t="s">
        <v>141</v>
      </c>
      <c r="E568">
        <v>320</v>
      </c>
      <c r="F568">
        <v>24</v>
      </c>
      <c r="G568" s="21" t="s">
        <v>30</v>
      </c>
      <c r="H568" s="21" t="s">
        <v>484</v>
      </c>
      <c r="I568" s="21" t="s">
        <v>454</v>
      </c>
    </row>
    <row r="569" spans="1:9" x14ac:dyDescent="0.25">
      <c r="A569" s="21" t="s">
        <v>485</v>
      </c>
      <c r="B569">
        <v>49</v>
      </c>
      <c r="C569" s="21" t="s">
        <v>15</v>
      </c>
      <c r="D569" s="21" t="s">
        <v>29</v>
      </c>
      <c r="E569">
        <v>250</v>
      </c>
      <c r="F569">
        <v>24</v>
      </c>
      <c r="G569" s="21" t="s">
        <v>45</v>
      </c>
      <c r="H569" s="21" t="s">
        <v>357</v>
      </c>
      <c r="I569" s="21" t="s">
        <v>454</v>
      </c>
    </row>
    <row r="570" spans="1:9" x14ac:dyDescent="0.25">
      <c r="A570" s="21" t="s">
        <v>486</v>
      </c>
      <c r="B570">
        <v>24</v>
      </c>
      <c r="C570" s="21" t="s">
        <v>48</v>
      </c>
      <c r="D570" s="21" t="s">
        <v>52</v>
      </c>
      <c r="E570">
        <v>191</v>
      </c>
      <c r="F570">
        <v>21</v>
      </c>
      <c r="G570" s="21" t="s">
        <v>25</v>
      </c>
      <c r="H570" s="21" t="s">
        <v>251</v>
      </c>
      <c r="I570" s="21" t="s">
        <v>454</v>
      </c>
    </row>
    <row r="571" spans="1:9" x14ac:dyDescent="0.25">
      <c r="A571" s="21" t="s">
        <v>487</v>
      </c>
      <c r="B571">
        <v>94</v>
      </c>
      <c r="C571" s="21" t="s">
        <v>114</v>
      </c>
      <c r="D571" s="21" t="s">
        <v>24</v>
      </c>
      <c r="E571">
        <v>300</v>
      </c>
      <c r="G571" s="21" t="s">
        <v>25</v>
      </c>
      <c r="H571" s="21" t="s">
        <v>1738</v>
      </c>
      <c r="I571" s="21" t="s">
        <v>454</v>
      </c>
    </row>
    <row r="572" spans="1:9" x14ac:dyDescent="0.25">
      <c r="A572" s="21" t="s">
        <v>488</v>
      </c>
      <c r="B572">
        <v>57</v>
      </c>
      <c r="C572" s="21" t="s">
        <v>319</v>
      </c>
      <c r="D572" s="21" t="s">
        <v>67</v>
      </c>
      <c r="E572">
        <v>260</v>
      </c>
      <c r="F572">
        <v>23</v>
      </c>
      <c r="G572" s="21" t="s">
        <v>12</v>
      </c>
      <c r="H572" s="21" t="s">
        <v>117</v>
      </c>
      <c r="I572" s="21" t="s">
        <v>454</v>
      </c>
    </row>
    <row r="573" spans="1:9" x14ac:dyDescent="0.25">
      <c r="A573" s="21" t="s">
        <v>489</v>
      </c>
      <c r="B573">
        <v>69</v>
      </c>
      <c r="C573" s="21" t="s">
        <v>158</v>
      </c>
      <c r="D573" s="21" t="s">
        <v>24</v>
      </c>
      <c r="E573">
        <v>235</v>
      </c>
      <c r="F573">
        <v>28</v>
      </c>
      <c r="G573" s="21" t="s">
        <v>38</v>
      </c>
      <c r="H573" s="21" t="s">
        <v>267</v>
      </c>
      <c r="I573" s="21" t="s">
        <v>454</v>
      </c>
    </row>
    <row r="574" spans="1:9" x14ac:dyDescent="0.25">
      <c r="A574" s="21" t="s">
        <v>490</v>
      </c>
      <c r="B574">
        <v>74</v>
      </c>
      <c r="C574" s="21" t="s">
        <v>277</v>
      </c>
      <c r="D574" s="21" t="s">
        <v>44</v>
      </c>
      <c r="E574">
        <v>329</v>
      </c>
      <c r="F574">
        <v>25</v>
      </c>
      <c r="G574" s="21" t="s">
        <v>16</v>
      </c>
      <c r="H574" s="21" t="s">
        <v>187</v>
      </c>
      <c r="I574" s="21" t="s">
        <v>454</v>
      </c>
    </row>
    <row r="575" spans="1:9" x14ac:dyDescent="0.25">
      <c r="A575" s="21" t="s">
        <v>491</v>
      </c>
      <c r="B575">
        <v>32</v>
      </c>
      <c r="C575" s="21" t="s">
        <v>48</v>
      </c>
      <c r="D575" s="21" t="s">
        <v>52</v>
      </c>
      <c r="E575">
        <v>180</v>
      </c>
      <c r="G575" s="21" t="s">
        <v>25</v>
      </c>
      <c r="H575" s="21" t="s">
        <v>352</v>
      </c>
      <c r="I575" s="21" t="s">
        <v>454</v>
      </c>
    </row>
    <row r="576" spans="1:9" x14ac:dyDescent="0.25">
      <c r="A576" s="21" t="s">
        <v>492</v>
      </c>
      <c r="B576">
        <v>87</v>
      </c>
      <c r="C576" s="21" t="s">
        <v>10</v>
      </c>
      <c r="D576" s="21" t="s">
        <v>24</v>
      </c>
      <c r="E576">
        <v>209</v>
      </c>
      <c r="F576">
        <v>27</v>
      </c>
      <c r="G576" s="21" t="s">
        <v>83</v>
      </c>
      <c r="H576" s="21" t="s">
        <v>456</v>
      </c>
      <c r="I576" s="21" t="s">
        <v>454</v>
      </c>
    </row>
    <row r="577" spans="1:9" x14ac:dyDescent="0.25">
      <c r="A577" s="21" t="s">
        <v>493</v>
      </c>
      <c r="B577">
        <v>42</v>
      </c>
      <c r="C577" s="21" t="s">
        <v>15</v>
      </c>
      <c r="D577" s="21" t="s">
        <v>24</v>
      </c>
      <c r="E577">
        <v>240</v>
      </c>
      <c r="F577">
        <v>25</v>
      </c>
      <c r="G577" s="21" t="s">
        <v>30</v>
      </c>
      <c r="H577" s="21" t="s">
        <v>347</v>
      </c>
      <c r="I577" s="21" t="s">
        <v>454</v>
      </c>
    </row>
    <row r="578" spans="1:9" x14ac:dyDescent="0.25">
      <c r="A578" s="21" t="s">
        <v>494</v>
      </c>
      <c r="B578">
        <v>41</v>
      </c>
      <c r="C578" s="21" t="s">
        <v>91</v>
      </c>
      <c r="D578" s="21" t="s">
        <v>11</v>
      </c>
      <c r="E578">
        <v>244</v>
      </c>
      <c r="F578">
        <v>24</v>
      </c>
      <c r="G578" s="21" t="s">
        <v>12</v>
      </c>
      <c r="H578" s="21" t="s">
        <v>93</v>
      </c>
      <c r="I578" s="21" t="s">
        <v>454</v>
      </c>
    </row>
    <row r="579" spans="1:9" x14ac:dyDescent="0.25">
      <c r="A579" s="21" t="s">
        <v>495</v>
      </c>
      <c r="B579">
        <v>37</v>
      </c>
      <c r="C579" s="21" t="s">
        <v>48</v>
      </c>
      <c r="D579" s="21" t="s">
        <v>11</v>
      </c>
      <c r="E579">
        <v>175</v>
      </c>
      <c r="F579">
        <v>23</v>
      </c>
      <c r="G579" s="21" t="s">
        <v>83</v>
      </c>
      <c r="H579" s="21" t="s">
        <v>280</v>
      </c>
      <c r="I579" s="21" t="s">
        <v>454</v>
      </c>
    </row>
    <row r="580" spans="1:9" x14ac:dyDescent="0.25">
      <c r="A580" s="21" t="s">
        <v>496</v>
      </c>
      <c r="B580">
        <v>3</v>
      </c>
      <c r="C580" s="21" t="s">
        <v>193</v>
      </c>
      <c r="D580" s="21" t="s">
        <v>11</v>
      </c>
      <c r="E580">
        <v>205</v>
      </c>
      <c r="F580">
        <v>28</v>
      </c>
      <c r="G580" s="21" t="s">
        <v>38</v>
      </c>
      <c r="H580" s="21" t="s">
        <v>13</v>
      </c>
      <c r="I580" s="21" t="s">
        <v>454</v>
      </c>
    </row>
    <row r="581" spans="1:9" x14ac:dyDescent="0.25">
      <c r="A581" s="21" t="s">
        <v>497</v>
      </c>
      <c r="B581">
        <v>31</v>
      </c>
      <c r="C581" s="21" t="s">
        <v>89</v>
      </c>
      <c r="D581" s="21" t="s">
        <v>11</v>
      </c>
      <c r="E581">
        <v>200</v>
      </c>
      <c r="F581">
        <v>24</v>
      </c>
      <c r="G581" s="21" t="s">
        <v>30</v>
      </c>
      <c r="H581" s="21" t="s">
        <v>128</v>
      </c>
      <c r="I581" s="21" t="s">
        <v>454</v>
      </c>
    </row>
    <row r="582" spans="1:9" x14ac:dyDescent="0.25">
      <c r="A582" s="21" t="s">
        <v>498</v>
      </c>
      <c r="B582">
        <v>29</v>
      </c>
      <c r="C582" s="21" t="s">
        <v>48</v>
      </c>
      <c r="D582" s="21" t="s">
        <v>52</v>
      </c>
      <c r="E582">
        <v>205</v>
      </c>
      <c r="F582">
        <v>26</v>
      </c>
      <c r="G582" s="21" t="s">
        <v>30</v>
      </c>
      <c r="H582" s="21" t="s">
        <v>333</v>
      </c>
      <c r="I582" s="21" t="s">
        <v>454</v>
      </c>
    </row>
    <row r="583" spans="1:9" x14ac:dyDescent="0.25">
      <c r="A583" s="21" t="s">
        <v>499</v>
      </c>
      <c r="B583">
        <v>68</v>
      </c>
      <c r="C583" s="21" t="s">
        <v>140</v>
      </c>
      <c r="D583" s="21" t="s">
        <v>29</v>
      </c>
      <c r="E583">
        <v>310</v>
      </c>
      <c r="F583">
        <v>27</v>
      </c>
      <c r="G583" s="21" t="s">
        <v>21</v>
      </c>
      <c r="H583" s="21" t="s">
        <v>241</v>
      </c>
      <c r="I583" s="21" t="s">
        <v>454</v>
      </c>
    </row>
    <row r="584" spans="1:9" x14ac:dyDescent="0.25">
      <c r="A584" s="21" t="s">
        <v>500</v>
      </c>
      <c r="B584">
        <v>16</v>
      </c>
      <c r="C584" s="21" t="s">
        <v>10</v>
      </c>
      <c r="D584" s="21" t="s">
        <v>44</v>
      </c>
      <c r="E584">
        <v>201</v>
      </c>
      <c r="F584">
        <v>23</v>
      </c>
      <c r="G584" s="21" t="s">
        <v>30</v>
      </c>
      <c r="H584" s="21" t="s">
        <v>374</v>
      </c>
      <c r="I584" s="21" t="s">
        <v>454</v>
      </c>
    </row>
    <row r="585" spans="1:9" x14ac:dyDescent="0.25">
      <c r="A585" s="21" t="s">
        <v>501</v>
      </c>
      <c r="B585">
        <v>8</v>
      </c>
      <c r="C585" s="21" t="s">
        <v>57</v>
      </c>
      <c r="D585" s="21" t="s">
        <v>67</v>
      </c>
      <c r="E585">
        <v>251</v>
      </c>
      <c r="F585">
        <v>27</v>
      </c>
      <c r="G585" s="21" t="s">
        <v>38</v>
      </c>
      <c r="H585" s="21" t="s">
        <v>233</v>
      </c>
      <c r="I585" s="21" t="s">
        <v>454</v>
      </c>
    </row>
    <row r="586" spans="1:9" x14ac:dyDescent="0.25">
      <c r="A586" s="21" t="s">
        <v>502</v>
      </c>
      <c r="B586">
        <v>23</v>
      </c>
      <c r="C586" s="21" t="s">
        <v>89</v>
      </c>
      <c r="D586" s="21" t="s">
        <v>11</v>
      </c>
      <c r="E586">
        <v>197</v>
      </c>
      <c r="F586">
        <v>31</v>
      </c>
      <c r="G586" s="21" t="s">
        <v>111</v>
      </c>
      <c r="H586" s="21" t="s">
        <v>117</v>
      </c>
      <c r="I586" s="21" t="s">
        <v>454</v>
      </c>
    </row>
    <row r="587" spans="1:9" x14ac:dyDescent="0.25">
      <c r="A587" s="21" t="s">
        <v>503</v>
      </c>
      <c r="B587">
        <v>46</v>
      </c>
      <c r="C587" s="21" t="s">
        <v>48</v>
      </c>
      <c r="D587" s="21" t="s">
        <v>24</v>
      </c>
      <c r="E587">
        <v>190</v>
      </c>
      <c r="G587" s="21" t="s">
        <v>25</v>
      </c>
      <c r="H587" s="21" t="s">
        <v>504</v>
      </c>
      <c r="I587" s="21" t="s">
        <v>454</v>
      </c>
    </row>
    <row r="588" spans="1:9" x14ac:dyDescent="0.25">
      <c r="A588" s="21" t="s">
        <v>505</v>
      </c>
      <c r="B588">
        <v>30</v>
      </c>
      <c r="C588" s="21" t="s">
        <v>48</v>
      </c>
      <c r="D588" s="21" t="s">
        <v>54</v>
      </c>
      <c r="E588">
        <v>180</v>
      </c>
      <c r="F588">
        <v>25</v>
      </c>
      <c r="G588" s="21" t="s">
        <v>12</v>
      </c>
      <c r="H588" s="21" t="s">
        <v>128</v>
      </c>
      <c r="I588" s="21" t="s">
        <v>454</v>
      </c>
    </row>
    <row r="589" spans="1:9" x14ac:dyDescent="0.25">
      <c r="A589" s="21" t="s">
        <v>506</v>
      </c>
      <c r="B589">
        <v>4</v>
      </c>
      <c r="C589" s="21" t="s">
        <v>89</v>
      </c>
      <c r="D589" s="21" t="s">
        <v>125</v>
      </c>
      <c r="E589">
        <v>191</v>
      </c>
      <c r="F589">
        <v>26</v>
      </c>
      <c r="G589" s="21" t="s">
        <v>16</v>
      </c>
      <c r="H589" s="21" t="s">
        <v>385</v>
      </c>
      <c r="I589" s="21" t="s">
        <v>454</v>
      </c>
    </row>
    <row r="590" spans="1:9" x14ac:dyDescent="0.25">
      <c r="A590" s="21" t="s">
        <v>507</v>
      </c>
      <c r="B590">
        <v>22</v>
      </c>
      <c r="C590" s="21" t="s">
        <v>51</v>
      </c>
      <c r="D590" s="21" t="s">
        <v>135</v>
      </c>
      <c r="E590">
        <v>210</v>
      </c>
      <c r="F590">
        <v>28</v>
      </c>
      <c r="G590" s="21" t="s">
        <v>21</v>
      </c>
      <c r="H590" s="21" t="s">
        <v>385</v>
      </c>
      <c r="I590" s="21" t="s">
        <v>454</v>
      </c>
    </row>
    <row r="591" spans="1:9" x14ac:dyDescent="0.25">
      <c r="A591" s="21" t="s">
        <v>508</v>
      </c>
      <c r="B591">
        <v>7</v>
      </c>
      <c r="C591" s="21" t="s">
        <v>48</v>
      </c>
      <c r="D591" s="21" t="s">
        <v>54</v>
      </c>
      <c r="E591">
        <v>192</v>
      </c>
      <c r="F591">
        <v>26</v>
      </c>
      <c r="G591" s="21" t="s">
        <v>45</v>
      </c>
      <c r="H591" s="21" t="s">
        <v>509</v>
      </c>
      <c r="I591" s="21" t="s">
        <v>454</v>
      </c>
    </row>
    <row r="592" spans="1:9" x14ac:dyDescent="0.25">
      <c r="A592" s="21" t="s">
        <v>510</v>
      </c>
      <c r="B592">
        <v>59</v>
      </c>
      <c r="C592" s="21" t="s">
        <v>319</v>
      </c>
      <c r="D592" s="21" t="s">
        <v>35</v>
      </c>
      <c r="E592">
        <v>260</v>
      </c>
      <c r="F592">
        <v>24</v>
      </c>
      <c r="G592" s="21" t="s">
        <v>25</v>
      </c>
      <c r="H592" s="21" t="s">
        <v>355</v>
      </c>
      <c r="I592" s="21" t="s">
        <v>454</v>
      </c>
    </row>
    <row r="593" spans="1:9" x14ac:dyDescent="0.25">
      <c r="A593" s="21" t="s">
        <v>511</v>
      </c>
      <c r="B593">
        <v>92</v>
      </c>
      <c r="C593" s="21" t="s">
        <v>114</v>
      </c>
      <c r="D593" s="21" t="s">
        <v>35</v>
      </c>
      <c r="E593">
        <v>320</v>
      </c>
      <c r="F593">
        <v>30</v>
      </c>
      <c r="G593" s="21" t="s">
        <v>64</v>
      </c>
      <c r="H593" s="21" t="s">
        <v>3251</v>
      </c>
      <c r="I593" s="21" t="s">
        <v>454</v>
      </c>
    </row>
    <row r="594" spans="1:9" x14ac:dyDescent="0.25">
      <c r="A594" s="21" t="s">
        <v>512</v>
      </c>
      <c r="B594">
        <v>25</v>
      </c>
      <c r="C594" s="21" t="s">
        <v>51</v>
      </c>
      <c r="D594" s="21" t="s">
        <v>11</v>
      </c>
      <c r="E594">
        <v>195</v>
      </c>
      <c r="F594">
        <v>34</v>
      </c>
      <c r="G594" s="21" t="s">
        <v>186</v>
      </c>
      <c r="H594" s="21" t="s">
        <v>60</v>
      </c>
      <c r="I594" s="21" t="s">
        <v>454</v>
      </c>
    </row>
    <row r="595" spans="1:9" x14ac:dyDescent="0.25">
      <c r="A595" s="21" t="s">
        <v>513</v>
      </c>
      <c r="B595">
        <v>18</v>
      </c>
      <c r="C595" s="21" t="s">
        <v>70</v>
      </c>
      <c r="D595" s="21" t="s">
        <v>52</v>
      </c>
      <c r="E595">
        <v>215</v>
      </c>
      <c r="F595">
        <v>34</v>
      </c>
      <c r="G595" s="21" t="s">
        <v>111</v>
      </c>
      <c r="H595" s="21" t="s">
        <v>320</v>
      </c>
      <c r="I595" s="21" t="s">
        <v>454</v>
      </c>
    </row>
    <row r="596" spans="1:9" x14ac:dyDescent="0.25">
      <c r="A596" s="21" t="s">
        <v>514</v>
      </c>
      <c r="B596">
        <v>63</v>
      </c>
      <c r="C596" s="21" t="s">
        <v>140</v>
      </c>
      <c r="D596" s="21" t="s">
        <v>29</v>
      </c>
      <c r="E596">
        <v>310</v>
      </c>
      <c r="G596" s="21" t="s">
        <v>25</v>
      </c>
      <c r="H596" s="21" t="s">
        <v>109</v>
      </c>
      <c r="I596" s="21" t="s">
        <v>454</v>
      </c>
    </row>
    <row r="597" spans="1:9" x14ac:dyDescent="0.25">
      <c r="A597" s="21" t="s">
        <v>515</v>
      </c>
      <c r="B597">
        <v>88</v>
      </c>
      <c r="C597" s="21" t="s">
        <v>57</v>
      </c>
      <c r="D597" s="21" t="s">
        <v>35</v>
      </c>
      <c r="E597">
        <v>254</v>
      </c>
      <c r="F597">
        <v>25</v>
      </c>
      <c r="G597" s="21" t="s">
        <v>16</v>
      </c>
      <c r="H597" s="21" t="s">
        <v>516</v>
      </c>
      <c r="I597" s="21" t="s">
        <v>454</v>
      </c>
    </row>
    <row r="598" spans="1:9" x14ac:dyDescent="0.25">
      <c r="A598" s="21" t="s">
        <v>517</v>
      </c>
      <c r="B598">
        <v>15</v>
      </c>
      <c r="C598" s="21" t="s">
        <v>10</v>
      </c>
      <c r="D598" s="21" t="s">
        <v>35</v>
      </c>
      <c r="E598">
        <v>209</v>
      </c>
      <c r="F598">
        <v>30</v>
      </c>
      <c r="G598" s="21" t="s">
        <v>45</v>
      </c>
      <c r="H598" s="21" t="s">
        <v>1802</v>
      </c>
      <c r="I598" s="21" t="s">
        <v>454</v>
      </c>
    </row>
    <row r="599" spans="1:9" x14ac:dyDescent="0.25">
      <c r="A599" s="21" t="s">
        <v>518</v>
      </c>
      <c r="B599">
        <v>90</v>
      </c>
      <c r="C599" s="21" t="s">
        <v>319</v>
      </c>
      <c r="D599" s="21" t="s">
        <v>44</v>
      </c>
      <c r="E599">
        <v>265</v>
      </c>
      <c r="F599">
        <v>28</v>
      </c>
      <c r="G599" s="21" t="s">
        <v>100</v>
      </c>
      <c r="H599" s="21" t="s">
        <v>136</v>
      </c>
      <c r="I599" s="21" t="s">
        <v>454</v>
      </c>
    </row>
    <row r="600" spans="1:9" x14ac:dyDescent="0.25">
      <c r="A600" s="21" t="s">
        <v>519</v>
      </c>
      <c r="B600">
        <v>52</v>
      </c>
      <c r="C600" s="21" t="s">
        <v>15</v>
      </c>
      <c r="D600" s="21" t="s">
        <v>44</v>
      </c>
      <c r="E600">
        <v>235</v>
      </c>
      <c r="F600">
        <v>26</v>
      </c>
      <c r="G600" s="21" t="s">
        <v>12</v>
      </c>
      <c r="H600" s="21" t="s">
        <v>282</v>
      </c>
      <c r="I600" s="21" t="s">
        <v>454</v>
      </c>
    </row>
    <row r="601" spans="1:9" x14ac:dyDescent="0.25">
      <c r="A601" s="21" t="s">
        <v>520</v>
      </c>
      <c r="B601">
        <v>39</v>
      </c>
      <c r="C601" s="21" t="s">
        <v>48</v>
      </c>
      <c r="D601" s="21" t="s">
        <v>135</v>
      </c>
      <c r="E601">
        <v>183</v>
      </c>
      <c r="F601">
        <v>25</v>
      </c>
      <c r="G601" s="21" t="s">
        <v>12</v>
      </c>
      <c r="H601" s="21" t="s">
        <v>504</v>
      </c>
      <c r="I601" s="21" t="s">
        <v>454</v>
      </c>
    </row>
    <row r="602" spans="1:9" x14ac:dyDescent="0.25">
      <c r="A602" s="21" t="s">
        <v>521</v>
      </c>
      <c r="B602">
        <v>56</v>
      </c>
      <c r="C602" s="21" t="s">
        <v>319</v>
      </c>
      <c r="D602" s="21" t="s">
        <v>44</v>
      </c>
      <c r="E602">
        <v>255</v>
      </c>
      <c r="F602">
        <v>28</v>
      </c>
      <c r="G602" s="21" t="s">
        <v>30</v>
      </c>
      <c r="H602" s="21" t="s">
        <v>522</v>
      </c>
      <c r="I602" s="21" t="s">
        <v>454</v>
      </c>
    </row>
    <row r="603" spans="1:9" x14ac:dyDescent="0.25">
      <c r="A603" s="21" t="s">
        <v>523</v>
      </c>
      <c r="B603">
        <v>62</v>
      </c>
      <c r="C603" s="21" t="s">
        <v>28</v>
      </c>
      <c r="D603" s="21" t="s">
        <v>35</v>
      </c>
      <c r="E603">
        <v>302</v>
      </c>
      <c r="F603">
        <v>30</v>
      </c>
      <c r="G603" s="21" t="s">
        <v>100</v>
      </c>
      <c r="H603" s="21" t="s">
        <v>93</v>
      </c>
      <c r="I603" s="21" t="s">
        <v>454</v>
      </c>
    </row>
    <row r="604" spans="1:9" x14ac:dyDescent="0.25">
      <c r="A604" s="21" t="s">
        <v>524</v>
      </c>
      <c r="B604">
        <v>44</v>
      </c>
      <c r="C604" s="21" t="s">
        <v>15</v>
      </c>
      <c r="D604" s="21" t="s">
        <v>52</v>
      </c>
      <c r="E604">
        <v>235</v>
      </c>
      <c r="F604">
        <v>29</v>
      </c>
      <c r="G604" s="21" t="s">
        <v>100</v>
      </c>
      <c r="H604" s="21" t="s">
        <v>256</v>
      </c>
      <c r="I604" s="21" t="s">
        <v>454</v>
      </c>
    </row>
    <row r="605" spans="1:9" x14ac:dyDescent="0.25">
      <c r="A605" s="21" t="s">
        <v>525</v>
      </c>
      <c r="B605">
        <v>38</v>
      </c>
      <c r="C605" s="21" t="s">
        <v>48</v>
      </c>
      <c r="D605" s="21" t="s">
        <v>11</v>
      </c>
      <c r="E605">
        <v>193</v>
      </c>
      <c r="F605">
        <v>24</v>
      </c>
      <c r="G605" s="21" t="s">
        <v>30</v>
      </c>
      <c r="H605" s="21" t="s">
        <v>31</v>
      </c>
      <c r="I605" s="21" t="s">
        <v>454</v>
      </c>
    </row>
    <row r="606" spans="1:9" x14ac:dyDescent="0.25">
      <c r="A606" s="21" t="s">
        <v>526</v>
      </c>
      <c r="B606">
        <v>6</v>
      </c>
      <c r="C606" s="21" t="s">
        <v>10</v>
      </c>
      <c r="D606" s="21" t="s">
        <v>86</v>
      </c>
      <c r="E606">
        <v>173</v>
      </c>
      <c r="F606">
        <v>27</v>
      </c>
      <c r="G606" s="21" t="s">
        <v>38</v>
      </c>
      <c r="H606" s="21" t="s">
        <v>196</v>
      </c>
      <c r="I606" s="21" t="s">
        <v>454</v>
      </c>
    </row>
    <row r="607" spans="1:9" x14ac:dyDescent="0.25">
      <c r="A607" s="21" t="s">
        <v>527</v>
      </c>
      <c r="B607">
        <v>58</v>
      </c>
      <c r="C607" s="21" t="s">
        <v>15</v>
      </c>
      <c r="D607" s="21" t="s">
        <v>11</v>
      </c>
      <c r="E607">
        <v>223</v>
      </c>
      <c r="F607">
        <v>28</v>
      </c>
      <c r="G607" s="21" t="s">
        <v>38</v>
      </c>
      <c r="H607" s="21" t="s">
        <v>278</v>
      </c>
      <c r="I607" s="21" t="s">
        <v>454</v>
      </c>
    </row>
    <row r="608" spans="1:9" x14ac:dyDescent="0.25">
      <c r="A608" s="21" t="s">
        <v>528</v>
      </c>
      <c r="B608">
        <v>40</v>
      </c>
      <c r="C608" s="21" t="s">
        <v>15</v>
      </c>
      <c r="D608" s="21" t="s">
        <v>44</v>
      </c>
      <c r="E608">
        <v>250</v>
      </c>
      <c r="F608">
        <v>33</v>
      </c>
      <c r="G608" s="21" t="s">
        <v>186</v>
      </c>
      <c r="H608" s="21" t="s">
        <v>152</v>
      </c>
      <c r="I608" s="21" t="s">
        <v>454</v>
      </c>
    </row>
    <row r="609" spans="1:9" x14ac:dyDescent="0.25">
      <c r="A609" s="21" t="s">
        <v>529</v>
      </c>
      <c r="B609">
        <v>85</v>
      </c>
      <c r="C609" s="21" t="s">
        <v>57</v>
      </c>
      <c r="D609" s="21" t="s">
        <v>24</v>
      </c>
      <c r="E609">
        <v>252</v>
      </c>
      <c r="F609">
        <v>23</v>
      </c>
      <c r="G609" s="21" t="s">
        <v>83</v>
      </c>
      <c r="H609" s="21" t="s">
        <v>530</v>
      </c>
      <c r="I609" s="21" t="s">
        <v>454</v>
      </c>
    </row>
    <row r="610" spans="1:9" x14ac:dyDescent="0.25">
      <c r="A610" s="21" t="s">
        <v>531</v>
      </c>
      <c r="B610">
        <v>60</v>
      </c>
      <c r="C610" s="21" t="s">
        <v>184</v>
      </c>
      <c r="D610" s="21" t="s">
        <v>67</v>
      </c>
      <c r="E610">
        <v>305</v>
      </c>
      <c r="F610">
        <v>30</v>
      </c>
      <c r="G610" s="21" t="s">
        <v>21</v>
      </c>
      <c r="H610" s="21" t="s">
        <v>335</v>
      </c>
      <c r="I610" s="21" t="s">
        <v>454</v>
      </c>
    </row>
    <row r="611" spans="1:9" x14ac:dyDescent="0.25">
      <c r="A611" s="21" t="s">
        <v>532</v>
      </c>
      <c r="B611">
        <v>20</v>
      </c>
      <c r="C611" s="21" t="s">
        <v>51</v>
      </c>
      <c r="D611" s="21" t="s">
        <v>135</v>
      </c>
      <c r="E611">
        <v>205</v>
      </c>
      <c r="F611">
        <v>24</v>
      </c>
      <c r="G611" s="21" t="s">
        <v>12</v>
      </c>
      <c r="H611" s="21" t="s">
        <v>194</v>
      </c>
      <c r="I611" s="21" t="s">
        <v>454</v>
      </c>
    </row>
    <row r="612" spans="1:9" x14ac:dyDescent="0.25">
      <c r="A612" s="21" t="s">
        <v>533</v>
      </c>
      <c r="B612">
        <v>33</v>
      </c>
      <c r="C612" s="21" t="s">
        <v>48</v>
      </c>
      <c r="D612" s="21" t="s">
        <v>11</v>
      </c>
      <c r="E612">
        <v>206</v>
      </c>
      <c r="F612">
        <v>27</v>
      </c>
      <c r="G612" s="21" t="s">
        <v>45</v>
      </c>
      <c r="H612" s="21" t="s">
        <v>534</v>
      </c>
      <c r="I612" s="21" t="s">
        <v>454</v>
      </c>
    </row>
    <row r="613" spans="1:9" x14ac:dyDescent="0.25">
      <c r="A613" s="21" t="s">
        <v>535</v>
      </c>
      <c r="B613">
        <v>91</v>
      </c>
      <c r="C613" s="21" t="s">
        <v>114</v>
      </c>
      <c r="D613" s="21" t="s">
        <v>52</v>
      </c>
      <c r="E613">
        <v>287</v>
      </c>
      <c r="F613">
        <v>24</v>
      </c>
      <c r="G613" s="21" t="s">
        <v>16</v>
      </c>
      <c r="H613" s="21" t="s">
        <v>320</v>
      </c>
      <c r="I613" s="21" t="s">
        <v>454</v>
      </c>
    </row>
    <row r="614" spans="1:9" x14ac:dyDescent="0.25">
      <c r="A614" s="21" t="s">
        <v>536</v>
      </c>
      <c r="B614">
        <v>75</v>
      </c>
      <c r="C614" s="21" t="s">
        <v>140</v>
      </c>
      <c r="D614" s="21" t="s">
        <v>29</v>
      </c>
      <c r="E614">
        <v>292</v>
      </c>
      <c r="G614" s="21" t="s">
        <v>25</v>
      </c>
      <c r="H614" s="21" t="s">
        <v>1767</v>
      </c>
      <c r="I614" s="21" t="s">
        <v>454</v>
      </c>
    </row>
    <row r="615" spans="1:9" x14ac:dyDescent="0.25">
      <c r="A615" s="21" t="s">
        <v>537</v>
      </c>
      <c r="B615">
        <v>82</v>
      </c>
      <c r="C615" s="21" t="s">
        <v>10</v>
      </c>
      <c r="D615" s="21" t="s">
        <v>35</v>
      </c>
      <c r="E615">
        <v>215</v>
      </c>
      <c r="G615" s="21" t="s">
        <v>25</v>
      </c>
      <c r="H615" s="21" t="s">
        <v>204</v>
      </c>
      <c r="I615" s="21" t="s">
        <v>454</v>
      </c>
    </row>
    <row r="616" spans="1:9" x14ac:dyDescent="0.25">
      <c r="A616" s="21" t="s">
        <v>538</v>
      </c>
      <c r="B616">
        <v>97</v>
      </c>
      <c r="C616" s="21" t="s">
        <v>114</v>
      </c>
      <c r="D616" s="21" t="s">
        <v>67</v>
      </c>
      <c r="E616">
        <v>330</v>
      </c>
      <c r="F616">
        <v>29</v>
      </c>
      <c r="G616" s="21" t="s">
        <v>21</v>
      </c>
      <c r="H616" s="21" t="s">
        <v>187</v>
      </c>
      <c r="I616" s="21" t="s">
        <v>454</v>
      </c>
    </row>
    <row r="617" spans="1:9" x14ac:dyDescent="0.25">
      <c r="A617" s="21" t="s">
        <v>539</v>
      </c>
      <c r="B617">
        <v>21</v>
      </c>
      <c r="C617" s="21" t="s">
        <v>89</v>
      </c>
      <c r="D617" s="21" t="s">
        <v>11</v>
      </c>
      <c r="E617">
        <v>191</v>
      </c>
      <c r="F617">
        <v>31</v>
      </c>
      <c r="G617" s="21" t="s">
        <v>111</v>
      </c>
      <c r="H617" s="21" t="s">
        <v>374</v>
      </c>
      <c r="I617" s="21" t="s">
        <v>454</v>
      </c>
    </row>
    <row r="618" spans="1:9" x14ac:dyDescent="0.25">
      <c r="A618" s="21" t="s">
        <v>540</v>
      </c>
      <c r="B618">
        <v>77</v>
      </c>
      <c r="C618" s="21" t="s">
        <v>140</v>
      </c>
      <c r="D618" s="21" t="s">
        <v>29</v>
      </c>
      <c r="E618">
        <v>310</v>
      </c>
      <c r="F618">
        <v>31</v>
      </c>
      <c r="G618" s="21" t="s">
        <v>16</v>
      </c>
      <c r="H618" s="21" t="s">
        <v>311</v>
      </c>
      <c r="I618" s="21" t="s">
        <v>454</v>
      </c>
    </row>
    <row r="619" spans="1:9" x14ac:dyDescent="0.25">
      <c r="A619" s="21" t="s">
        <v>541</v>
      </c>
      <c r="B619">
        <v>50</v>
      </c>
      <c r="C619" s="21" t="s">
        <v>319</v>
      </c>
      <c r="D619" s="21" t="s">
        <v>67</v>
      </c>
      <c r="E619">
        <v>266</v>
      </c>
      <c r="F619">
        <v>22</v>
      </c>
      <c r="G619" s="21" t="s">
        <v>30</v>
      </c>
      <c r="H619" s="21" t="s">
        <v>385</v>
      </c>
      <c r="I619" s="21" t="s">
        <v>454</v>
      </c>
    </row>
    <row r="620" spans="1:9" x14ac:dyDescent="0.25">
      <c r="A620" s="21" t="s">
        <v>542</v>
      </c>
      <c r="B620">
        <v>76</v>
      </c>
      <c r="C620" s="21" t="s">
        <v>277</v>
      </c>
      <c r="D620" s="21" t="s">
        <v>29</v>
      </c>
      <c r="E620">
        <v>325</v>
      </c>
      <c r="F620">
        <v>34</v>
      </c>
      <c r="G620" s="21" t="s">
        <v>407</v>
      </c>
      <c r="H620" s="21" t="s">
        <v>138</v>
      </c>
      <c r="I620" s="21" t="s">
        <v>454</v>
      </c>
    </row>
    <row r="621" spans="1:9" x14ac:dyDescent="0.25">
      <c r="A621" s="21" t="s">
        <v>543</v>
      </c>
      <c r="B621">
        <v>99</v>
      </c>
      <c r="C621" s="21" t="s">
        <v>114</v>
      </c>
      <c r="D621" s="21" t="s">
        <v>44</v>
      </c>
      <c r="E621">
        <v>313</v>
      </c>
      <c r="F621">
        <v>25</v>
      </c>
      <c r="G621" s="21" t="s">
        <v>45</v>
      </c>
      <c r="H621" s="21" t="s">
        <v>357</v>
      </c>
      <c r="I621" s="21" t="s">
        <v>454</v>
      </c>
    </row>
    <row r="622" spans="1:9" x14ac:dyDescent="0.25">
      <c r="A622" s="21" t="s">
        <v>544</v>
      </c>
      <c r="B622">
        <v>10</v>
      </c>
      <c r="C622" s="21" t="s">
        <v>10</v>
      </c>
      <c r="D622" s="21" t="s">
        <v>11</v>
      </c>
      <c r="E622">
        <v>190</v>
      </c>
      <c r="F622">
        <v>22</v>
      </c>
      <c r="G622" s="21" t="s">
        <v>25</v>
      </c>
      <c r="H622" s="21" t="s">
        <v>330</v>
      </c>
      <c r="I622" s="21" t="s">
        <v>454</v>
      </c>
    </row>
    <row r="623" spans="1:9" x14ac:dyDescent="0.25">
      <c r="A623" s="21" t="s">
        <v>545</v>
      </c>
      <c r="B623">
        <v>26</v>
      </c>
      <c r="C623" s="21" t="s">
        <v>51</v>
      </c>
      <c r="D623" s="21" t="s">
        <v>362</v>
      </c>
      <c r="E623">
        <v>203</v>
      </c>
      <c r="F623">
        <v>24</v>
      </c>
      <c r="G623" s="21" t="s">
        <v>16</v>
      </c>
      <c r="H623" s="21" t="s">
        <v>17</v>
      </c>
      <c r="I623" s="21" t="s">
        <v>454</v>
      </c>
    </row>
    <row r="624" spans="1:9" x14ac:dyDescent="0.25">
      <c r="A624" s="21" t="s">
        <v>546</v>
      </c>
      <c r="B624">
        <v>9</v>
      </c>
      <c r="C624" s="21" t="s">
        <v>15</v>
      </c>
      <c r="D624" s="21" t="s">
        <v>11</v>
      </c>
      <c r="E624">
        <v>240</v>
      </c>
      <c r="F624">
        <v>25</v>
      </c>
      <c r="G624" s="21" t="s">
        <v>45</v>
      </c>
      <c r="H624" s="21" t="s">
        <v>73</v>
      </c>
      <c r="I624" s="21" t="s">
        <v>454</v>
      </c>
    </row>
    <row r="625" spans="1:9" x14ac:dyDescent="0.25">
      <c r="A625" s="21" t="s">
        <v>547</v>
      </c>
      <c r="B625">
        <v>54</v>
      </c>
      <c r="C625" s="21" t="s">
        <v>15</v>
      </c>
      <c r="D625" s="21" t="s">
        <v>11</v>
      </c>
      <c r="E625">
        <v>233</v>
      </c>
      <c r="F625">
        <v>23</v>
      </c>
      <c r="G625" s="21" t="s">
        <v>25</v>
      </c>
      <c r="H625" s="21" t="s">
        <v>136</v>
      </c>
      <c r="I625" s="21" t="s">
        <v>454</v>
      </c>
    </row>
    <row r="626" spans="1:9" x14ac:dyDescent="0.25">
      <c r="A626" s="21" t="s">
        <v>548</v>
      </c>
      <c r="B626">
        <v>5</v>
      </c>
      <c r="C626" s="21" t="s">
        <v>10</v>
      </c>
      <c r="D626" s="21" t="s">
        <v>125</v>
      </c>
      <c r="E626">
        <v>180</v>
      </c>
      <c r="F626">
        <v>24</v>
      </c>
      <c r="G626" s="21" t="s">
        <v>30</v>
      </c>
      <c r="H626" s="21" t="s">
        <v>320</v>
      </c>
      <c r="I626" s="21" t="s">
        <v>454</v>
      </c>
    </row>
    <row r="627" spans="1:9" x14ac:dyDescent="0.25">
      <c r="A627" s="21" t="s">
        <v>549</v>
      </c>
      <c r="B627">
        <v>89</v>
      </c>
      <c r="C627" s="21" t="s">
        <v>57</v>
      </c>
      <c r="D627" s="21" t="s">
        <v>29</v>
      </c>
      <c r="E627">
        <v>251</v>
      </c>
      <c r="F627">
        <v>27</v>
      </c>
      <c r="G627" s="21" t="s">
        <v>16</v>
      </c>
      <c r="H627" s="21" t="s">
        <v>278</v>
      </c>
      <c r="I627" s="21" t="s">
        <v>454</v>
      </c>
    </row>
    <row r="628" spans="1:9" x14ac:dyDescent="0.25">
      <c r="A628" s="21" t="s">
        <v>550</v>
      </c>
      <c r="B628">
        <v>67</v>
      </c>
      <c r="C628" s="21" t="s">
        <v>140</v>
      </c>
      <c r="D628" s="21" t="s">
        <v>141</v>
      </c>
      <c r="E628">
        <v>319</v>
      </c>
      <c r="F628">
        <v>22</v>
      </c>
      <c r="G628" s="21" t="s">
        <v>25</v>
      </c>
      <c r="H628" s="21" t="s">
        <v>357</v>
      </c>
      <c r="I628" s="21" t="s">
        <v>454</v>
      </c>
    </row>
    <row r="629" spans="1:9" x14ac:dyDescent="0.25">
      <c r="A629" s="21" t="s">
        <v>551</v>
      </c>
      <c r="B629">
        <v>36</v>
      </c>
      <c r="C629" s="21" t="s">
        <v>89</v>
      </c>
      <c r="D629" s="21" t="s">
        <v>11</v>
      </c>
      <c r="E629">
        <v>205</v>
      </c>
      <c r="F629">
        <v>25</v>
      </c>
      <c r="G629" s="21" t="s">
        <v>83</v>
      </c>
      <c r="H629" s="21" t="s">
        <v>243</v>
      </c>
      <c r="I629" s="21" t="s">
        <v>454</v>
      </c>
    </row>
    <row r="630" spans="1:9" x14ac:dyDescent="0.25">
      <c r="A630" s="21" t="s">
        <v>552</v>
      </c>
      <c r="B630">
        <v>27</v>
      </c>
      <c r="C630" s="21" t="s">
        <v>48</v>
      </c>
      <c r="D630" s="21" t="s">
        <v>54</v>
      </c>
      <c r="E630">
        <v>192</v>
      </c>
      <c r="F630">
        <v>27</v>
      </c>
      <c r="G630" s="21" t="s">
        <v>38</v>
      </c>
      <c r="H630" s="21" t="s">
        <v>267</v>
      </c>
      <c r="I630" s="21" t="s">
        <v>454</v>
      </c>
    </row>
    <row r="631" spans="1:9" x14ac:dyDescent="0.25">
      <c r="A631" s="21" t="s">
        <v>553</v>
      </c>
      <c r="B631">
        <v>84</v>
      </c>
      <c r="C631" s="21" t="s">
        <v>57</v>
      </c>
      <c r="D631" s="21" t="s">
        <v>29</v>
      </c>
      <c r="E631">
        <v>255</v>
      </c>
      <c r="F631">
        <v>21</v>
      </c>
      <c r="G631" s="21" t="s">
        <v>25</v>
      </c>
      <c r="H631" s="21" t="s">
        <v>152</v>
      </c>
      <c r="I631" s="21" t="s">
        <v>454</v>
      </c>
    </row>
    <row r="632" spans="1:9" x14ac:dyDescent="0.25">
      <c r="A632" s="21" t="s">
        <v>1553</v>
      </c>
      <c r="B632">
        <v>24</v>
      </c>
      <c r="C632" s="21" t="s">
        <v>89</v>
      </c>
      <c r="D632" s="21" t="s">
        <v>11</v>
      </c>
      <c r="E632">
        <v>206</v>
      </c>
      <c r="F632">
        <v>25</v>
      </c>
      <c r="G632" s="21" t="s">
        <v>16</v>
      </c>
      <c r="H632" s="21" t="s">
        <v>624</v>
      </c>
      <c r="I632" s="21" t="s">
        <v>1552</v>
      </c>
    </row>
    <row r="633" spans="1:9" x14ac:dyDescent="0.25">
      <c r="A633" s="21" t="s">
        <v>1554</v>
      </c>
      <c r="B633">
        <v>13</v>
      </c>
      <c r="C633" s="21" t="s">
        <v>10</v>
      </c>
      <c r="D633" s="21" t="s">
        <v>24</v>
      </c>
      <c r="E633">
        <v>211</v>
      </c>
      <c r="F633">
        <v>30</v>
      </c>
      <c r="G633" s="21" t="s">
        <v>111</v>
      </c>
      <c r="H633" s="21" t="s">
        <v>226</v>
      </c>
      <c r="I633" s="21" t="s">
        <v>1552</v>
      </c>
    </row>
    <row r="634" spans="1:9" x14ac:dyDescent="0.25">
      <c r="A634" s="21" t="s">
        <v>1555</v>
      </c>
      <c r="C634" s="21" t="s">
        <v>140</v>
      </c>
      <c r="D634" s="21" t="s">
        <v>29</v>
      </c>
      <c r="E634">
        <v>299</v>
      </c>
      <c r="F634">
        <v>26</v>
      </c>
      <c r="G634" s="21" t="s">
        <v>30</v>
      </c>
      <c r="H634" s="21" t="s">
        <v>115</v>
      </c>
      <c r="I634" s="21" t="s">
        <v>1552</v>
      </c>
    </row>
    <row r="635" spans="1:9" x14ac:dyDescent="0.25">
      <c r="A635" s="21" t="s">
        <v>1556</v>
      </c>
      <c r="B635">
        <v>83</v>
      </c>
      <c r="C635" s="21" t="s">
        <v>10</v>
      </c>
      <c r="D635" s="21" t="s">
        <v>125</v>
      </c>
      <c r="E635">
        <v>190</v>
      </c>
      <c r="F635">
        <v>24</v>
      </c>
      <c r="G635" s="21" t="s">
        <v>83</v>
      </c>
      <c r="H635" s="21" t="s">
        <v>58</v>
      </c>
      <c r="I635" s="21" t="s">
        <v>1552</v>
      </c>
    </row>
    <row r="636" spans="1:9" x14ac:dyDescent="0.25">
      <c r="A636" s="21" t="s">
        <v>1557</v>
      </c>
      <c r="B636">
        <v>97</v>
      </c>
      <c r="C636" s="21" t="s">
        <v>213</v>
      </c>
      <c r="D636" s="21" t="s">
        <v>29</v>
      </c>
      <c r="E636">
        <v>280</v>
      </c>
      <c r="F636">
        <v>27</v>
      </c>
      <c r="G636" s="21" t="s">
        <v>100</v>
      </c>
      <c r="H636" s="21" t="s">
        <v>36</v>
      </c>
      <c r="I636" s="21" t="s">
        <v>1552</v>
      </c>
    </row>
    <row r="637" spans="1:9" x14ac:dyDescent="0.25">
      <c r="A637" s="21" t="s">
        <v>1558</v>
      </c>
      <c r="B637">
        <v>86</v>
      </c>
      <c r="C637" s="21" t="s">
        <v>10</v>
      </c>
      <c r="D637" s="21" t="s">
        <v>135</v>
      </c>
      <c r="E637">
        <v>183</v>
      </c>
      <c r="F637">
        <v>24</v>
      </c>
      <c r="G637" s="21" t="s">
        <v>25</v>
      </c>
      <c r="H637" s="21" t="s">
        <v>374</v>
      </c>
      <c r="I637" s="21" t="s">
        <v>1552</v>
      </c>
    </row>
    <row r="638" spans="1:9" x14ac:dyDescent="0.25">
      <c r="A638" s="21" t="s">
        <v>1559</v>
      </c>
      <c r="B638">
        <v>90</v>
      </c>
      <c r="C638" s="21" t="s">
        <v>19</v>
      </c>
      <c r="D638" s="21" t="s">
        <v>44</v>
      </c>
      <c r="E638">
        <v>290</v>
      </c>
      <c r="F638">
        <v>26</v>
      </c>
      <c r="G638" s="21" t="s">
        <v>12</v>
      </c>
      <c r="H638" s="21" t="s">
        <v>333</v>
      </c>
      <c r="I638" s="21" t="s">
        <v>1552</v>
      </c>
    </row>
    <row r="639" spans="1:9" x14ac:dyDescent="0.25">
      <c r="A639" s="21" t="s">
        <v>1560</v>
      </c>
      <c r="B639">
        <v>35</v>
      </c>
      <c r="C639" s="21" t="s">
        <v>51</v>
      </c>
      <c r="D639" s="21" t="s">
        <v>11</v>
      </c>
      <c r="E639">
        <v>213</v>
      </c>
      <c r="F639">
        <v>23</v>
      </c>
      <c r="G639" s="21" t="s">
        <v>25</v>
      </c>
      <c r="H639" s="21" t="s">
        <v>143</v>
      </c>
      <c r="I639" s="21" t="s">
        <v>1552</v>
      </c>
    </row>
    <row r="640" spans="1:9" x14ac:dyDescent="0.25">
      <c r="A640" s="21" t="s">
        <v>1561</v>
      </c>
      <c r="B640">
        <v>23</v>
      </c>
      <c r="C640" s="21" t="s">
        <v>48</v>
      </c>
      <c r="D640" s="21" t="s">
        <v>135</v>
      </c>
      <c r="E640">
        <v>183</v>
      </c>
      <c r="F640">
        <v>30</v>
      </c>
      <c r="G640" s="21" t="s">
        <v>21</v>
      </c>
      <c r="H640" s="21" t="s">
        <v>978</v>
      </c>
      <c r="I640" s="21" t="s">
        <v>1552</v>
      </c>
    </row>
    <row r="641" spans="1:9" x14ac:dyDescent="0.25">
      <c r="A641" s="21" t="s">
        <v>1562</v>
      </c>
      <c r="B641">
        <v>20</v>
      </c>
      <c r="C641" s="21" t="s">
        <v>48</v>
      </c>
      <c r="D641" s="21" t="s">
        <v>11</v>
      </c>
      <c r="E641">
        <v>200</v>
      </c>
      <c r="F641">
        <v>29</v>
      </c>
      <c r="G641" s="21" t="s">
        <v>12</v>
      </c>
      <c r="H641" s="21" t="s">
        <v>1563</v>
      </c>
      <c r="I641" s="21" t="s">
        <v>1552</v>
      </c>
    </row>
    <row r="642" spans="1:9" x14ac:dyDescent="0.25">
      <c r="A642" s="21" t="s">
        <v>1564</v>
      </c>
      <c r="B642">
        <v>82</v>
      </c>
      <c r="C642" s="21" t="s">
        <v>10</v>
      </c>
      <c r="D642" s="21" t="s">
        <v>86</v>
      </c>
      <c r="E642">
        <v>190</v>
      </c>
      <c r="F642">
        <v>29</v>
      </c>
      <c r="G642" s="21" t="s">
        <v>45</v>
      </c>
      <c r="H642" s="21" t="s">
        <v>1565</v>
      </c>
      <c r="I642" s="21" t="s">
        <v>1552</v>
      </c>
    </row>
    <row r="643" spans="1:9" x14ac:dyDescent="0.25">
      <c r="A643" s="21" t="s">
        <v>1566</v>
      </c>
      <c r="B643">
        <v>50</v>
      </c>
      <c r="C643" s="21" t="s">
        <v>15</v>
      </c>
      <c r="D643" s="21" t="s">
        <v>52</v>
      </c>
      <c r="E643">
        <v>230</v>
      </c>
      <c r="F643">
        <v>24</v>
      </c>
      <c r="G643" s="21" t="s">
        <v>83</v>
      </c>
      <c r="H643" s="21" t="s">
        <v>656</v>
      </c>
      <c r="I643" s="21" t="s">
        <v>1552</v>
      </c>
    </row>
    <row r="644" spans="1:9" x14ac:dyDescent="0.25">
      <c r="A644" s="21" t="s">
        <v>1567</v>
      </c>
      <c r="B644">
        <v>76</v>
      </c>
      <c r="C644" s="21" t="s">
        <v>28</v>
      </c>
      <c r="D644" s="21" t="s">
        <v>29</v>
      </c>
      <c r="E644">
        <v>311</v>
      </c>
      <c r="F644">
        <v>26</v>
      </c>
      <c r="G644" s="21" t="s">
        <v>45</v>
      </c>
      <c r="H644" s="21" t="s">
        <v>267</v>
      </c>
      <c r="I644" s="21" t="s">
        <v>1552</v>
      </c>
    </row>
    <row r="645" spans="1:9" x14ac:dyDescent="0.25">
      <c r="A645" s="21" t="s">
        <v>1568</v>
      </c>
      <c r="B645">
        <v>95</v>
      </c>
      <c r="C645" s="21" t="s">
        <v>19</v>
      </c>
      <c r="D645" s="21" t="s">
        <v>24</v>
      </c>
      <c r="E645">
        <v>289</v>
      </c>
      <c r="F645">
        <v>28</v>
      </c>
      <c r="G645" s="21" t="s">
        <v>21</v>
      </c>
      <c r="H645" s="21" t="s">
        <v>978</v>
      </c>
      <c r="I645" s="21" t="s">
        <v>1552</v>
      </c>
    </row>
    <row r="646" spans="1:9" x14ac:dyDescent="0.25">
      <c r="A646" s="21" t="s">
        <v>1569</v>
      </c>
      <c r="B646">
        <v>4</v>
      </c>
      <c r="C646" s="21" t="s">
        <v>70</v>
      </c>
      <c r="D646" s="21" t="s">
        <v>11</v>
      </c>
      <c r="E646">
        <v>229</v>
      </c>
      <c r="F646">
        <v>35</v>
      </c>
      <c r="G646" s="21" t="s">
        <v>1199</v>
      </c>
      <c r="H646" s="21" t="s">
        <v>335</v>
      </c>
      <c r="I646" s="21" t="s">
        <v>1552</v>
      </c>
    </row>
    <row r="647" spans="1:9" x14ac:dyDescent="0.25">
      <c r="A647" s="21" t="s">
        <v>1570</v>
      </c>
      <c r="B647">
        <v>44</v>
      </c>
      <c r="C647" s="21" t="s">
        <v>213</v>
      </c>
      <c r="D647" s="21" t="s">
        <v>35</v>
      </c>
      <c r="E647">
        <v>252</v>
      </c>
      <c r="F647">
        <v>27</v>
      </c>
      <c r="G647" s="21" t="s">
        <v>83</v>
      </c>
      <c r="H647" s="21" t="s">
        <v>996</v>
      </c>
      <c r="I647" s="21" t="s">
        <v>1552</v>
      </c>
    </row>
    <row r="648" spans="1:9" x14ac:dyDescent="0.25">
      <c r="A648" s="21" t="s">
        <v>1571</v>
      </c>
      <c r="B648">
        <v>43</v>
      </c>
      <c r="C648" s="21" t="s">
        <v>48</v>
      </c>
      <c r="D648" s="21" t="s">
        <v>24</v>
      </c>
      <c r="E648">
        <v>196</v>
      </c>
      <c r="F648">
        <v>27</v>
      </c>
      <c r="G648" s="21" t="s">
        <v>38</v>
      </c>
      <c r="H648" s="21" t="s">
        <v>204</v>
      </c>
      <c r="I648" s="21" t="s">
        <v>1552</v>
      </c>
    </row>
    <row r="649" spans="1:9" x14ac:dyDescent="0.25">
      <c r="A649" s="21" t="s">
        <v>1572</v>
      </c>
      <c r="B649">
        <v>46</v>
      </c>
      <c r="C649" s="21" t="s">
        <v>124</v>
      </c>
      <c r="D649" s="21" t="s">
        <v>52</v>
      </c>
      <c r="E649">
        <v>202</v>
      </c>
      <c r="F649">
        <v>24</v>
      </c>
      <c r="G649" s="21" t="s">
        <v>83</v>
      </c>
      <c r="H649" s="21" t="s">
        <v>680</v>
      </c>
      <c r="I649" s="21" t="s">
        <v>1552</v>
      </c>
    </row>
    <row r="650" spans="1:9" x14ac:dyDescent="0.25">
      <c r="A650" s="21" t="s">
        <v>1573</v>
      </c>
      <c r="B650">
        <v>51</v>
      </c>
      <c r="C650" s="21" t="s">
        <v>213</v>
      </c>
      <c r="D650" s="21" t="s">
        <v>24</v>
      </c>
      <c r="E650">
        <v>245</v>
      </c>
      <c r="F650">
        <v>25</v>
      </c>
      <c r="G650" s="21" t="s">
        <v>12</v>
      </c>
      <c r="H650" s="21" t="s">
        <v>320</v>
      </c>
      <c r="I650" s="21" t="s">
        <v>1552</v>
      </c>
    </row>
    <row r="651" spans="1:9" x14ac:dyDescent="0.25">
      <c r="A651" s="21" t="s">
        <v>1574</v>
      </c>
      <c r="B651">
        <v>30</v>
      </c>
      <c r="C651" s="21" t="s">
        <v>51</v>
      </c>
      <c r="D651" s="21" t="s">
        <v>125</v>
      </c>
      <c r="E651">
        <v>200</v>
      </c>
      <c r="F651">
        <v>27</v>
      </c>
      <c r="G651" s="21" t="s">
        <v>38</v>
      </c>
      <c r="H651" s="21" t="s">
        <v>1575</v>
      </c>
      <c r="I651" s="21" t="s">
        <v>1552</v>
      </c>
    </row>
    <row r="652" spans="1:9" x14ac:dyDescent="0.25">
      <c r="A652" s="21" t="s">
        <v>1576</v>
      </c>
      <c r="B652">
        <v>7</v>
      </c>
      <c r="C652" s="21" t="s">
        <v>57</v>
      </c>
      <c r="D652" s="21" t="s">
        <v>44</v>
      </c>
      <c r="E652">
        <v>240</v>
      </c>
      <c r="F652">
        <v>28</v>
      </c>
      <c r="G652" s="21" t="s">
        <v>38</v>
      </c>
      <c r="H652" s="21" t="s">
        <v>1577</v>
      </c>
      <c r="I652" s="21" t="s">
        <v>1552</v>
      </c>
    </row>
    <row r="653" spans="1:9" x14ac:dyDescent="0.25">
      <c r="A653" s="21" t="s">
        <v>1578</v>
      </c>
      <c r="B653">
        <v>96</v>
      </c>
      <c r="C653" s="21" t="s">
        <v>19</v>
      </c>
      <c r="D653" s="21" t="s">
        <v>44</v>
      </c>
      <c r="E653">
        <v>300</v>
      </c>
      <c r="F653">
        <v>25</v>
      </c>
      <c r="G653" s="21" t="s">
        <v>30</v>
      </c>
      <c r="H653" s="21" t="s">
        <v>267</v>
      </c>
      <c r="I653" s="21" t="s">
        <v>1552</v>
      </c>
    </row>
    <row r="654" spans="1:9" x14ac:dyDescent="0.25">
      <c r="A654" s="21" t="s">
        <v>1579</v>
      </c>
      <c r="B654">
        <v>71</v>
      </c>
      <c r="C654" s="21" t="s">
        <v>277</v>
      </c>
      <c r="D654" s="21" t="s">
        <v>67</v>
      </c>
      <c r="E654">
        <v>330</v>
      </c>
      <c r="F654">
        <v>30</v>
      </c>
      <c r="G654" s="21" t="s">
        <v>38</v>
      </c>
      <c r="H654" s="21" t="s">
        <v>1580</v>
      </c>
      <c r="I654" s="21" t="s">
        <v>1552</v>
      </c>
    </row>
    <row r="655" spans="1:9" x14ac:dyDescent="0.25">
      <c r="A655" s="21" t="s">
        <v>1581</v>
      </c>
      <c r="B655">
        <v>80</v>
      </c>
      <c r="C655" s="21" t="s">
        <v>10</v>
      </c>
      <c r="D655" s="21" t="s">
        <v>54</v>
      </c>
      <c r="E655">
        <v>200</v>
      </c>
      <c r="F655">
        <v>24</v>
      </c>
      <c r="G655" s="21" t="s">
        <v>83</v>
      </c>
      <c r="H655" s="21" t="s">
        <v>128</v>
      </c>
      <c r="I655" s="21" t="s">
        <v>1552</v>
      </c>
    </row>
    <row r="656" spans="1:9" x14ac:dyDescent="0.25">
      <c r="A656" s="21" t="s">
        <v>1582</v>
      </c>
      <c r="B656">
        <v>70</v>
      </c>
      <c r="C656" s="21" t="s">
        <v>19</v>
      </c>
      <c r="D656" s="21" t="s">
        <v>44</v>
      </c>
      <c r="E656">
        <v>259</v>
      </c>
      <c r="F656">
        <v>27</v>
      </c>
      <c r="G656" s="21" t="s">
        <v>38</v>
      </c>
      <c r="H656" s="21" t="s">
        <v>2454</v>
      </c>
      <c r="I656" s="21" t="s">
        <v>1552</v>
      </c>
    </row>
    <row r="657" spans="1:9" x14ac:dyDescent="0.25">
      <c r="A657" s="21" t="s">
        <v>1583</v>
      </c>
      <c r="B657">
        <v>92</v>
      </c>
      <c r="C657" s="21" t="s">
        <v>19</v>
      </c>
      <c r="D657" s="21" t="s">
        <v>35</v>
      </c>
      <c r="E657">
        <v>280</v>
      </c>
      <c r="F657">
        <v>25</v>
      </c>
      <c r="G657" s="21" t="s">
        <v>30</v>
      </c>
      <c r="H657" s="21" t="s">
        <v>302</v>
      </c>
      <c r="I657" s="21" t="s">
        <v>1552</v>
      </c>
    </row>
    <row r="658" spans="1:9" x14ac:dyDescent="0.25">
      <c r="A658" s="21" t="s">
        <v>1584</v>
      </c>
      <c r="B658">
        <v>32</v>
      </c>
      <c r="C658" s="21" t="s">
        <v>89</v>
      </c>
      <c r="D658" s="21" t="s">
        <v>125</v>
      </c>
      <c r="E658">
        <v>201</v>
      </c>
      <c r="F658">
        <v>24</v>
      </c>
      <c r="G658" s="21" t="s">
        <v>12</v>
      </c>
      <c r="H658" s="21" t="s">
        <v>31</v>
      </c>
      <c r="I658" s="21" t="s">
        <v>1552</v>
      </c>
    </row>
    <row r="659" spans="1:9" x14ac:dyDescent="0.25">
      <c r="A659" s="21" t="s">
        <v>1585</v>
      </c>
      <c r="B659">
        <v>15</v>
      </c>
      <c r="C659" s="21" t="s">
        <v>10</v>
      </c>
      <c r="D659" s="21" t="s">
        <v>52</v>
      </c>
      <c r="E659">
        <v>212</v>
      </c>
      <c r="F659">
        <v>25</v>
      </c>
      <c r="G659" s="21" t="s">
        <v>12</v>
      </c>
      <c r="H659" s="21" t="s">
        <v>191</v>
      </c>
      <c r="I659" s="21" t="s">
        <v>1552</v>
      </c>
    </row>
    <row r="660" spans="1:9" x14ac:dyDescent="0.25">
      <c r="A660" s="21" t="s">
        <v>1586</v>
      </c>
      <c r="B660">
        <v>37</v>
      </c>
      <c r="C660" s="21" t="s">
        <v>48</v>
      </c>
      <c r="D660" s="21" t="s">
        <v>54</v>
      </c>
      <c r="E660">
        <v>190</v>
      </c>
      <c r="F660">
        <v>25</v>
      </c>
      <c r="G660" s="21" t="s">
        <v>30</v>
      </c>
      <c r="H660" s="21" t="s">
        <v>191</v>
      </c>
      <c r="I660" s="21" t="s">
        <v>1552</v>
      </c>
    </row>
    <row r="661" spans="1:9" x14ac:dyDescent="0.25">
      <c r="A661" s="21" t="s">
        <v>1587</v>
      </c>
      <c r="B661">
        <v>47</v>
      </c>
      <c r="C661" s="21" t="s">
        <v>158</v>
      </c>
      <c r="D661" s="21" t="s">
        <v>52</v>
      </c>
      <c r="E661">
        <v>224</v>
      </c>
      <c r="F661">
        <v>33</v>
      </c>
      <c r="G661" s="21" t="s">
        <v>254</v>
      </c>
      <c r="H661" s="21" t="s">
        <v>65</v>
      </c>
      <c r="I661" s="21" t="s">
        <v>1552</v>
      </c>
    </row>
    <row r="662" spans="1:9" x14ac:dyDescent="0.25">
      <c r="A662" s="21" t="s">
        <v>1588</v>
      </c>
      <c r="B662">
        <v>10</v>
      </c>
      <c r="C662" s="21" t="s">
        <v>70</v>
      </c>
      <c r="D662" s="21" t="s">
        <v>67</v>
      </c>
      <c r="E662">
        <v>236</v>
      </c>
      <c r="F662">
        <v>24</v>
      </c>
      <c r="G662" s="21" t="s">
        <v>12</v>
      </c>
      <c r="H662" s="21" t="s">
        <v>22</v>
      </c>
      <c r="I662" s="21" t="s">
        <v>1552</v>
      </c>
    </row>
    <row r="663" spans="1:9" x14ac:dyDescent="0.25">
      <c r="A663" s="21" t="s">
        <v>1589</v>
      </c>
      <c r="B663">
        <v>6</v>
      </c>
      <c r="C663" s="21" t="s">
        <v>76</v>
      </c>
      <c r="D663" s="21" t="s">
        <v>24</v>
      </c>
      <c r="E663">
        <v>193</v>
      </c>
      <c r="F663">
        <v>31</v>
      </c>
      <c r="G663" s="21" t="s">
        <v>64</v>
      </c>
      <c r="H663" s="21" t="s">
        <v>241</v>
      </c>
      <c r="I663" s="21" t="s">
        <v>1552</v>
      </c>
    </row>
    <row r="664" spans="1:9" x14ac:dyDescent="0.25">
      <c r="A664" s="21" t="s">
        <v>1590</v>
      </c>
      <c r="B664">
        <v>45</v>
      </c>
      <c r="C664" s="21" t="s">
        <v>91</v>
      </c>
      <c r="D664" s="21" t="s">
        <v>44</v>
      </c>
      <c r="E664">
        <v>230</v>
      </c>
      <c r="F664">
        <v>23</v>
      </c>
      <c r="G664" s="21" t="s">
        <v>25</v>
      </c>
      <c r="H664" s="21" t="s">
        <v>400</v>
      </c>
      <c r="I664" s="21" t="s">
        <v>1552</v>
      </c>
    </row>
    <row r="665" spans="1:9" x14ac:dyDescent="0.25">
      <c r="A665" s="21" t="s">
        <v>1591</v>
      </c>
      <c r="B665">
        <v>67</v>
      </c>
      <c r="C665" s="21" t="s">
        <v>277</v>
      </c>
      <c r="D665" s="21" t="s">
        <v>44</v>
      </c>
      <c r="E665">
        <v>316</v>
      </c>
      <c r="F665">
        <v>27</v>
      </c>
      <c r="G665" s="21" t="s">
        <v>83</v>
      </c>
      <c r="H665" s="21" t="s">
        <v>530</v>
      </c>
      <c r="I665" s="21" t="s">
        <v>1552</v>
      </c>
    </row>
    <row r="666" spans="1:9" x14ac:dyDescent="0.25">
      <c r="A666" s="21" t="s">
        <v>1592</v>
      </c>
      <c r="B666">
        <v>27</v>
      </c>
      <c r="C666" s="21" t="s">
        <v>48</v>
      </c>
      <c r="D666" s="21" t="s">
        <v>52</v>
      </c>
      <c r="E666">
        <v>198</v>
      </c>
      <c r="F666">
        <v>26</v>
      </c>
      <c r="G666" s="21" t="s">
        <v>45</v>
      </c>
      <c r="H666" s="21" t="s">
        <v>481</v>
      </c>
      <c r="I666" s="21" t="s">
        <v>1552</v>
      </c>
    </row>
    <row r="667" spans="1:9" x14ac:dyDescent="0.25">
      <c r="A667" s="21" t="s">
        <v>1593</v>
      </c>
      <c r="B667">
        <v>64</v>
      </c>
      <c r="C667" s="21" t="s">
        <v>277</v>
      </c>
      <c r="D667" s="21" t="s">
        <v>29</v>
      </c>
      <c r="E667">
        <v>298</v>
      </c>
      <c r="F667">
        <v>23</v>
      </c>
      <c r="G667" s="21" t="s">
        <v>30</v>
      </c>
      <c r="H667" s="21" t="s">
        <v>556</v>
      </c>
      <c r="I667" s="21" t="s">
        <v>1552</v>
      </c>
    </row>
    <row r="668" spans="1:9" x14ac:dyDescent="0.25">
      <c r="A668" s="21" t="s">
        <v>1594</v>
      </c>
      <c r="B668">
        <v>3</v>
      </c>
      <c r="C668" s="21" t="s">
        <v>89</v>
      </c>
      <c r="D668" s="21" t="s">
        <v>24</v>
      </c>
      <c r="E668">
        <v>215</v>
      </c>
      <c r="F668">
        <v>25</v>
      </c>
      <c r="G668" s="21" t="s">
        <v>45</v>
      </c>
      <c r="H668" s="21" t="s">
        <v>241</v>
      </c>
      <c r="I668" s="21" t="s">
        <v>1552</v>
      </c>
    </row>
    <row r="669" spans="1:9" x14ac:dyDescent="0.25">
      <c r="A669" s="21" t="s">
        <v>1595</v>
      </c>
      <c r="B669">
        <v>98</v>
      </c>
      <c r="C669" s="21" t="s">
        <v>19</v>
      </c>
      <c r="D669" s="21" t="s">
        <v>35</v>
      </c>
      <c r="E669">
        <v>314</v>
      </c>
      <c r="F669">
        <v>28</v>
      </c>
      <c r="G669" s="21" t="s">
        <v>100</v>
      </c>
      <c r="H669" s="21" t="s">
        <v>3251</v>
      </c>
      <c r="I669" s="21" t="s">
        <v>1552</v>
      </c>
    </row>
    <row r="670" spans="1:9" x14ac:dyDescent="0.25">
      <c r="A670" s="21" t="s">
        <v>1596</v>
      </c>
      <c r="B670">
        <v>77</v>
      </c>
      <c r="C670" s="21" t="s">
        <v>277</v>
      </c>
      <c r="D670" s="21" t="s">
        <v>44</v>
      </c>
      <c r="E670">
        <v>316</v>
      </c>
      <c r="F670">
        <v>22</v>
      </c>
      <c r="G670" s="21" t="s">
        <v>25</v>
      </c>
      <c r="H670" s="21" t="s">
        <v>278</v>
      </c>
      <c r="I670" s="21" t="s">
        <v>1552</v>
      </c>
    </row>
    <row r="671" spans="1:9" x14ac:dyDescent="0.25">
      <c r="A671" s="21" t="s">
        <v>1597</v>
      </c>
      <c r="B671">
        <v>69</v>
      </c>
      <c r="C671" s="21" t="s">
        <v>19</v>
      </c>
      <c r="D671" s="21" t="s">
        <v>35</v>
      </c>
      <c r="E671">
        <v>310</v>
      </c>
      <c r="F671">
        <v>27</v>
      </c>
      <c r="G671" s="21" t="s">
        <v>45</v>
      </c>
      <c r="H671" s="21" t="s">
        <v>120</v>
      </c>
      <c r="I671" s="21" t="s">
        <v>1552</v>
      </c>
    </row>
    <row r="672" spans="1:9" x14ac:dyDescent="0.25">
      <c r="A672" s="21" t="s">
        <v>1598</v>
      </c>
      <c r="B672">
        <v>87</v>
      </c>
      <c r="C672" s="21" t="s">
        <v>57</v>
      </c>
      <c r="D672" s="21" t="s">
        <v>35</v>
      </c>
      <c r="E672">
        <v>243</v>
      </c>
      <c r="F672">
        <v>24</v>
      </c>
      <c r="G672" s="21" t="s">
        <v>83</v>
      </c>
      <c r="H672" s="21" t="s">
        <v>22</v>
      </c>
      <c r="I672" s="21" t="s">
        <v>1552</v>
      </c>
    </row>
    <row r="673" spans="1:9" x14ac:dyDescent="0.25">
      <c r="A673" s="21" t="s">
        <v>1599</v>
      </c>
      <c r="B673">
        <v>25</v>
      </c>
      <c r="C673" s="21" t="s">
        <v>51</v>
      </c>
      <c r="D673" s="21" t="s">
        <v>54</v>
      </c>
      <c r="E673">
        <v>212</v>
      </c>
      <c r="F673">
        <v>24</v>
      </c>
      <c r="G673" s="21" t="s">
        <v>12</v>
      </c>
      <c r="H673" s="21" t="s">
        <v>39</v>
      </c>
      <c r="I673" s="21" t="s">
        <v>1552</v>
      </c>
    </row>
    <row r="674" spans="1:9" x14ac:dyDescent="0.25">
      <c r="A674" s="21" t="s">
        <v>1600</v>
      </c>
      <c r="B674">
        <v>84</v>
      </c>
      <c r="C674" s="21" t="s">
        <v>57</v>
      </c>
      <c r="D674" s="21" t="s">
        <v>29</v>
      </c>
      <c r="E674">
        <v>245</v>
      </c>
      <c r="G674" s="21" t="s">
        <v>25</v>
      </c>
      <c r="H674" s="21" t="s">
        <v>280</v>
      </c>
      <c r="I674" s="21" t="s">
        <v>1552</v>
      </c>
    </row>
    <row r="675" spans="1:9" x14ac:dyDescent="0.25">
      <c r="A675" s="21" t="s">
        <v>1601</v>
      </c>
      <c r="B675">
        <v>41</v>
      </c>
      <c r="C675" s="21" t="s">
        <v>89</v>
      </c>
      <c r="D675" s="21" t="s">
        <v>54</v>
      </c>
      <c r="E675">
        <v>192</v>
      </c>
      <c r="F675">
        <v>23</v>
      </c>
      <c r="G675" s="21" t="s">
        <v>25</v>
      </c>
      <c r="H675" s="21" t="s">
        <v>138</v>
      </c>
      <c r="I675" s="21" t="s">
        <v>1552</v>
      </c>
    </row>
    <row r="676" spans="1:9" x14ac:dyDescent="0.25">
      <c r="A676" s="21" t="s">
        <v>1602</v>
      </c>
      <c r="B676">
        <v>33</v>
      </c>
      <c r="C676" s="21" t="s">
        <v>124</v>
      </c>
      <c r="D676" s="21" t="s">
        <v>11</v>
      </c>
      <c r="E676">
        <v>195</v>
      </c>
      <c r="F676">
        <v>22</v>
      </c>
      <c r="G676" s="21" t="s">
        <v>25</v>
      </c>
      <c r="H676" s="21" t="s">
        <v>516</v>
      </c>
      <c r="I676" s="21" t="s">
        <v>1552</v>
      </c>
    </row>
    <row r="677" spans="1:9" x14ac:dyDescent="0.25">
      <c r="A677" s="21" t="s">
        <v>1603</v>
      </c>
      <c r="B677">
        <v>63</v>
      </c>
      <c r="C677" s="21" t="s">
        <v>184</v>
      </c>
      <c r="D677" s="21" t="s">
        <v>44</v>
      </c>
      <c r="E677">
        <v>301</v>
      </c>
      <c r="F677">
        <v>31</v>
      </c>
      <c r="G677" s="21" t="s">
        <v>64</v>
      </c>
      <c r="H677" s="21" t="s">
        <v>36</v>
      </c>
      <c r="I677" s="21" t="s">
        <v>1552</v>
      </c>
    </row>
    <row r="678" spans="1:9" x14ac:dyDescent="0.25">
      <c r="A678" s="21" t="s">
        <v>1604</v>
      </c>
      <c r="B678">
        <v>53</v>
      </c>
      <c r="C678" s="21" t="s">
        <v>15</v>
      </c>
      <c r="D678" s="21" t="s">
        <v>11</v>
      </c>
      <c r="E678">
        <v>235</v>
      </c>
      <c r="F678">
        <v>24</v>
      </c>
      <c r="G678" s="21" t="s">
        <v>30</v>
      </c>
      <c r="H678" s="21" t="s">
        <v>1271</v>
      </c>
      <c r="I678" s="21" t="s">
        <v>1552</v>
      </c>
    </row>
    <row r="679" spans="1:9" x14ac:dyDescent="0.25">
      <c r="A679" s="21" t="s">
        <v>1605</v>
      </c>
      <c r="B679">
        <v>52</v>
      </c>
      <c r="C679" s="21" t="s">
        <v>213</v>
      </c>
      <c r="D679" s="21" t="s">
        <v>44</v>
      </c>
      <c r="E679">
        <v>252</v>
      </c>
      <c r="F679">
        <v>31</v>
      </c>
      <c r="G679" s="21" t="s">
        <v>64</v>
      </c>
      <c r="H679" s="21" t="s">
        <v>504</v>
      </c>
      <c r="I679" s="21" t="s">
        <v>1552</v>
      </c>
    </row>
    <row r="680" spans="1:9" x14ac:dyDescent="0.25">
      <c r="A680" s="21" t="s">
        <v>1606</v>
      </c>
      <c r="B680">
        <v>58</v>
      </c>
      <c r="C680" s="21" t="s">
        <v>15</v>
      </c>
      <c r="D680" s="21" t="s">
        <v>11</v>
      </c>
      <c r="E680">
        <v>228</v>
      </c>
      <c r="G680" s="21" t="s">
        <v>25</v>
      </c>
      <c r="H680" s="21" t="s">
        <v>120</v>
      </c>
      <c r="I680" s="21" t="s">
        <v>1552</v>
      </c>
    </row>
    <row r="681" spans="1:9" x14ac:dyDescent="0.25">
      <c r="A681" s="21" t="s">
        <v>1607</v>
      </c>
      <c r="B681">
        <v>39</v>
      </c>
      <c r="C681" s="21" t="s">
        <v>51</v>
      </c>
      <c r="D681" s="21" t="s">
        <v>54</v>
      </c>
      <c r="E681">
        <v>200</v>
      </c>
      <c r="G681" s="21" t="s">
        <v>25</v>
      </c>
      <c r="H681" s="21" t="s">
        <v>504</v>
      </c>
      <c r="I681" s="21" t="s">
        <v>1552</v>
      </c>
    </row>
    <row r="682" spans="1:9" x14ac:dyDescent="0.25">
      <c r="A682" s="21" t="s">
        <v>1608</v>
      </c>
      <c r="B682">
        <v>1</v>
      </c>
      <c r="C682" s="21" t="s">
        <v>76</v>
      </c>
      <c r="D682" s="21" t="s">
        <v>54</v>
      </c>
      <c r="E682">
        <v>216</v>
      </c>
      <c r="F682">
        <v>24</v>
      </c>
      <c r="G682" s="21" t="s">
        <v>25</v>
      </c>
      <c r="H682" s="21" t="s">
        <v>176</v>
      </c>
      <c r="I682" s="21" t="s">
        <v>1552</v>
      </c>
    </row>
    <row r="683" spans="1:9" x14ac:dyDescent="0.25">
      <c r="A683" s="21" t="s">
        <v>1609</v>
      </c>
      <c r="B683">
        <v>88</v>
      </c>
      <c r="C683" s="21" t="s">
        <v>57</v>
      </c>
      <c r="D683" s="21" t="s">
        <v>35</v>
      </c>
      <c r="E683">
        <v>246</v>
      </c>
      <c r="F683">
        <v>23</v>
      </c>
      <c r="G683" s="21" t="s">
        <v>30</v>
      </c>
      <c r="H683" s="21" t="s">
        <v>196</v>
      </c>
      <c r="I683" s="21" t="s">
        <v>1552</v>
      </c>
    </row>
    <row r="684" spans="1:9" x14ac:dyDescent="0.25">
      <c r="A684" s="21" t="s">
        <v>1610</v>
      </c>
      <c r="B684">
        <v>91</v>
      </c>
      <c r="C684" s="21" t="s">
        <v>19</v>
      </c>
      <c r="D684" s="21" t="s">
        <v>11</v>
      </c>
      <c r="E684">
        <v>322</v>
      </c>
      <c r="F684">
        <v>25</v>
      </c>
      <c r="G684" s="21" t="s">
        <v>83</v>
      </c>
      <c r="H684" s="21" t="s">
        <v>1611</v>
      </c>
      <c r="I684" s="21" t="s">
        <v>1552</v>
      </c>
    </row>
    <row r="685" spans="1:9" x14ac:dyDescent="0.25">
      <c r="A685" s="21" t="s">
        <v>1612</v>
      </c>
      <c r="B685">
        <v>11</v>
      </c>
      <c r="C685" s="21" t="s">
        <v>10</v>
      </c>
      <c r="D685" s="21" t="s">
        <v>44</v>
      </c>
      <c r="E685">
        <v>215</v>
      </c>
      <c r="F685">
        <v>27</v>
      </c>
      <c r="G685" s="21" t="s">
        <v>12</v>
      </c>
      <c r="H685" s="21" t="s">
        <v>1613</v>
      </c>
      <c r="I685" s="21" t="s">
        <v>1552</v>
      </c>
    </row>
    <row r="686" spans="1:9" x14ac:dyDescent="0.25">
      <c r="A686" s="21" t="s">
        <v>1614</v>
      </c>
      <c r="B686">
        <v>9</v>
      </c>
      <c r="C686" s="21" t="s">
        <v>15</v>
      </c>
      <c r="D686" s="21" t="s">
        <v>24</v>
      </c>
      <c r="E686">
        <v>241</v>
      </c>
      <c r="F686">
        <v>23</v>
      </c>
      <c r="G686" s="21" t="s">
        <v>12</v>
      </c>
      <c r="H686" s="21" t="s">
        <v>187</v>
      </c>
      <c r="I686" s="21" t="s">
        <v>1552</v>
      </c>
    </row>
    <row r="687" spans="1:9" x14ac:dyDescent="0.25">
      <c r="A687" s="21" t="s">
        <v>1615</v>
      </c>
      <c r="B687">
        <v>40</v>
      </c>
      <c r="C687" s="21" t="s">
        <v>91</v>
      </c>
      <c r="D687" s="21" t="s">
        <v>44</v>
      </c>
      <c r="E687">
        <v>235</v>
      </c>
      <c r="F687">
        <v>24</v>
      </c>
      <c r="G687" s="21" t="s">
        <v>12</v>
      </c>
      <c r="H687" s="21" t="s">
        <v>241</v>
      </c>
      <c r="I687" s="21" t="s">
        <v>1552</v>
      </c>
    </row>
    <row r="688" spans="1:9" x14ac:dyDescent="0.25">
      <c r="A688" s="21" t="s">
        <v>1616</v>
      </c>
      <c r="B688">
        <v>31</v>
      </c>
      <c r="C688" s="21" t="s">
        <v>15</v>
      </c>
      <c r="D688" s="21" t="s">
        <v>44</v>
      </c>
      <c r="E688">
        <v>244</v>
      </c>
      <c r="F688">
        <v>24</v>
      </c>
      <c r="G688" s="21" t="s">
        <v>30</v>
      </c>
      <c r="H688" s="21" t="s">
        <v>117</v>
      </c>
      <c r="I688" s="21" t="s">
        <v>1552</v>
      </c>
    </row>
    <row r="689" spans="1:9" x14ac:dyDescent="0.25">
      <c r="A689" s="21" t="s">
        <v>1617</v>
      </c>
      <c r="B689">
        <v>74</v>
      </c>
      <c r="C689" s="21" t="s">
        <v>140</v>
      </c>
      <c r="D689" s="21" t="s">
        <v>20</v>
      </c>
      <c r="E689">
        <v>317</v>
      </c>
      <c r="F689">
        <v>28</v>
      </c>
      <c r="G689" s="21" t="s">
        <v>12</v>
      </c>
      <c r="H689" s="21" t="s">
        <v>93</v>
      </c>
      <c r="I689" s="21" t="s">
        <v>1552</v>
      </c>
    </row>
    <row r="690" spans="1:9" x14ac:dyDescent="0.25">
      <c r="A690" s="21" t="s">
        <v>1618</v>
      </c>
      <c r="B690">
        <v>57</v>
      </c>
      <c r="C690" s="21" t="s">
        <v>15</v>
      </c>
      <c r="D690" s="21" t="s">
        <v>11</v>
      </c>
      <c r="E690">
        <v>231</v>
      </c>
      <c r="F690">
        <v>23</v>
      </c>
      <c r="G690" s="21" t="s">
        <v>30</v>
      </c>
      <c r="H690" s="21" t="s">
        <v>130</v>
      </c>
      <c r="I690" s="21" t="s">
        <v>1552</v>
      </c>
    </row>
    <row r="691" spans="1:9" x14ac:dyDescent="0.25">
      <c r="A691" s="21" t="s">
        <v>1619</v>
      </c>
      <c r="B691">
        <v>93</v>
      </c>
      <c r="C691" s="21" t="s">
        <v>19</v>
      </c>
      <c r="D691" s="21" t="s">
        <v>35</v>
      </c>
      <c r="E691">
        <v>320</v>
      </c>
      <c r="F691">
        <v>21</v>
      </c>
      <c r="G691" s="21" t="s">
        <v>25</v>
      </c>
      <c r="H691" s="21" t="s">
        <v>39</v>
      </c>
      <c r="I691" s="21" t="s">
        <v>1552</v>
      </c>
    </row>
    <row r="692" spans="1:9" x14ac:dyDescent="0.25">
      <c r="A692" s="21" t="s">
        <v>1620</v>
      </c>
      <c r="B692">
        <v>5</v>
      </c>
      <c r="C692" s="21" t="s">
        <v>10</v>
      </c>
      <c r="D692" s="21" t="s">
        <v>52</v>
      </c>
      <c r="E692">
        <v>210</v>
      </c>
      <c r="F692">
        <v>22</v>
      </c>
      <c r="G692" s="21" t="s">
        <v>30</v>
      </c>
      <c r="H692" s="21" t="s">
        <v>104</v>
      </c>
      <c r="I692" s="21" t="s">
        <v>1552</v>
      </c>
    </row>
    <row r="693" spans="1:9" x14ac:dyDescent="0.25">
      <c r="A693" s="21" t="s">
        <v>1621</v>
      </c>
      <c r="B693">
        <v>89</v>
      </c>
      <c r="C693" s="21" t="s">
        <v>57</v>
      </c>
      <c r="D693" s="21" t="s">
        <v>141</v>
      </c>
      <c r="E693">
        <v>237</v>
      </c>
      <c r="F693">
        <v>24</v>
      </c>
      <c r="G693" s="21" t="s">
        <v>12</v>
      </c>
      <c r="H693" s="21" t="s">
        <v>1622</v>
      </c>
      <c r="I693" s="21" t="s">
        <v>1552</v>
      </c>
    </row>
    <row r="694" spans="1:9" x14ac:dyDescent="0.25">
      <c r="A694" s="21" t="s">
        <v>1623</v>
      </c>
      <c r="B694">
        <v>1</v>
      </c>
      <c r="C694" s="21" t="s">
        <v>70</v>
      </c>
      <c r="D694" s="21" t="s">
        <v>35</v>
      </c>
      <c r="E694">
        <v>228</v>
      </c>
      <c r="F694">
        <v>24</v>
      </c>
      <c r="G694" s="21" t="s">
        <v>25</v>
      </c>
      <c r="H694" s="21" t="s">
        <v>176</v>
      </c>
      <c r="I694" s="21" t="s">
        <v>1552</v>
      </c>
    </row>
    <row r="695" spans="1:9" x14ac:dyDescent="0.25">
      <c r="A695" s="21" t="s">
        <v>1624</v>
      </c>
      <c r="B695">
        <v>79</v>
      </c>
      <c r="C695" s="21" t="s">
        <v>140</v>
      </c>
      <c r="D695" s="21" t="s">
        <v>67</v>
      </c>
      <c r="E695">
        <v>307</v>
      </c>
      <c r="F695">
        <v>25</v>
      </c>
      <c r="G695" s="21" t="s">
        <v>16</v>
      </c>
      <c r="H695" s="21" t="s">
        <v>366</v>
      </c>
      <c r="I695" s="21" t="s">
        <v>1552</v>
      </c>
    </row>
    <row r="696" spans="1:9" x14ac:dyDescent="0.25">
      <c r="A696" s="21" t="s">
        <v>1625</v>
      </c>
      <c r="B696">
        <v>12</v>
      </c>
      <c r="C696" s="21" t="s">
        <v>10</v>
      </c>
      <c r="D696" s="21" t="s">
        <v>11</v>
      </c>
      <c r="E696">
        <v>224</v>
      </c>
      <c r="F696">
        <v>24</v>
      </c>
      <c r="G696" s="21" t="s">
        <v>30</v>
      </c>
      <c r="H696" s="21" t="s">
        <v>333</v>
      </c>
      <c r="I696" s="21" t="s">
        <v>1552</v>
      </c>
    </row>
    <row r="697" spans="1:9" x14ac:dyDescent="0.25">
      <c r="A697" s="21" t="s">
        <v>1626</v>
      </c>
      <c r="B697">
        <v>42</v>
      </c>
      <c r="C697" s="21" t="s">
        <v>15</v>
      </c>
      <c r="D697" s="21" t="s">
        <v>44</v>
      </c>
      <c r="E697">
        <v>245</v>
      </c>
      <c r="F697">
        <v>27</v>
      </c>
      <c r="G697" s="21" t="s">
        <v>16</v>
      </c>
      <c r="H697" s="21" t="s">
        <v>624</v>
      </c>
      <c r="I697" s="21" t="s">
        <v>1552</v>
      </c>
    </row>
    <row r="698" spans="1:9" x14ac:dyDescent="0.25">
      <c r="A698" s="21" t="s">
        <v>1627</v>
      </c>
      <c r="B698">
        <v>34</v>
      </c>
      <c r="C698" s="21" t="s">
        <v>51</v>
      </c>
      <c r="D698" s="21" t="s">
        <v>125</v>
      </c>
      <c r="E698">
        <v>211</v>
      </c>
      <c r="F698">
        <v>23</v>
      </c>
      <c r="G698" s="21" t="s">
        <v>30</v>
      </c>
      <c r="H698" s="21" t="s">
        <v>335</v>
      </c>
      <c r="I698" s="21" t="s">
        <v>1552</v>
      </c>
    </row>
    <row r="699" spans="1:9" x14ac:dyDescent="0.25">
      <c r="A699" s="21" t="s">
        <v>1628</v>
      </c>
      <c r="B699">
        <v>94</v>
      </c>
      <c r="C699" s="21" t="s">
        <v>213</v>
      </c>
      <c r="D699" s="21" t="s">
        <v>24</v>
      </c>
      <c r="E699">
        <v>244</v>
      </c>
      <c r="F699">
        <v>23</v>
      </c>
      <c r="G699" s="21" t="s">
        <v>30</v>
      </c>
      <c r="H699" s="21" t="s">
        <v>347</v>
      </c>
      <c r="I699" s="21" t="s">
        <v>1552</v>
      </c>
    </row>
    <row r="700" spans="1:9" x14ac:dyDescent="0.25">
      <c r="A700" s="21" t="s">
        <v>1629</v>
      </c>
      <c r="B700">
        <v>68</v>
      </c>
      <c r="C700" s="21" t="s">
        <v>28</v>
      </c>
      <c r="D700" s="21" t="s">
        <v>35</v>
      </c>
      <c r="E700">
        <v>325</v>
      </c>
      <c r="F700">
        <v>22</v>
      </c>
      <c r="G700" s="21" t="s">
        <v>25</v>
      </c>
      <c r="H700" s="21" t="s">
        <v>196</v>
      </c>
      <c r="I700" s="21" t="s">
        <v>1552</v>
      </c>
    </row>
    <row r="701" spans="1:9" x14ac:dyDescent="0.25">
      <c r="A701" s="21" t="s">
        <v>1630</v>
      </c>
      <c r="B701">
        <v>26</v>
      </c>
      <c r="C701" s="21" t="s">
        <v>48</v>
      </c>
      <c r="D701" s="21" t="s">
        <v>125</v>
      </c>
      <c r="E701">
        <v>180</v>
      </c>
      <c r="F701">
        <v>22</v>
      </c>
      <c r="G701" s="21" t="s">
        <v>30</v>
      </c>
      <c r="H701" s="21" t="s">
        <v>241</v>
      </c>
      <c r="I701" s="21" t="s">
        <v>1552</v>
      </c>
    </row>
    <row r="702" spans="1:9" x14ac:dyDescent="0.25">
      <c r="A702" s="21" t="s">
        <v>1631</v>
      </c>
      <c r="B702">
        <v>73</v>
      </c>
      <c r="C702" s="21" t="s">
        <v>140</v>
      </c>
      <c r="D702" s="21" t="s">
        <v>67</v>
      </c>
      <c r="E702">
        <v>322</v>
      </c>
      <c r="F702">
        <v>23</v>
      </c>
      <c r="G702" s="21" t="s">
        <v>83</v>
      </c>
      <c r="H702" s="21" t="s">
        <v>165</v>
      </c>
      <c r="I702" s="21" t="s">
        <v>1552</v>
      </c>
    </row>
    <row r="703" spans="1:9" x14ac:dyDescent="0.25">
      <c r="A703" s="21" t="s">
        <v>1632</v>
      </c>
      <c r="B703">
        <v>16</v>
      </c>
      <c r="C703" s="21" t="s">
        <v>193</v>
      </c>
      <c r="D703" s="21" t="s">
        <v>29</v>
      </c>
      <c r="E703">
        <v>208</v>
      </c>
      <c r="F703">
        <v>26</v>
      </c>
      <c r="G703" s="21" t="s">
        <v>16</v>
      </c>
      <c r="H703" s="21" t="s">
        <v>233</v>
      </c>
      <c r="I703" s="21" t="s">
        <v>1552</v>
      </c>
    </row>
    <row r="704" spans="1:9" x14ac:dyDescent="0.25">
      <c r="A704" s="21" t="s">
        <v>1633</v>
      </c>
      <c r="B704">
        <v>38</v>
      </c>
      <c r="C704" s="21" t="s">
        <v>48</v>
      </c>
      <c r="D704" s="21" t="s">
        <v>29</v>
      </c>
      <c r="E704">
        <v>245</v>
      </c>
      <c r="F704">
        <v>23</v>
      </c>
      <c r="G704" s="21" t="s">
        <v>25</v>
      </c>
      <c r="H704" s="21" t="s">
        <v>278</v>
      </c>
      <c r="I704" s="21" t="s">
        <v>1552</v>
      </c>
    </row>
    <row r="705" spans="1:9" x14ac:dyDescent="0.25">
      <c r="A705" s="21" t="s">
        <v>1634</v>
      </c>
      <c r="B705">
        <v>59</v>
      </c>
      <c r="C705" s="21" t="s">
        <v>213</v>
      </c>
      <c r="D705" s="21" t="s">
        <v>44</v>
      </c>
      <c r="E705">
        <v>249</v>
      </c>
      <c r="F705">
        <v>23</v>
      </c>
      <c r="G705" s="21" t="s">
        <v>25</v>
      </c>
      <c r="H705" s="21" t="s">
        <v>1635</v>
      </c>
      <c r="I705" s="21" t="s">
        <v>1552</v>
      </c>
    </row>
    <row r="706" spans="1:9" x14ac:dyDescent="0.25">
      <c r="A706" s="21" t="s">
        <v>1636</v>
      </c>
      <c r="B706">
        <v>70</v>
      </c>
      <c r="C706" s="21" t="s">
        <v>140</v>
      </c>
      <c r="D706" s="21" t="s">
        <v>35</v>
      </c>
      <c r="E706">
        <v>315</v>
      </c>
      <c r="F706">
        <v>23</v>
      </c>
      <c r="G706" s="21" t="s">
        <v>30</v>
      </c>
      <c r="H706" s="21" t="s">
        <v>302</v>
      </c>
      <c r="I706" s="21" t="s">
        <v>1552</v>
      </c>
    </row>
    <row r="707" spans="1:9" x14ac:dyDescent="0.25">
      <c r="A707" s="21" t="s">
        <v>1637</v>
      </c>
      <c r="B707">
        <v>48</v>
      </c>
      <c r="C707" s="21" t="s">
        <v>57</v>
      </c>
      <c r="D707" s="21" t="s">
        <v>35</v>
      </c>
      <c r="E707">
        <v>226</v>
      </c>
      <c r="G707" s="21" t="s">
        <v>25</v>
      </c>
      <c r="H707" s="21" t="s">
        <v>1341</v>
      </c>
      <c r="I707" s="21" t="s">
        <v>1552</v>
      </c>
    </row>
    <row r="708" spans="1:9" x14ac:dyDescent="0.25">
      <c r="A708" s="21" t="s">
        <v>1638</v>
      </c>
      <c r="B708">
        <v>28</v>
      </c>
      <c r="C708" s="21" t="s">
        <v>51</v>
      </c>
      <c r="D708" s="21" t="s">
        <v>52</v>
      </c>
      <c r="E708">
        <v>215</v>
      </c>
      <c r="F708">
        <v>20</v>
      </c>
      <c r="G708" s="21" t="s">
        <v>25</v>
      </c>
      <c r="H708" s="21" t="s">
        <v>152</v>
      </c>
      <c r="I708" s="21" t="s">
        <v>1552</v>
      </c>
    </row>
    <row r="709" spans="1:9" x14ac:dyDescent="0.25">
      <c r="A709" s="21" t="s">
        <v>1639</v>
      </c>
      <c r="B709">
        <v>2</v>
      </c>
      <c r="C709" s="21" t="s">
        <v>70</v>
      </c>
      <c r="D709" s="21" t="s">
        <v>52</v>
      </c>
      <c r="E709">
        <v>224</v>
      </c>
      <c r="F709">
        <v>26</v>
      </c>
      <c r="G709" s="21" t="s">
        <v>16</v>
      </c>
      <c r="H709" s="21" t="s">
        <v>122</v>
      </c>
      <c r="I709" s="21" t="s">
        <v>1552</v>
      </c>
    </row>
    <row r="710" spans="1:9" x14ac:dyDescent="0.25">
      <c r="A710" s="21" t="s">
        <v>1640</v>
      </c>
      <c r="B710">
        <v>36</v>
      </c>
      <c r="C710" s="21" t="s">
        <v>124</v>
      </c>
      <c r="D710" s="21" t="s">
        <v>125</v>
      </c>
      <c r="E710">
        <v>185</v>
      </c>
      <c r="F710">
        <v>23</v>
      </c>
      <c r="G710" s="21" t="s">
        <v>25</v>
      </c>
      <c r="H710" s="21" t="s">
        <v>282</v>
      </c>
      <c r="I710" s="21" t="s">
        <v>1552</v>
      </c>
    </row>
    <row r="711" spans="1:9" x14ac:dyDescent="0.25">
      <c r="A711" s="21" t="s">
        <v>1641</v>
      </c>
      <c r="B711">
        <v>48</v>
      </c>
      <c r="C711" s="21" t="s">
        <v>89</v>
      </c>
      <c r="D711" s="21" t="s">
        <v>86</v>
      </c>
      <c r="E711">
        <v>184</v>
      </c>
      <c r="G711" s="21" t="s">
        <v>25</v>
      </c>
      <c r="H711" s="21" t="s">
        <v>398</v>
      </c>
      <c r="I711" s="21" t="s">
        <v>1552</v>
      </c>
    </row>
    <row r="712" spans="1:9" x14ac:dyDescent="0.25">
      <c r="A712" s="21" t="s">
        <v>1642</v>
      </c>
      <c r="B712">
        <v>99</v>
      </c>
      <c r="C712" s="21" t="s">
        <v>19</v>
      </c>
      <c r="D712" s="21" t="s">
        <v>67</v>
      </c>
      <c r="E712">
        <v>295</v>
      </c>
      <c r="F712">
        <v>25</v>
      </c>
      <c r="G712" s="21" t="s">
        <v>16</v>
      </c>
      <c r="H712" s="21" t="s">
        <v>31</v>
      </c>
      <c r="I712" s="21" t="s">
        <v>1552</v>
      </c>
    </row>
    <row r="713" spans="1:9" x14ac:dyDescent="0.25">
      <c r="A713" s="21" t="s">
        <v>1643</v>
      </c>
      <c r="B713">
        <v>62</v>
      </c>
      <c r="C713" s="21" t="s">
        <v>140</v>
      </c>
      <c r="D713" s="21" t="s">
        <v>20</v>
      </c>
      <c r="E713">
        <v>320</v>
      </c>
      <c r="G713" s="21" t="s">
        <v>25</v>
      </c>
      <c r="H713" s="21" t="s">
        <v>1220</v>
      </c>
      <c r="I713" s="21" t="s">
        <v>1552</v>
      </c>
    </row>
    <row r="714" spans="1:9" x14ac:dyDescent="0.25">
      <c r="A714" s="21" t="s">
        <v>1644</v>
      </c>
      <c r="B714">
        <v>49</v>
      </c>
      <c r="C714" s="21" t="s">
        <v>15</v>
      </c>
      <c r="D714" s="21" t="s">
        <v>24</v>
      </c>
      <c r="E714">
        <v>234</v>
      </c>
      <c r="F714">
        <v>26</v>
      </c>
      <c r="G714" s="21" t="s">
        <v>16</v>
      </c>
      <c r="H714" s="21" t="s">
        <v>31</v>
      </c>
      <c r="I714" s="21" t="s">
        <v>1552</v>
      </c>
    </row>
    <row r="715" spans="1:9" x14ac:dyDescent="0.25">
      <c r="A715" s="21" t="s">
        <v>1645</v>
      </c>
      <c r="B715">
        <v>8</v>
      </c>
      <c r="C715" s="21" t="s">
        <v>213</v>
      </c>
      <c r="D715" s="21" t="s">
        <v>44</v>
      </c>
      <c r="E715">
        <v>250</v>
      </c>
      <c r="F715">
        <v>31</v>
      </c>
      <c r="G715" s="21" t="s">
        <v>64</v>
      </c>
      <c r="H715" s="21" t="s">
        <v>204</v>
      </c>
      <c r="I715" s="21" t="s">
        <v>1552</v>
      </c>
    </row>
    <row r="716" spans="1:9" x14ac:dyDescent="0.25">
      <c r="A716" s="21" t="s">
        <v>1646</v>
      </c>
      <c r="B716">
        <v>60</v>
      </c>
      <c r="C716" s="21" t="s">
        <v>184</v>
      </c>
      <c r="D716" s="21" t="s">
        <v>67</v>
      </c>
      <c r="E716">
        <v>310</v>
      </c>
      <c r="G716" s="21" t="s">
        <v>25</v>
      </c>
      <c r="H716" s="21" t="s">
        <v>1341</v>
      </c>
      <c r="I716" s="21" t="s">
        <v>1552</v>
      </c>
    </row>
    <row r="717" spans="1:9" x14ac:dyDescent="0.25">
      <c r="A717" s="21" t="s">
        <v>1647</v>
      </c>
      <c r="B717">
        <v>29</v>
      </c>
      <c r="C717" s="21" t="s">
        <v>124</v>
      </c>
      <c r="D717" s="21" t="s">
        <v>52</v>
      </c>
      <c r="E717">
        <v>207</v>
      </c>
      <c r="F717">
        <v>23</v>
      </c>
      <c r="G717" s="21" t="s">
        <v>30</v>
      </c>
      <c r="H717" s="21" t="s">
        <v>196</v>
      </c>
      <c r="I717" s="21" t="s">
        <v>1552</v>
      </c>
    </row>
    <row r="718" spans="1:9" x14ac:dyDescent="0.25">
      <c r="A718" s="21" t="s">
        <v>1648</v>
      </c>
      <c r="B718">
        <v>81</v>
      </c>
      <c r="C718" s="21" t="s">
        <v>10</v>
      </c>
      <c r="D718" s="21" t="s">
        <v>35</v>
      </c>
      <c r="E718">
        <v>218</v>
      </c>
      <c r="F718">
        <v>27</v>
      </c>
      <c r="G718" s="21" t="s">
        <v>38</v>
      </c>
      <c r="H718" s="21" t="s">
        <v>136</v>
      </c>
      <c r="I718" s="21" t="s">
        <v>1552</v>
      </c>
    </row>
    <row r="719" spans="1:9" x14ac:dyDescent="0.25">
      <c r="A719" s="21" t="s">
        <v>1649</v>
      </c>
      <c r="B719">
        <v>22</v>
      </c>
      <c r="C719" s="21" t="s">
        <v>89</v>
      </c>
      <c r="D719" s="21" t="s">
        <v>24</v>
      </c>
      <c r="E719">
        <v>193</v>
      </c>
      <c r="F719">
        <v>22</v>
      </c>
      <c r="G719" s="21" t="s">
        <v>25</v>
      </c>
      <c r="H719" s="21" t="s">
        <v>87</v>
      </c>
      <c r="I719" s="21" t="s">
        <v>1552</v>
      </c>
    </row>
    <row r="720" spans="1:9" x14ac:dyDescent="0.25">
      <c r="A720" s="21" t="s">
        <v>2508</v>
      </c>
      <c r="B720">
        <v>44</v>
      </c>
      <c r="C720" s="21" t="s">
        <v>15</v>
      </c>
      <c r="D720" s="21" t="s">
        <v>11</v>
      </c>
      <c r="E720">
        <v>230</v>
      </c>
      <c r="F720">
        <v>26</v>
      </c>
      <c r="G720" s="21" t="s">
        <v>45</v>
      </c>
      <c r="H720" s="21" t="s">
        <v>320</v>
      </c>
      <c r="I720" s="21" t="s">
        <v>2507</v>
      </c>
    </row>
    <row r="721" spans="1:9" x14ac:dyDescent="0.25">
      <c r="A721" s="21" t="s">
        <v>2509</v>
      </c>
      <c r="B721">
        <v>43</v>
      </c>
      <c r="C721" s="21" t="s">
        <v>15</v>
      </c>
      <c r="D721" s="21" t="s">
        <v>24</v>
      </c>
      <c r="E721">
        <v>239</v>
      </c>
      <c r="F721">
        <v>23</v>
      </c>
      <c r="G721" s="21" t="s">
        <v>25</v>
      </c>
      <c r="H721" s="21" t="s">
        <v>261</v>
      </c>
      <c r="I721" s="21" t="s">
        <v>2507</v>
      </c>
    </row>
    <row r="722" spans="1:9" x14ac:dyDescent="0.25">
      <c r="A722" s="21" t="s">
        <v>2510</v>
      </c>
      <c r="B722">
        <v>16</v>
      </c>
      <c r="C722" s="21" t="s">
        <v>124</v>
      </c>
      <c r="D722" s="21" t="s">
        <v>24</v>
      </c>
      <c r="E722">
        <v>217</v>
      </c>
      <c r="F722">
        <v>22</v>
      </c>
      <c r="G722" s="21" t="s">
        <v>25</v>
      </c>
      <c r="H722" s="21" t="s">
        <v>680</v>
      </c>
      <c r="I722" s="21" t="s">
        <v>2507</v>
      </c>
    </row>
    <row r="723" spans="1:9" x14ac:dyDescent="0.25">
      <c r="A723" s="21" t="s">
        <v>2511</v>
      </c>
      <c r="B723">
        <v>47</v>
      </c>
      <c r="C723" s="21" t="s">
        <v>57</v>
      </c>
      <c r="D723" s="21" t="s">
        <v>67</v>
      </c>
      <c r="E723">
        <v>251</v>
      </c>
      <c r="F723">
        <v>25</v>
      </c>
      <c r="G723" s="21" t="s">
        <v>25</v>
      </c>
      <c r="H723" s="21" t="s">
        <v>162</v>
      </c>
      <c r="I723" s="21" t="s">
        <v>2507</v>
      </c>
    </row>
    <row r="724" spans="1:9" x14ac:dyDescent="0.25">
      <c r="A724" s="21" t="s">
        <v>2512</v>
      </c>
      <c r="B724">
        <v>79</v>
      </c>
      <c r="C724" s="21" t="s">
        <v>19</v>
      </c>
      <c r="D724" s="21" t="s">
        <v>35</v>
      </c>
      <c r="E724">
        <v>320</v>
      </c>
      <c r="F724">
        <v>25</v>
      </c>
      <c r="G724" s="21" t="s">
        <v>83</v>
      </c>
      <c r="H724" s="21" t="s">
        <v>765</v>
      </c>
      <c r="I724" s="21" t="s">
        <v>2507</v>
      </c>
    </row>
    <row r="725" spans="1:9" x14ac:dyDescent="0.25">
      <c r="A725" s="21" t="s">
        <v>2513</v>
      </c>
      <c r="B725">
        <v>47</v>
      </c>
      <c r="C725" s="21" t="s">
        <v>15</v>
      </c>
      <c r="D725" s="21" t="s">
        <v>11</v>
      </c>
      <c r="E725">
        <v>230</v>
      </c>
      <c r="F725">
        <v>23</v>
      </c>
      <c r="G725" s="21" t="s">
        <v>25</v>
      </c>
      <c r="H725" s="21" t="s">
        <v>231</v>
      </c>
      <c r="I725" s="21" t="s">
        <v>2507</v>
      </c>
    </row>
    <row r="726" spans="1:9" x14ac:dyDescent="0.25">
      <c r="A726" s="21" t="s">
        <v>2514</v>
      </c>
      <c r="B726">
        <v>90</v>
      </c>
      <c r="C726" s="21" t="s">
        <v>19</v>
      </c>
      <c r="D726" s="21" t="s">
        <v>35</v>
      </c>
      <c r="E726">
        <v>315</v>
      </c>
      <c r="F726">
        <v>29</v>
      </c>
      <c r="G726" s="21" t="s">
        <v>21</v>
      </c>
      <c r="H726" s="21" t="s">
        <v>65</v>
      </c>
      <c r="I726" s="21" t="s">
        <v>2507</v>
      </c>
    </row>
    <row r="727" spans="1:9" x14ac:dyDescent="0.25">
      <c r="A727" s="21" t="s">
        <v>2515</v>
      </c>
      <c r="B727">
        <v>35</v>
      </c>
      <c r="C727" s="21" t="s">
        <v>91</v>
      </c>
      <c r="D727" s="21" t="s">
        <v>11</v>
      </c>
      <c r="E727">
        <v>233</v>
      </c>
      <c r="F727">
        <v>26</v>
      </c>
      <c r="G727" s="21" t="s">
        <v>16</v>
      </c>
      <c r="H727" s="21" t="s">
        <v>46</v>
      </c>
      <c r="I727" s="21" t="s">
        <v>2507</v>
      </c>
    </row>
    <row r="728" spans="1:9" x14ac:dyDescent="0.25">
      <c r="A728" s="21" t="s">
        <v>2516</v>
      </c>
      <c r="B728">
        <v>75</v>
      </c>
      <c r="C728" s="21" t="s">
        <v>28</v>
      </c>
      <c r="D728" s="21" t="s">
        <v>29</v>
      </c>
      <c r="E728">
        <v>333</v>
      </c>
      <c r="F728">
        <v>23</v>
      </c>
      <c r="G728" s="21" t="s">
        <v>30</v>
      </c>
      <c r="H728" s="21" t="s">
        <v>335</v>
      </c>
      <c r="I728" s="21" t="s">
        <v>2507</v>
      </c>
    </row>
    <row r="729" spans="1:9" x14ac:dyDescent="0.25">
      <c r="A729" s="21" t="s">
        <v>2517</v>
      </c>
      <c r="B729">
        <v>9</v>
      </c>
      <c r="C729" s="21" t="s">
        <v>124</v>
      </c>
      <c r="D729" s="21" t="s">
        <v>52</v>
      </c>
      <c r="E729">
        <v>200</v>
      </c>
      <c r="F729">
        <v>23</v>
      </c>
      <c r="G729" s="21" t="s">
        <v>25</v>
      </c>
      <c r="H729" s="21" t="s">
        <v>3251</v>
      </c>
      <c r="I729" s="21" t="s">
        <v>2507</v>
      </c>
    </row>
    <row r="730" spans="1:9" x14ac:dyDescent="0.25">
      <c r="A730" s="21" t="s">
        <v>2518</v>
      </c>
      <c r="B730">
        <v>69</v>
      </c>
      <c r="C730" s="21" t="s">
        <v>28</v>
      </c>
      <c r="D730" s="21" t="s">
        <v>44</v>
      </c>
      <c r="E730">
        <v>311</v>
      </c>
      <c r="F730">
        <v>23</v>
      </c>
      <c r="G730" s="21" t="s">
        <v>25</v>
      </c>
      <c r="H730" s="21" t="s">
        <v>2519</v>
      </c>
      <c r="I730" s="21" t="s">
        <v>2507</v>
      </c>
    </row>
    <row r="731" spans="1:9" x14ac:dyDescent="0.25">
      <c r="A731" s="21" t="s">
        <v>2520</v>
      </c>
      <c r="B731">
        <v>72</v>
      </c>
      <c r="C731" s="21" t="s">
        <v>28</v>
      </c>
      <c r="D731" s="21" t="s">
        <v>67</v>
      </c>
      <c r="E731">
        <v>310</v>
      </c>
      <c r="F731">
        <v>30</v>
      </c>
      <c r="G731" s="21" t="s">
        <v>45</v>
      </c>
      <c r="H731" s="21" t="s">
        <v>65</v>
      </c>
      <c r="I731" s="21" t="s">
        <v>2507</v>
      </c>
    </row>
    <row r="732" spans="1:9" x14ac:dyDescent="0.25">
      <c r="A732" s="21" t="s">
        <v>2521</v>
      </c>
      <c r="B732">
        <v>82</v>
      </c>
      <c r="C732" s="21" t="s">
        <v>10</v>
      </c>
      <c r="D732" s="21" t="s">
        <v>24</v>
      </c>
      <c r="E732">
        <v>198</v>
      </c>
      <c r="F732">
        <v>23</v>
      </c>
      <c r="G732" s="21" t="s">
        <v>30</v>
      </c>
      <c r="H732" s="21" t="s">
        <v>1718</v>
      </c>
      <c r="I732" s="21" t="s">
        <v>2507</v>
      </c>
    </row>
    <row r="733" spans="1:9" x14ac:dyDescent="0.25">
      <c r="A733" s="21" t="s">
        <v>2522</v>
      </c>
      <c r="B733">
        <v>29</v>
      </c>
      <c r="C733" s="21" t="s">
        <v>124</v>
      </c>
      <c r="D733" s="21" t="s">
        <v>52</v>
      </c>
      <c r="E733">
        <v>209</v>
      </c>
      <c r="F733">
        <v>27</v>
      </c>
      <c r="G733" s="21" t="s">
        <v>45</v>
      </c>
      <c r="H733" s="21" t="s">
        <v>62</v>
      </c>
      <c r="I733" s="21" t="s">
        <v>2507</v>
      </c>
    </row>
    <row r="734" spans="1:9" x14ac:dyDescent="0.25">
      <c r="A734" s="21" t="s">
        <v>2523</v>
      </c>
      <c r="B734">
        <v>71</v>
      </c>
      <c r="C734" s="21" t="s">
        <v>28</v>
      </c>
      <c r="D734" s="21" t="s">
        <v>20</v>
      </c>
      <c r="E734">
        <v>315</v>
      </c>
      <c r="F734">
        <v>27</v>
      </c>
      <c r="G734" s="21" t="s">
        <v>38</v>
      </c>
      <c r="H734" s="21" t="s">
        <v>2524</v>
      </c>
      <c r="I734" s="21" t="s">
        <v>2507</v>
      </c>
    </row>
    <row r="735" spans="1:9" x14ac:dyDescent="0.25">
      <c r="A735" s="21" t="s">
        <v>2525</v>
      </c>
      <c r="B735">
        <v>38</v>
      </c>
      <c r="C735" s="21" t="s">
        <v>15</v>
      </c>
      <c r="D735" s="21" t="s">
        <v>52</v>
      </c>
      <c r="E735">
        <v>235</v>
      </c>
      <c r="F735">
        <v>24</v>
      </c>
      <c r="G735" s="21" t="s">
        <v>30</v>
      </c>
      <c r="H735" s="21" t="s">
        <v>2024</v>
      </c>
      <c r="I735" s="21" t="s">
        <v>2507</v>
      </c>
    </row>
    <row r="736" spans="1:9" x14ac:dyDescent="0.25">
      <c r="A736" s="21" t="s">
        <v>2526</v>
      </c>
      <c r="B736">
        <v>79</v>
      </c>
      <c r="C736" s="21" t="s">
        <v>28</v>
      </c>
      <c r="D736" s="21" t="s">
        <v>29</v>
      </c>
      <c r="E736">
        <v>357</v>
      </c>
      <c r="G736" s="21" t="s">
        <v>25</v>
      </c>
      <c r="H736" s="21" t="s">
        <v>251</v>
      </c>
      <c r="I736" s="21" t="s">
        <v>2507</v>
      </c>
    </row>
    <row r="737" spans="1:9" x14ac:dyDescent="0.25">
      <c r="A737" s="21" t="s">
        <v>2527</v>
      </c>
      <c r="B737">
        <v>98</v>
      </c>
      <c r="C737" s="21" t="s">
        <v>19</v>
      </c>
      <c r="D737" s="21" t="s">
        <v>35</v>
      </c>
      <c r="E737">
        <v>308</v>
      </c>
      <c r="F737">
        <v>25</v>
      </c>
      <c r="G737" s="21" t="s">
        <v>25</v>
      </c>
      <c r="H737" s="21" t="s">
        <v>168</v>
      </c>
      <c r="I737" s="21" t="s">
        <v>2507</v>
      </c>
    </row>
    <row r="738" spans="1:9" x14ac:dyDescent="0.25">
      <c r="A738" s="21" t="s">
        <v>2528</v>
      </c>
      <c r="B738">
        <v>31</v>
      </c>
      <c r="C738" s="21" t="s">
        <v>51</v>
      </c>
      <c r="D738" s="21" t="s">
        <v>54</v>
      </c>
      <c r="E738">
        <v>206</v>
      </c>
      <c r="F738">
        <v>23</v>
      </c>
      <c r="G738" s="21" t="s">
        <v>25</v>
      </c>
      <c r="H738" s="21" t="s">
        <v>87</v>
      </c>
      <c r="I738" s="21" t="s">
        <v>2507</v>
      </c>
    </row>
    <row r="739" spans="1:9" x14ac:dyDescent="0.25">
      <c r="A739" s="21" t="s">
        <v>2529</v>
      </c>
      <c r="B739">
        <v>97</v>
      </c>
      <c r="C739" s="21" t="s">
        <v>19</v>
      </c>
      <c r="D739" s="21" t="s">
        <v>44</v>
      </c>
      <c r="E739">
        <v>277</v>
      </c>
      <c r="F739">
        <v>28</v>
      </c>
      <c r="G739" s="21" t="s">
        <v>21</v>
      </c>
      <c r="H739" s="21" t="s">
        <v>241</v>
      </c>
      <c r="I739" s="21" t="s">
        <v>2507</v>
      </c>
    </row>
    <row r="740" spans="1:9" x14ac:dyDescent="0.25">
      <c r="A740" s="21" t="s">
        <v>2530</v>
      </c>
      <c r="B740">
        <v>60</v>
      </c>
      <c r="C740" s="21" t="s">
        <v>28</v>
      </c>
      <c r="D740" s="21" t="s">
        <v>35</v>
      </c>
      <c r="E740">
        <v>320</v>
      </c>
      <c r="F740">
        <v>26</v>
      </c>
      <c r="G740" s="21" t="s">
        <v>83</v>
      </c>
      <c r="H740" s="21" t="s">
        <v>837</v>
      </c>
      <c r="I740" s="21" t="s">
        <v>2507</v>
      </c>
    </row>
    <row r="741" spans="1:9" x14ac:dyDescent="0.25">
      <c r="A741" s="21" t="s">
        <v>2531</v>
      </c>
      <c r="B741">
        <v>21</v>
      </c>
      <c r="C741" s="21" t="s">
        <v>51</v>
      </c>
      <c r="D741" s="21" t="s">
        <v>125</v>
      </c>
      <c r="E741">
        <v>203</v>
      </c>
      <c r="F741">
        <v>24</v>
      </c>
      <c r="G741" s="21" t="s">
        <v>12</v>
      </c>
      <c r="H741" s="21" t="s">
        <v>243</v>
      </c>
      <c r="I741" s="21" t="s">
        <v>2507</v>
      </c>
    </row>
    <row r="742" spans="1:9" x14ac:dyDescent="0.25">
      <c r="A742" s="21" t="s">
        <v>2532</v>
      </c>
      <c r="B742">
        <v>1</v>
      </c>
      <c r="C742" s="21" t="s">
        <v>70</v>
      </c>
      <c r="D742" s="21" t="s">
        <v>44</v>
      </c>
      <c r="E742">
        <v>228</v>
      </c>
      <c r="F742">
        <v>23</v>
      </c>
      <c r="G742" s="21" t="s">
        <v>30</v>
      </c>
      <c r="H742" s="21" t="s">
        <v>36</v>
      </c>
      <c r="I742" s="21" t="s">
        <v>2507</v>
      </c>
    </row>
    <row r="743" spans="1:9" x14ac:dyDescent="0.25">
      <c r="A743" s="21" t="s">
        <v>2533</v>
      </c>
      <c r="B743">
        <v>17</v>
      </c>
      <c r="C743" s="21" t="s">
        <v>10</v>
      </c>
      <c r="D743" s="21" t="s">
        <v>135</v>
      </c>
      <c r="E743">
        <v>186</v>
      </c>
      <c r="F743">
        <v>26</v>
      </c>
      <c r="G743" s="21" t="s">
        <v>83</v>
      </c>
      <c r="H743" s="21" t="s">
        <v>31</v>
      </c>
      <c r="I743" s="21" t="s">
        <v>2507</v>
      </c>
    </row>
    <row r="744" spans="1:9" x14ac:dyDescent="0.25">
      <c r="A744" s="21" t="s">
        <v>2534</v>
      </c>
      <c r="B744">
        <v>16</v>
      </c>
      <c r="C744" s="21" t="s">
        <v>193</v>
      </c>
      <c r="D744" s="21" t="s">
        <v>35</v>
      </c>
      <c r="E744">
        <v>219</v>
      </c>
      <c r="G744" s="21" t="s">
        <v>25</v>
      </c>
      <c r="H744" s="21" t="s">
        <v>106</v>
      </c>
      <c r="I744" s="21" t="s">
        <v>2507</v>
      </c>
    </row>
    <row r="745" spans="1:9" x14ac:dyDescent="0.25">
      <c r="A745" s="21" t="s">
        <v>2535</v>
      </c>
      <c r="B745">
        <v>99</v>
      </c>
      <c r="C745" s="21" t="s">
        <v>19</v>
      </c>
      <c r="D745" s="21" t="s">
        <v>35</v>
      </c>
      <c r="E745">
        <v>263</v>
      </c>
      <c r="F745">
        <v>25</v>
      </c>
      <c r="G745" s="21" t="s">
        <v>12</v>
      </c>
      <c r="H745" s="21" t="s">
        <v>352</v>
      </c>
      <c r="I745" s="21" t="s">
        <v>2507</v>
      </c>
    </row>
    <row r="746" spans="1:9" x14ac:dyDescent="0.25">
      <c r="A746" s="21" t="s">
        <v>2536</v>
      </c>
      <c r="B746">
        <v>6</v>
      </c>
      <c r="C746" s="21" t="s">
        <v>124</v>
      </c>
      <c r="D746" s="21" t="s">
        <v>11</v>
      </c>
      <c r="E746">
        <v>200</v>
      </c>
      <c r="F746">
        <v>22</v>
      </c>
      <c r="G746" s="21" t="s">
        <v>25</v>
      </c>
      <c r="H746" s="21" t="s">
        <v>274</v>
      </c>
      <c r="I746" s="21" t="s">
        <v>2507</v>
      </c>
    </row>
    <row r="747" spans="1:9" x14ac:dyDescent="0.25">
      <c r="A747" s="21" t="s">
        <v>2537</v>
      </c>
      <c r="B747">
        <v>27</v>
      </c>
      <c r="C747" s="21" t="s">
        <v>124</v>
      </c>
      <c r="D747" s="21" t="s">
        <v>54</v>
      </c>
      <c r="E747">
        <v>197</v>
      </c>
      <c r="F747">
        <v>23</v>
      </c>
      <c r="G747" s="21" t="s">
        <v>83</v>
      </c>
      <c r="H747" s="21" t="s">
        <v>22</v>
      </c>
      <c r="I747" s="21" t="s">
        <v>2507</v>
      </c>
    </row>
    <row r="748" spans="1:9" x14ac:dyDescent="0.25">
      <c r="A748" s="21" t="s">
        <v>2538</v>
      </c>
      <c r="B748">
        <v>31</v>
      </c>
      <c r="C748" s="21" t="s">
        <v>124</v>
      </c>
      <c r="D748" s="21" t="s">
        <v>44</v>
      </c>
      <c r="E748">
        <v>203</v>
      </c>
      <c r="G748" s="21" t="s">
        <v>25</v>
      </c>
      <c r="H748" s="21" t="s">
        <v>335</v>
      </c>
      <c r="I748" s="21" t="s">
        <v>2507</v>
      </c>
    </row>
    <row r="749" spans="1:9" x14ac:dyDescent="0.25">
      <c r="A749" s="21" t="s">
        <v>2445</v>
      </c>
      <c r="B749">
        <v>84</v>
      </c>
      <c r="C749" s="21" t="s">
        <v>57</v>
      </c>
      <c r="D749" s="21" t="s">
        <v>67</v>
      </c>
      <c r="E749">
        <v>255</v>
      </c>
      <c r="F749">
        <v>32</v>
      </c>
      <c r="G749" s="21" t="s">
        <v>111</v>
      </c>
      <c r="H749" s="21" t="s">
        <v>797</v>
      </c>
      <c r="I749" s="21" t="s">
        <v>2507</v>
      </c>
    </row>
    <row r="750" spans="1:9" x14ac:dyDescent="0.25">
      <c r="A750" s="21" t="s">
        <v>1194</v>
      </c>
      <c r="B750">
        <v>8</v>
      </c>
      <c r="C750" s="21" t="s">
        <v>10</v>
      </c>
      <c r="D750" s="21" t="s">
        <v>35</v>
      </c>
      <c r="E750">
        <v>225</v>
      </c>
      <c r="F750">
        <v>24</v>
      </c>
      <c r="G750" s="21" t="s">
        <v>16</v>
      </c>
      <c r="H750" s="21" t="s">
        <v>13</v>
      </c>
      <c r="I750" s="21" t="s">
        <v>2507</v>
      </c>
    </row>
    <row r="751" spans="1:9" x14ac:dyDescent="0.25">
      <c r="A751" s="21" t="s">
        <v>2539</v>
      </c>
      <c r="B751">
        <v>24</v>
      </c>
      <c r="C751" s="21" t="s">
        <v>51</v>
      </c>
      <c r="D751" s="21" t="s">
        <v>135</v>
      </c>
      <c r="E751">
        <v>212</v>
      </c>
      <c r="F751">
        <v>24</v>
      </c>
      <c r="G751" s="21" t="s">
        <v>30</v>
      </c>
      <c r="H751" s="21" t="s">
        <v>357</v>
      </c>
      <c r="I751" s="21" t="s">
        <v>2507</v>
      </c>
    </row>
    <row r="752" spans="1:9" x14ac:dyDescent="0.25">
      <c r="A752" s="21" t="s">
        <v>2540</v>
      </c>
      <c r="B752">
        <v>37</v>
      </c>
      <c r="C752" s="21" t="s">
        <v>124</v>
      </c>
      <c r="D752" s="21" t="s">
        <v>54</v>
      </c>
      <c r="E752">
        <v>200</v>
      </c>
      <c r="F752">
        <v>22</v>
      </c>
      <c r="G752" s="21" t="s">
        <v>25</v>
      </c>
      <c r="H752" s="21" t="s">
        <v>226</v>
      </c>
      <c r="I752" s="21" t="s">
        <v>2507</v>
      </c>
    </row>
    <row r="753" spans="1:9" x14ac:dyDescent="0.25">
      <c r="A753" s="21" t="s">
        <v>2541</v>
      </c>
      <c r="B753">
        <v>36</v>
      </c>
      <c r="C753" s="21" t="s">
        <v>124</v>
      </c>
      <c r="D753" s="21" t="s">
        <v>11</v>
      </c>
      <c r="E753">
        <v>202</v>
      </c>
      <c r="F753">
        <v>29</v>
      </c>
      <c r="G753" s="21" t="s">
        <v>100</v>
      </c>
      <c r="H753" s="21" t="s">
        <v>1220</v>
      </c>
      <c r="I753" s="21" t="s">
        <v>2507</v>
      </c>
    </row>
    <row r="754" spans="1:9" x14ac:dyDescent="0.25">
      <c r="A754" s="21" t="s">
        <v>2542</v>
      </c>
      <c r="B754">
        <v>4</v>
      </c>
      <c r="C754" s="21" t="s">
        <v>124</v>
      </c>
      <c r="D754" s="21" t="s">
        <v>11</v>
      </c>
      <c r="E754">
        <v>206</v>
      </c>
      <c r="F754">
        <v>28</v>
      </c>
      <c r="G754" s="21" t="s">
        <v>38</v>
      </c>
      <c r="H754" s="21" t="s">
        <v>233</v>
      </c>
      <c r="I754" s="21" t="s">
        <v>2507</v>
      </c>
    </row>
    <row r="755" spans="1:9" x14ac:dyDescent="0.25">
      <c r="A755" s="21" t="s">
        <v>1969</v>
      </c>
      <c r="B755">
        <v>23</v>
      </c>
      <c r="C755" s="21" t="s">
        <v>124</v>
      </c>
      <c r="D755" s="21" t="s">
        <v>24</v>
      </c>
      <c r="E755">
        <v>208</v>
      </c>
      <c r="F755">
        <v>24</v>
      </c>
      <c r="G755" s="21" t="s">
        <v>30</v>
      </c>
      <c r="H755" s="21" t="s">
        <v>556</v>
      </c>
      <c r="I755" s="21" t="s">
        <v>2507</v>
      </c>
    </row>
    <row r="756" spans="1:9" x14ac:dyDescent="0.25">
      <c r="A756" s="21" t="s">
        <v>2543</v>
      </c>
      <c r="B756">
        <v>76</v>
      </c>
      <c r="C756" s="21" t="s">
        <v>28</v>
      </c>
      <c r="D756" s="21" t="s">
        <v>67</v>
      </c>
      <c r="E756">
        <v>321</v>
      </c>
      <c r="F756">
        <v>24</v>
      </c>
      <c r="G756" s="21" t="s">
        <v>30</v>
      </c>
      <c r="H756" s="21" t="s">
        <v>130</v>
      </c>
      <c r="I756" s="21" t="s">
        <v>2507</v>
      </c>
    </row>
    <row r="757" spans="1:9" x14ac:dyDescent="0.25">
      <c r="A757" s="21" t="s">
        <v>2544</v>
      </c>
      <c r="B757">
        <v>87</v>
      </c>
      <c r="C757" s="21" t="s">
        <v>57</v>
      </c>
      <c r="D757" s="21" t="s">
        <v>20</v>
      </c>
      <c r="E757">
        <v>227</v>
      </c>
      <c r="F757">
        <v>24</v>
      </c>
      <c r="G757" s="21" t="s">
        <v>30</v>
      </c>
      <c r="H757" s="21" t="s">
        <v>2545</v>
      </c>
      <c r="I757" s="21" t="s">
        <v>2507</v>
      </c>
    </row>
    <row r="758" spans="1:9" x14ac:dyDescent="0.25">
      <c r="A758" s="21" t="s">
        <v>2546</v>
      </c>
      <c r="B758">
        <v>92</v>
      </c>
      <c r="C758" s="21" t="s">
        <v>15</v>
      </c>
      <c r="D758" s="21" t="s">
        <v>24</v>
      </c>
      <c r="E758">
        <v>227</v>
      </c>
      <c r="F758">
        <v>24</v>
      </c>
      <c r="G758" s="21" t="s">
        <v>30</v>
      </c>
      <c r="H758" s="21" t="s">
        <v>2547</v>
      </c>
      <c r="I758" s="21" t="s">
        <v>2507</v>
      </c>
    </row>
    <row r="759" spans="1:9" x14ac:dyDescent="0.25">
      <c r="A759" s="21" t="s">
        <v>2548</v>
      </c>
      <c r="B759">
        <v>33</v>
      </c>
      <c r="C759" s="21" t="s">
        <v>124</v>
      </c>
      <c r="D759" s="21" t="s">
        <v>11</v>
      </c>
      <c r="E759">
        <v>196</v>
      </c>
      <c r="F759">
        <v>23</v>
      </c>
      <c r="G759" s="21" t="s">
        <v>12</v>
      </c>
      <c r="H759" s="21" t="s">
        <v>194</v>
      </c>
      <c r="I759" s="21" t="s">
        <v>2507</v>
      </c>
    </row>
    <row r="760" spans="1:9" x14ac:dyDescent="0.25">
      <c r="A760" s="21" t="s">
        <v>2549</v>
      </c>
      <c r="B760">
        <v>70</v>
      </c>
      <c r="C760" s="21" t="s">
        <v>28</v>
      </c>
      <c r="D760" s="21" t="s">
        <v>29</v>
      </c>
      <c r="E760">
        <v>310</v>
      </c>
      <c r="F760">
        <v>23</v>
      </c>
      <c r="G760" s="21" t="s">
        <v>25</v>
      </c>
      <c r="H760" s="21" t="s">
        <v>1015</v>
      </c>
      <c r="I760" s="21" t="s">
        <v>2507</v>
      </c>
    </row>
    <row r="761" spans="1:9" x14ac:dyDescent="0.25">
      <c r="A761" s="21" t="s">
        <v>2550</v>
      </c>
      <c r="B761">
        <v>35</v>
      </c>
      <c r="C761" s="21" t="s">
        <v>124</v>
      </c>
      <c r="D761" s="21" t="s">
        <v>54</v>
      </c>
      <c r="E761">
        <v>190</v>
      </c>
      <c r="F761">
        <v>24</v>
      </c>
      <c r="G761" s="21" t="s">
        <v>25</v>
      </c>
      <c r="H761" s="21" t="s">
        <v>516</v>
      </c>
      <c r="I761" s="21" t="s">
        <v>2507</v>
      </c>
    </row>
    <row r="762" spans="1:9" x14ac:dyDescent="0.25">
      <c r="A762" s="21" t="s">
        <v>2551</v>
      </c>
      <c r="B762">
        <v>93</v>
      </c>
      <c r="C762" s="21" t="s">
        <v>19</v>
      </c>
      <c r="D762" s="21" t="s">
        <v>44</v>
      </c>
      <c r="E762">
        <v>309</v>
      </c>
      <c r="F762">
        <v>25</v>
      </c>
      <c r="G762" s="21" t="s">
        <v>45</v>
      </c>
      <c r="H762" s="21" t="s">
        <v>106</v>
      </c>
      <c r="I762" s="21" t="s">
        <v>2507</v>
      </c>
    </row>
    <row r="763" spans="1:9" x14ac:dyDescent="0.25">
      <c r="A763" s="21" t="s">
        <v>2552</v>
      </c>
      <c r="B763">
        <v>12</v>
      </c>
      <c r="C763" s="21" t="s">
        <v>10</v>
      </c>
      <c r="D763" s="21" t="s">
        <v>11</v>
      </c>
      <c r="E763">
        <v>200</v>
      </c>
      <c r="F763">
        <v>25</v>
      </c>
      <c r="G763" s="21" t="s">
        <v>25</v>
      </c>
      <c r="H763" s="21" t="s">
        <v>104</v>
      </c>
      <c r="I763" s="21" t="s">
        <v>2507</v>
      </c>
    </row>
    <row r="764" spans="1:9" x14ac:dyDescent="0.25">
      <c r="A764" s="21" t="s">
        <v>2553</v>
      </c>
      <c r="B764">
        <v>30</v>
      </c>
      <c r="C764" s="21" t="s">
        <v>124</v>
      </c>
      <c r="D764" s="21" t="s">
        <v>11</v>
      </c>
      <c r="E764">
        <v>194</v>
      </c>
      <c r="F764">
        <v>27</v>
      </c>
      <c r="G764" s="21" t="s">
        <v>30</v>
      </c>
      <c r="H764" s="21" t="s">
        <v>2554</v>
      </c>
      <c r="I764" s="21" t="s">
        <v>2507</v>
      </c>
    </row>
    <row r="765" spans="1:9" x14ac:dyDescent="0.25">
      <c r="A765" s="21" t="s">
        <v>2555</v>
      </c>
      <c r="B765">
        <v>46</v>
      </c>
      <c r="C765" s="21" t="s">
        <v>19</v>
      </c>
      <c r="D765" s="21" t="s">
        <v>24</v>
      </c>
      <c r="E765">
        <v>288</v>
      </c>
      <c r="F765">
        <v>24</v>
      </c>
      <c r="G765" s="21" t="s">
        <v>30</v>
      </c>
      <c r="H765" s="21" t="s">
        <v>651</v>
      </c>
      <c r="I765" s="21" t="s">
        <v>2507</v>
      </c>
    </row>
    <row r="766" spans="1:9" x14ac:dyDescent="0.25">
      <c r="A766" s="21" t="s">
        <v>2556</v>
      </c>
      <c r="B766">
        <v>26</v>
      </c>
      <c r="C766" s="21" t="s">
        <v>124</v>
      </c>
      <c r="D766" s="21" t="s">
        <v>52</v>
      </c>
      <c r="E766">
        <v>202</v>
      </c>
      <c r="F766">
        <v>24</v>
      </c>
      <c r="G766" s="21" t="s">
        <v>12</v>
      </c>
      <c r="H766" s="21" t="s">
        <v>643</v>
      </c>
      <c r="I766" s="21" t="s">
        <v>2507</v>
      </c>
    </row>
    <row r="767" spans="1:9" x14ac:dyDescent="0.25">
      <c r="A767" s="21" t="s">
        <v>2557</v>
      </c>
      <c r="B767">
        <v>85</v>
      </c>
      <c r="C767" s="21" t="s">
        <v>57</v>
      </c>
      <c r="D767" s="21" t="s">
        <v>67</v>
      </c>
      <c r="E767">
        <v>260</v>
      </c>
      <c r="F767">
        <v>23</v>
      </c>
      <c r="G767" s="21" t="s">
        <v>12</v>
      </c>
      <c r="H767" s="21" t="s">
        <v>31</v>
      </c>
      <c r="I767" s="21" t="s">
        <v>2507</v>
      </c>
    </row>
    <row r="768" spans="1:9" x14ac:dyDescent="0.25">
      <c r="A768" s="21" t="s">
        <v>2558</v>
      </c>
      <c r="B768">
        <v>68</v>
      </c>
      <c r="C768" s="21" t="s">
        <v>28</v>
      </c>
      <c r="D768" s="21" t="s">
        <v>24</v>
      </c>
      <c r="E768">
        <v>300</v>
      </c>
      <c r="F768">
        <v>24</v>
      </c>
      <c r="G768" s="21" t="s">
        <v>25</v>
      </c>
      <c r="H768" s="21" t="s">
        <v>176</v>
      </c>
      <c r="I768" s="21" t="s">
        <v>2507</v>
      </c>
    </row>
    <row r="769" spans="1:9" x14ac:dyDescent="0.25">
      <c r="A769" s="21" t="s">
        <v>2559</v>
      </c>
      <c r="B769">
        <v>63</v>
      </c>
      <c r="C769" s="21" t="s">
        <v>19</v>
      </c>
      <c r="D769" s="21" t="s">
        <v>29</v>
      </c>
      <c r="E769">
        <v>316</v>
      </c>
      <c r="F769">
        <v>24</v>
      </c>
      <c r="G769" s="21" t="s">
        <v>83</v>
      </c>
      <c r="H769" s="21" t="s">
        <v>1725</v>
      </c>
      <c r="I769" s="21" t="s">
        <v>2507</v>
      </c>
    </row>
    <row r="770" spans="1:9" x14ac:dyDescent="0.25">
      <c r="A770" s="21" t="s">
        <v>2560</v>
      </c>
      <c r="B770">
        <v>32</v>
      </c>
      <c r="C770" s="21" t="s">
        <v>51</v>
      </c>
      <c r="D770" s="21" t="s">
        <v>54</v>
      </c>
      <c r="E770">
        <v>224</v>
      </c>
      <c r="F770">
        <v>25</v>
      </c>
      <c r="G770" s="21" t="s">
        <v>16</v>
      </c>
      <c r="H770" s="21" t="s">
        <v>162</v>
      </c>
      <c r="I770" s="21" t="s">
        <v>2507</v>
      </c>
    </row>
    <row r="771" spans="1:9" x14ac:dyDescent="0.25">
      <c r="A771" s="21" t="s">
        <v>2561</v>
      </c>
      <c r="B771">
        <v>11</v>
      </c>
      <c r="C771" s="21" t="s">
        <v>10</v>
      </c>
      <c r="D771" s="21" t="s">
        <v>54</v>
      </c>
      <c r="E771">
        <v>173</v>
      </c>
      <c r="F771">
        <v>24</v>
      </c>
      <c r="G771" s="21" t="s">
        <v>12</v>
      </c>
      <c r="H771" s="21" t="s">
        <v>643</v>
      </c>
      <c r="I771" s="21" t="s">
        <v>2507</v>
      </c>
    </row>
    <row r="772" spans="1:9" x14ac:dyDescent="0.25">
      <c r="A772" s="21" t="s">
        <v>1124</v>
      </c>
      <c r="B772">
        <v>18</v>
      </c>
      <c r="C772" s="21" t="s">
        <v>10</v>
      </c>
      <c r="D772" s="21" t="s">
        <v>11</v>
      </c>
      <c r="E772">
        <v>219</v>
      </c>
      <c r="F772">
        <v>27</v>
      </c>
      <c r="G772" s="21" t="s">
        <v>45</v>
      </c>
      <c r="H772" s="21" t="s">
        <v>2562</v>
      </c>
      <c r="I772" s="21" t="s">
        <v>2507</v>
      </c>
    </row>
    <row r="773" spans="1:9" x14ac:dyDescent="0.25">
      <c r="A773" s="21" t="s">
        <v>2563</v>
      </c>
      <c r="B773">
        <v>53</v>
      </c>
      <c r="C773" s="21" t="s">
        <v>15</v>
      </c>
      <c r="D773" s="21" t="s">
        <v>11</v>
      </c>
      <c r="E773">
        <v>216</v>
      </c>
      <c r="F773">
        <v>27</v>
      </c>
      <c r="G773" s="21" t="s">
        <v>38</v>
      </c>
      <c r="H773" s="21" t="s">
        <v>2564</v>
      </c>
      <c r="I773" s="21" t="s">
        <v>2507</v>
      </c>
    </row>
    <row r="774" spans="1:9" x14ac:dyDescent="0.25">
      <c r="A774" s="21" t="s">
        <v>2565</v>
      </c>
      <c r="B774">
        <v>55</v>
      </c>
      <c r="C774" s="21" t="s">
        <v>19</v>
      </c>
      <c r="D774" s="21" t="s">
        <v>44</v>
      </c>
      <c r="E774">
        <v>250</v>
      </c>
      <c r="F774">
        <v>27</v>
      </c>
      <c r="G774" s="21" t="s">
        <v>38</v>
      </c>
      <c r="H774" s="21" t="s">
        <v>385</v>
      </c>
      <c r="I774" s="21" t="s">
        <v>2507</v>
      </c>
    </row>
    <row r="775" spans="1:9" x14ac:dyDescent="0.25">
      <c r="A775" s="21" t="s">
        <v>2566</v>
      </c>
      <c r="B775">
        <v>67</v>
      </c>
      <c r="C775" s="21" t="s">
        <v>28</v>
      </c>
      <c r="D775" s="21" t="s">
        <v>24</v>
      </c>
      <c r="E775">
        <v>332</v>
      </c>
      <c r="F775">
        <v>25</v>
      </c>
      <c r="G775" s="21" t="s">
        <v>12</v>
      </c>
      <c r="H775" s="21" t="s">
        <v>31</v>
      </c>
      <c r="I775" s="21" t="s">
        <v>2507</v>
      </c>
    </row>
    <row r="776" spans="1:9" x14ac:dyDescent="0.25">
      <c r="A776" s="21" t="s">
        <v>2567</v>
      </c>
      <c r="B776">
        <v>83</v>
      </c>
      <c r="C776" s="21" t="s">
        <v>10</v>
      </c>
      <c r="D776" s="21" t="s">
        <v>125</v>
      </c>
      <c r="E776">
        <v>184</v>
      </c>
      <c r="F776">
        <v>23</v>
      </c>
      <c r="G776" s="21" t="s">
        <v>83</v>
      </c>
      <c r="H776" s="21" t="s">
        <v>73</v>
      </c>
      <c r="I776" s="21" t="s">
        <v>2507</v>
      </c>
    </row>
    <row r="777" spans="1:9" x14ac:dyDescent="0.25">
      <c r="A777" s="21" t="s">
        <v>2568</v>
      </c>
      <c r="B777">
        <v>80</v>
      </c>
      <c r="C777" s="21" t="s">
        <v>57</v>
      </c>
      <c r="D777" s="21" t="s">
        <v>35</v>
      </c>
      <c r="E777">
        <v>245</v>
      </c>
      <c r="F777">
        <v>30</v>
      </c>
      <c r="G777" s="21" t="s">
        <v>21</v>
      </c>
      <c r="H777" s="21" t="s">
        <v>849</v>
      </c>
      <c r="I777" s="21" t="s">
        <v>2507</v>
      </c>
    </row>
    <row r="778" spans="1:9" x14ac:dyDescent="0.25">
      <c r="A778" s="21" t="s">
        <v>2569</v>
      </c>
      <c r="B778">
        <v>62</v>
      </c>
      <c r="C778" s="21" t="s">
        <v>28</v>
      </c>
      <c r="D778" s="21" t="s">
        <v>44</v>
      </c>
      <c r="E778">
        <v>313</v>
      </c>
      <c r="F778">
        <v>28</v>
      </c>
      <c r="G778" s="21" t="s">
        <v>38</v>
      </c>
      <c r="H778" s="21" t="s">
        <v>347</v>
      </c>
      <c r="I778" s="21" t="s">
        <v>2507</v>
      </c>
    </row>
    <row r="779" spans="1:9" x14ac:dyDescent="0.25">
      <c r="A779" s="21" t="s">
        <v>2570</v>
      </c>
      <c r="B779">
        <v>63</v>
      </c>
      <c r="C779" s="21" t="s">
        <v>19</v>
      </c>
      <c r="D779" s="21" t="s">
        <v>35</v>
      </c>
      <c r="E779">
        <v>332</v>
      </c>
      <c r="F779">
        <v>31</v>
      </c>
      <c r="G779" s="21" t="s">
        <v>64</v>
      </c>
      <c r="H779" s="21" t="s">
        <v>2454</v>
      </c>
      <c r="I779" s="21" t="s">
        <v>2507</v>
      </c>
    </row>
    <row r="780" spans="1:9" x14ac:dyDescent="0.25">
      <c r="A780" s="21" t="s">
        <v>2571</v>
      </c>
      <c r="B780">
        <v>14</v>
      </c>
      <c r="C780" s="21" t="s">
        <v>70</v>
      </c>
      <c r="D780" s="21" t="s">
        <v>24</v>
      </c>
      <c r="E780">
        <v>225</v>
      </c>
      <c r="F780">
        <v>28</v>
      </c>
      <c r="G780" s="21" t="s">
        <v>38</v>
      </c>
      <c r="H780" s="21" t="s">
        <v>128</v>
      </c>
      <c r="I780" s="21" t="s">
        <v>2507</v>
      </c>
    </row>
    <row r="781" spans="1:9" x14ac:dyDescent="0.25">
      <c r="A781" s="21" t="s">
        <v>2572</v>
      </c>
      <c r="B781">
        <v>86</v>
      </c>
      <c r="C781" s="21" t="s">
        <v>10</v>
      </c>
      <c r="D781" s="21" t="s">
        <v>52</v>
      </c>
      <c r="E781">
        <v>195</v>
      </c>
      <c r="F781">
        <v>26</v>
      </c>
      <c r="G781" s="21" t="s">
        <v>45</v>
      </c>
      <c r="H781" s="21" t="s">
        <v>274</v>
      </c>
      <c r="I781" s="21" t="s">
        <v>2507</v>
      </c>
    </row>
    <row r="782" spans="1:9" x14ac:dyDescent="0.25">
      <c r="A782" s="21" t="s">
        <v>2573</v>
      </c>
      <c r="B782">
        <v>13</v>
      </c>
      <c r="C782" s="21" t="s">
        <v>10</v>
      </c>
      <c r="D782" s="21" t="s">
        <v>52</v>
      </c>
      <c r="E782">
        <v>203</v>
      </c>
      <c r="F782">
        <v>28</v>
      </c>
      <c r="G782" s="21" t="s">
        <v>45</v>
      </c>
      <c r="H782" s="21" t="s">
        <v>189</v>
      </c>
      <c r="I782" s="21" t="s">
        <v>2507</v>
      </c>
    </row>
    <row r="783" spans="1:9" x14ac:dyDescent="0.25">
      <c r="A783" s="21" t="s">
        <v>2574</v>
      </c>
      <c r="B783">
        <v>94</v>
      </c>
      <c r="C783" s="21" t="s">
        <v>19</v>
      </c>
      <c r="D783" s="21" t="s">
        <v>35</v>
      </c>
      <c r="E783">
        <v>245</v>
      </c>
      <c r="F783">
        <v>32</v>
      </c>
      <c r="G783" s="21" t="s">
        <v>186</v>
      </c>
      <c r="H783" s="21" t="s">
        <v>73</v>
      </c>
      <c r="I783" s="21" t="s">
        <v>2507</v>
      </c>
    </row>
    <row r="784" spans="1:9" x14ac:dyDescent="0.25">
      <c r="A784" s="21" t="s">
        <v>2575</v>
      </c>
      <c r="B784">
        <v>91</v>
      </c>
      <c r="C784" s="21" t="s">
        <v>19</v>
      </c>
      <c r="D784" s="21" t="s">
        <v>29</v>
      </c>
      <c r="E784">
        <v>253</v>
      </c>
      <c r="F784">
        <v>24</v>
      </c>
      <c r="G784" s="21" t="s">
        <v>25</v>
      </c>
      <c r="H784" s="21" t="s">
        <v>484</v>
      </c>
      <c r="I784" s="21" t="s">
        <v>2507</v>
      </c>
    </row>
    <row r="785" spans="1:9" x14ac:dyDescent="0.25">
      <c r="A785" s="21" t="s">
        <v>2576</v>
      </c>
      <c r="B785">
        <v>57</v>
      </c>
      <c r="C785" s="21" t="s">
        <v>15</v>
      </c>
      <c r="D785" s="21" t="s">
        <v>24</v>
      </c>
      <c r="E785">
        <v>234</v>
      </c>
      <c r="F785">
        <v>21</v>
      </c>
      <c r="G785" s="21" t="s">
        <v>25</v>
      </c>
      <c r="H785" s="21" t="s">
        <v>68</v>
      </c>
      <c r="I785" s="21" t="s">
        <v>2507</v>
      </c>
    </row>
    <row r="786" spans="1:9" x14ac:dyDescent="0.25">
      <c r="A786" s="21" t="s">
        <v>2577</v>
      </c>
      <c r="B786">
        <v>2</v>
      </c>
      <c r="C786" s="21" t="s">
        <v>76</v>
      </c>
      <c r="D786" s="21" t="s">
        <v>86</v>
      </c>
      <c r="E786">
        <v>175</v>
      </c>
      <c r="F786">
        <v>30</v>
      </c>
      <c r="G786" s="21" t="s">
        <v>21</v>
      </c>
      <c r="H786" s="21" t="s">
        <v>643</v>
      </c>
      <c r="I786" s="21" t="s">
        <v>2507</v>
      </c>
    </row>
    <row r="787" spans="1:9" x14ac:dyDescent="0.25">
      <c r="A787" s="21" t="s">
        <v>2578</v>
      </c>
      <c r="B787">
        <v>48</v>
      </c>
      <c r="C787" s="21" t="s">
        <v>158</v>
      </c>
      <c r="D787" s="21" t="s">
        <v>44</v>
      </c>
      <c r="E787">
        <v>226</v>
      </c>
      <c r="F787">
        <v>34</v>
      </c>
      <c r="G787" s="21" t="s">
        <v>100</v>
      </c>
      <c r="H787" s="21" t="s">
        <v>439</v>
      </c>
      <c r="I787" s="21" t="s">
        <v>2507</v>
      </c>
    </row>
    <row r="788" spans="1:9" x14ac:dyDescent="0.25">
      <c r="A788" s="21" t="s">
        <v>2579</v>
      </c>
      <c r="B788">
        <v>81</v>
      </c>
      <c r="C788" s="21" t="s">
        <v>10</v>
      </c>
      <c r="D788" s="21" t="s">
        <v>125</v>
      </c>
      <c r="E788">
        <v>166</v>
      </c>
      <c r="F788">
        <v>24</v>
      </c>
      <c r="G788" s="21" t="s">
        <v>25</v>
      </c>
      <c r="H788" s="21" t="s">
        <v>398</v>
      </c>
      <c r="I788" s="21" t="s">
        <v>2507</v>
      </c>
    </row>
    <row r="789" spans="1:9" x14ac:dyDescent="0.25">
      <c r="A789" s="21" t="s">
        <v>2580</v>
      </c>
      <c r="B789">
        <v>88</v>
      </c>
      <c r="C789" s="21" t="s">
        <v>10</v>
      </c>
      <c r="D789" s="21" t="s">
        <v>24</v>
      </c>
      <c r="E789">
        <v>194</v>
      </c>
      <c r="F789">
        <v>27</v>
      </c>
      <c r="G789" s="21" t="s">
        <v>100</v>
      </c>
      <c r="H789" s="21" t="s">
        <v>383</v>
      </c>
      <c r="I789" s="21" t="s">
        <v>2507</v>
      </c>
    </row>
    <row r="790" spans="1:9" x14ac:dyDescent="0.25">
      <c r="A790" s="21" t="s">
        <v>2581</v>
      </c>
      <c r="B790">
        <v>20</v>
      </c>
      <c r="C790" s="21" t="s">
        <v>124</v>
      </c>
      <c r="D790" s="21" t="s">
        <v>135</v>
      </c>
      <c r="E790">
        <v>176</v>
      </c>
      <c r="F790">
        <v>25</v>
      </c>
      <c r="G790" s="21" t="s">
        <v>16</v>
      </c>
      <c r="H790" s="21" t="s">
        <v>189</v>
      </c>
      <c r="I790" s="21" t="s">
        <v>2507</v>
      </c>
    </row>
    <row r="791" spans="1:9" x14ac:dyDescent="0.25">
      <c r="A791" s="21" t="s">
        <v>2582</v>
      </c>
      <c r="B791">
        <v>15</v>
      </c>
      <c r="C791" s="21" t="s">
        <v>70</v>
      </c>
      <c r="D791" s="21" t="s">
        <v>44</v>
      </c>
      <c r="E791">
        <v>220</v>
      </c>
      <c r="F791">
        <v>30</v>
      </c>
      <c r="G791" s="21" t="s">
        <v>100</v>
      </c>
      <c r="H791" s="21" t="s">
        <v>302</v>
      </c>
      <c r="I791" s="21" t="s">
        <v>2507</v>
      </c>
    </row>
    <row r="792" spans="1:9" x14ac:dyDescent="0.25">
      <c r="A792" s="21" t="s">
        <v>2583</v>
      </c>
      <c r="B792">
        <v>73</v>
      </c>
      <c r="C792" s="21" t="s">
        <v>28</v>
      </c>
      <c r="D792" s="21" t="s">
        <v>29</v>
      </c>
      <c r="E792">
        <v>319</v>
      </c>
      <c r="F792">
        <v>25</v>
      </c>
      <c r="G792" s="21" t="s">
        <v>12</v>
      </c>
      <c r="H792" s="21" t="s">
        <v>2584</v>
      </c>
      <c r="I792" s="21" t="s">
        <v>2507</v>
      </c>
    </row>
    <row r="793" spans="1:9" x14ac:dyDescent="0.25">
      <c r="A793" s="21" t="s">
        <v>2585</v>
      </c>
      <c r="B793">
        <v>58</v>
      </c>
      <c r="C793" s="21" t="s">
        <v>15</v>
      </c>
      <c r="D793" s="21" t="s">
        <v>52</v>
      </c>
      <c r="E793">
        <v>232</v>
      </c>
      <c r="F793">
        <v>25</v>
      </c>
      <c r="G793" s="21" t="s">
        <v>45</v>
      </c>
      <c r="H793" s="21" t="s">
        <v>196</v>
      </c>
      <c r="I793" s="21" t="s">
        <v>2507</v>
      </c>
    </row>
    <row r="794" spans="1:9" x14ac:dyDescent="0.25">
      <c r="A794" s="21" t="s">
        <v>2586</v>
      </c>
      <c r="B794">
        <v>49</v>
      </c>
      <c r="C794" s="21" t="s">
        <v>19</v>
      </c>
      <c r="D794" s="21" t="s">
        <v>20</v>
      </c>
      <c r="E794">
        <v>245</v>
      </c>
      <c r="F794">
        <v>24</v>
      </c>
      <c r="G794" s="21" t="s">
        <v>83</v>
      </c>
      <c r="H794" s="21" t="s">
        <v>333</v>
      </c>
      <c r="I794" s="21" t="s">
        <v>2507</v>
      </c>
    </row>
    <row r="795" spans="1:9" x14ac:dyDescent="0.25">
      <c r="A795" s="21" t="s">
        <v>2587</v>
      </c>
      <c r="B795">
        <v>19</v>
      </c>
      <c r="C795" s="21" t="s">
        <v>10</v>
      </c>
      <c r="D795" s="21" t="s">
        <v>29</v>
      </c>
      <c r="E795">
        <v>214</v>
      </c>
      <c r="F795">
        <v>25</v>
      </c>
      <c r="G795" s="21" t="s">
        <v>45</v>
      </c>
      <c r="H795" s="21" t="s">
        <v>31</v>
      </c>
      <c r="I795" s="21" t="s">
        <v>2507</v>
      </c>
    </row>
    <row r="796" spans="1:9" x14ac:dyDescent="0.25">
      <c r="A796" s="21" t="s">
        <v>2588</v>
      </c>
      <c r="B796">
        <v>18</v>
      </c>
      <c r="C796" s="21" t="s">
        <v>124</v>
      </c>
      <c r="D796" s="21" t="s">
        <v>24</v>
      </c>
      <c r="E796">
        <v>207</v>
      </c>
      <c r="F796">
        <v>25</v>
      </c>
      <c r="G796" s="21" t="s">
        <v>30</v>
      </c>
      <c r="H796" s="21" t="s">
        <v>196</v>
      </c>
      <c r="I796" s="21" t="s">
        <v>2507</v>
      </c>
    </row>
    <row r="797" spans="1:9" x14ac:dyDescent="0.25">
      <c r="A797" s="21" t="s">
        <v>2589</v>
      </c>
      <c r="B797">
        <v>39</v>
      </c>
      <c r="C797" s="21" t="s">
        <v>124</v>
      </c>
      <c r="D797" s="21" t="s">
        <v>54</v>
      </c>
      <c r="E797">
        <v>180</v>
      </c>
      <c r="F797">
        <v>26</v>
      </c>
      <c r="G797" s="21" t="s">
        <v>16</v>
      </c>
      <c r="H797" s="21" t="s">
        <v>357</v>
      </c>
      <c r="I797" s="21" t="s">
        <v>2507</v>
      </c>
    </row>
    <row r="798" spans="1:9" x14ac:dyDescent="0.25">
      <c r="A798" s="21" t="s">
        <v>2590</v>
      </c>
      <c r="B798">
        <v>59</v>
      </c>
      <c r="C798" s="21" t="s">
        <v>19</v>
      </c>
      <c r="D798" s="21" t="s">
        <v>44</v>
      </c>
      <c r="E798">
        <v>241</v>
      </c>
      <c r="G798" s="21" t="s">
        <v>25</v>
      </c>
      <c r="H798" s="21" t="s">
        <v>2591</v>
      </c>
      <c r="I798" s="21" t="s">
        <v>2507</v>
      </c>
    </row>
    <row r="799" spans="1:9" x14ac:dyDescent="0.25">
      <c r="A799" s="21" t="s">
        <v>2592</v>
      </c>
      <c r="B799">
        <v>21</v>
      </c>
      <c r="C799" s="21" t="s">
        <v>124</v>
      </c>
      <c r="D799" s="21" t="s">
        <v>24</v>
      </c>
      <c r="E799">
        <v>214</v>
      </c>
      <c r="F799">
        <v>22</v>
      </c>
      <c r="G799" s="21" t="s">
        <v>25</v>
      </c>
      <c r="H799" s="21" t="s">
        <v>147</v>
      </c>
      <c r="I799" s="21" t="s">
        <v>2507</v>
      </c>
    </row>
    <row r="800" spans="1:9" x14ac:dyDescent="0.25">
      <c r="A800" s="21" t="s">
        <v>2593</v>
      </c>
      <c r="B800">
        <v>45</v>
      </c>
      <c r="C800" s="21" t="s">
        <v>15</v>
      </c>
      <c r="D800" s="21" t="s">
        <v>52</v>
      </c>
      <c r="E800">
        <v>227</v>
      </c>
      <c r="F800">
        <v>31</v>
      </c>
      <c r="G800" s="21" t="s">
        <v>21</v>
      </c>
      <c r="H800" s="21" t="s">
        <v>372</v>
      </c>
      <c r="I800" s="21" t="s">
        <v>2507</v>
      </c>
    </row>
    <row r="801" spans="1:9" x14ac:dyDescent="0.25">
      <c r="A801" s="21" t="s">
        <v>2594</v>
      </c>
      <c r="B801">
        <v>74</v>
      </c>
      <c r="C801" s="21" t="s">
        <v>28</v>
      </c>
      <c r="D801" s="21" t="s">
        <v>29</v>
      </c>
      <c r="E801">
        <v>308</v>
      </c>
      <c r="F801">
        <v>24</v>
      </c>
      <c r="G801" s="21" t="s">
        <v>25</v>
      </c>
      <c r="H801" s="21" t="s">
        <v>33</v>
      </c>
      <c r="I801" s="21" t="s">
        <v>2507</v>
      </c>
    </row>
    <row r="802" spans="1:9" x14ac:dyDescent="0.25">
      <c r="A802" s="21" t="s">
        <v>2595</v>
      </c>
      <c r="B802">
        <v>95</v>
      </c>
      <c r="C802" s="21" t="s">
        <v>19</v>
      </c>
      <c r="D802" s="21" t="s">
        <v>35</v>
      </c>
      <c r="E802">
        <v>338</v>
      </c>
      <c r="F802">
        <v>26</v>
      </c>
      <c r="G802" s="21" t="s">
        <v>30</v>
      </c>
      <c r="H802" s="21" t="s">
        <v>204</v>
      </c>
      <c r="I802" s="21" t="s">
        <v>2507</v>
      </c>
    </row>
    <row r="803" spans="1:9" x14ac:dyDescent="0.25">
      <c r="A803" s="21" t="s">
        <v>2596</v>
      </c>
      <c r="B803">
        <v>46</v>
      </c>
      <c r="C803" s="21" t="s">
        <v>57</v>
      </c>
      <c r="D803" s="21" t="s">
        <v>35</v>
      </c>
      <c r="E803">
        <v>240</v>
      </c>
      <c r="F803">
        <v>23</v>
      </c>
      <c r="G803" s="21" t="s">
        <v>25</v>
      </c>
      <c r="H803" s="21" t="s">
        <v>226</v>
      </c>
      <c r="I803" s="21" t="s">
        <v>2507</v>
      </c>
    </row>
    <row r="804" spans="1:9" x14ac:dyDescent="0.25">
      <c r="A804" s="21" t="s">
        <v>2597</v>
      </c>
      <c r="B804">
        <v>30</v>
      </c>
      <c r="C804" s="21" t="s">
        <v>51</v>
      </c>
      <c r="D804" s="21" t="s">
        <v>86</v>
      </c>
      <c r="E804">
        <v>206</v>
      </c>
      <c r="F804">
        <v>23</v>
      </c>
      <c r="G804" s="21" t="s">
        <v>25</v>
      </c>
      <c r="H804" s="21" t="s">
        <v>2282</v>
      </c>
      <c r="I804" s="21" t="s">
        <v>2507</v>
      </c>
    </row>
    <row r="805" spans="1:9" x14ac:dyDescent="0.25">
      <c r="A805" s="21" t="s">
        <v>2598</v>
      </c>
      <c r="B805">
        <v>22</v>
      </c>
      <c r="C805" s="21" t="s">
        <v>124</v>
      </c>
      <c r="D805" s="21" t="s">
        <v>54</v>
      </c>
      <c r="E805">
        <v>189</v>
      </c>
      <c r="F805">
        <v>24</v>
      </c>
      <c r="G805" s="21" t="s">
        <v>12</v>
      </c>
      <c r="H805" s="21" t="s">
        <v>269</v>
      </c>
      <c r="I805" s="21" t="s">
        <v>2507</v>
      </c>
    </row>
    <row r="806" spans="1:9" x14ac:dyDescent="0.25">
      <c r="A806" s="21" t="s">
        <v>2599</v>
      </c>
      <c r="B806">
        <v>10</v>
      </c>
      <c r="C806" s="21" t="s">
        <v>10</v>
      </c>
      <c r="D806" s="21" t="s">
        <v>125</v>
      </c>
      <c r="E806">
        <v>180</v>
      </c>
      <c r="F806">
        <v>26</v>
      </c>
      <c r="G806" s="21" t="s">
        <v>16</v>
      </c>
      <c r="H806" s="21" t="s">
        <v>60</v>
      </c>
      <c r="I806" s="21" t="s">
        <v>2507</v>
      </c>
    </row>
    <row r="807" spans="1:9" x14ac:dyDescent="0.25">
      <c r="A807" s="21" t="s">
        <v>2600</v>
      </c>
      <c r="B807">
        <v>65</v>
      </c>
      <c r="C807" s="21" t="s">
        <v>28</v>
      </c>
      <c r="D807" s="21" t="s">
        <v>44</v>
      </c>
      <c r="E807">
        <v>316</v>
      </c>
      <c r="F807">
        <v>30</v>
      </c>
      <c r="G807" s="21" t="s">
        <v>100</v>
      </c>
      <c r="H807" s="21" t="s">
        <v>189</v>
      </c>
      <c r="I807" s="21" t="s">
        <v>2507</v>
      </c>
    </row>
    <row r="808" spans="1:9" x14ac:dyDescent="0.25">
      <c r="A808" s="21" t="s">
        <v>2601</v>
      </c>
      <c r="B808">
        <v>64</v>
      </c>
      <c r="C808" s="21" t="s">
        <v>28</v>
      </c>
      <c r="D808" s="21" t="s">
        <v>44</v>
      </c>
      <c r="E808">
        <v>300</v>
      </c>
      <c r="F808">
        <v>26</v>
      </c>
      <c r="G808" s="21" t="s">
        <v>83</v>
      </c>
      <c r="H808" s="21" t="s">
        <v>352</v>
      </c>
      <c r="I808" s="21" t="s">
        <v>2507</v>
      </c>
    </row>
    <row r="809" spans="1:9" x14ac:dyDescent="0.25">
      <c r="A809" s="21" t="s">
        <v>2602</v>
      </c>
      <c r="B809">
        <v>25</v>
      </c>
      <c r="C809" s="21" t="s">
        <v>124</v>
      </c>
      <c r="D809" s="21" t="s">
        <v>135</v>
      </c>
      <c r="E809">
        <v>177</v>
      </c>
      <c r="F809">
        <v>28</v>
      </c>
      <c r="G809" s="21" t="s">
        <v>100</v>
      </c>
      <c r="H809" s="21" t="s">
        <v>256</v>
      </c>
      <c r="I809" s="21" t="s">
        <v>2507</v>
      </c>
    </row>
    <row r="810" spans="1:9" x14ac:dyDescent="0.25">
      <c r="A810" s="21" t="s">
        <v>2603</v>
      </c>
      <c r="B810">
        <v>78</v>
      </c>
      <c r="C810" s="21" t="s">
        <v>28</v>
      </c>
      <c r="D810" s="21" t="s">
        <v>35</v>
      </c>
      <c r="E810">
        <v>312</v>
      </c>
      <c r="F810">
        <v>31</v>
      </c>
      <c r="G810" s="21" t="s">
        <v>64</v>
      </c>
      <c r="H810" s="21" t="s">
        <v>2604</v>
      </c>
      <c r="I810" s="21" t="s">
        <v>2507</v>
      </c>
    </row>
    <row r="811" spans="1:9" x14ac:dyDescent="0.25">
      <c r="A811" s="21" t="s">
        <v>1651</v>
      </c>
      <c r="B811">
        <v>73</v>
      </c>
      <c r="C811" s="21" t="s">
        <v>277</v>
      </c>
      <c r="D811" s="21" t="s">
        <v>35</v>
      </c>
      <c r="E811">
        <v>310</v>
      </c>
      <c r="F811">
        <v>26</v>
      </c>
      <c r="G811" s="21" t="s">
        <v>16</v>
      </c>
      <c r="H811" s="21" t="s">
        <v>176</v>
      </c>
      <c r="I811" s="21" t="s">
        <v>1650</v>
      </c>
    </row>
    <row r="812" spans="1:9" x14ac:dyDescent="0.25">
      <c r="A812" s="21" t="s">
        <v>1652</v>
      </c>
      <c r="B812">
        <v>39</v>
      </c>
      <c r="C812" s="21" t="s">
        <v>124</v>
      </c>
      <c r="D812" s="21" t="s">
        <v>24</v>
      </c>
      <c r="E812">
        <v>206</v>
      </c>
      <c r="F812">
        <v>25</v>
      </c>
      <c r="G812" s="21" t="s">
        <v>83</v>
      </c>
      <c r="H812" s="21" t="s">
        <v>204</v>
      </c>
      <c r="I812" s="21" t="s">
        <v>1650</v>
      </c>
    </row>
    <row r="813" spans="1:9" x14ac:dyDescent="0.25">
      <c r="A813" s="21" t="s">
        <v>1653</v>
      </c>
      <c r="B813">
        <v>30</v>
      </c>
      <c r="C813" s="21" t="s">
        <v>48</v>
      </c>
      <c r="D813" s="21" t="s">
        <v>54</v>
      </c>
      <c r="E813">
        <v>193</v>
      </c>
      <c r="F813">
        <v>24</v>
      </c>
      <c r="G813" s="21" t="s">
        <v>12</v>
      </c>
      <c r="H813" s="21" t="s">
        <v>196</v>
      </c>
      <c r="I813" s="21" t="s">
        <v>1650</v>
      </c>
    </row>
    <row r="814" spans="1:9" x14ac:dyDescent="0.25">
      <c r="A814" s="21" t="s">
        <v>1654</v>
      </c>
      <c r="B814">
        <v>85</v>
      </c>
      <c r="C814" s="21" t="s">
        <v>10</v>
      </c>
      <c r="D814" s="21" t="s">
        <v>52</v>
      </c>
      <c r="E814">
        <v>212</v>
      </c>
      <c r="F814">
        <v>25</v>
      </c>
      <c r="G814" s="21" t="s">
        <v>30</v>
      </c>
      <c r="H814" s="21" t="s">
        <v>1611</v>
      </c>
      <c r="I814" s="21" t="s">
        <v>1650</v>
      </c>
    </row>
    <row r="815" spans="1:9" x14ac:dyDescent="0.25">
      <c r="A815" s="21" t="s">
        <v>1655</v>
      </c>
      <c r="B815">
        <v>81</v>
      </c>
      <c r="C815" s="21" t="s">
        <v>57</v>
      </c>
      <c r="D815" s="21" t="s">
        <v>67</v>
      </c>
      <c r="E815">
        <v>252</v>
      </c>
      <c r="F815">
        <v>30</v>
      </c>
      <c r="G815" s="21" t="s">
        <v>21</v>
      </c>
      <c r="H815" s="21" t="s">
        <v>187</v>
      </c>
      <c r="I815" s="21" t="s">
        <v>1650</v>
      </c>
    </row>
    <row r="816" spans="1:9" x14ac:dyDescent="0.25">
      <c r="A816" s="21" t="s">
        <v>1656</v>
      </c>
      <c r="B816">
        <v>32</v>
      </c>
      <c r="C816" s="21" t="s">
        <v>15</v>
      </c>
      <c r="D816" s="21" t="s">
        <v>54</v>
      </c>
      <c r="E816">
        <v>237</v>
      </c>
      <c r="F816">
        <v>22</v>
      </c>
      <c r="G816" s="21" t="s">
        <v>30</v>
      </c>
      <c r="H816" s="21" t="s">
        <v>335</v>
      </c>
      <c r="I816" s="21" t="s">
        <v>1650</v>
      </c>
    </row>
    <row r="817" spans="1:9" x14ac:dyDescent="0.25">
      <c r="A817" s="21" t="s">
        <v>1657</v>
      </c>
      <c r="B817">
        <v>2</v>
      </c>
      <c r="C817" s="21" t="s">
        <v>124</v>
      </c>
      <c r="D817" s="21" t="s">
        <v>125</v>
      </c>
      <c r="E817">
        <v>180</v>
      </c>
      <c r="F817">
        <v>24</v>
      </c>
      <c r="G817" s="21" t="s">
        <v>83</v>
      </c>
      <c r="H817" s="21" t="s">
        <v>556</v>
      </c>
      <c r="I817" s="21" t="s">
        <v>1650</v>
      </c>
    </row>
    <row r="818" spans="1:9" x14ac:dyDescent="0.25">
      <c r="A818" s="21" t="s">
        <v>1658</v>
      </c>
      <c r="B818">
        <v>79</v>
      </c>
      <c r="C818" s="21" t="s">
        <v>114</v>
      </c>
      <c r="D818" s="21" t="s">
        <v>24</v>
      </c>
      <c r="E818">
        <v>293</v>
      </c>
      <c r="F818">
        <v>25</v>
      </c>
      <c r="G818" s="21" t="s">
        <v>12</v>
      </c>
      <c r="H818" s="21" t="s">
        <v>304</v>
      </c>
      <c r="I818" s="21" t="s">
        <v>1650</v>
      </c>
    </row>
    <row r="819" spans="1:9" x14ac:dyDescent="0.25">
      <c r="A819" s="21" t="s">
        <v>1659</v>
      </c>
      <c r="B819">
        <v>57</v>
      </c>
      <c r="C819" s="21" t="s">
        <v>140</v>
      </c>
      <c r="D819" s="21" t="s">
        <v>141</v>
      </c>
      <c r="E819">
        <v>340</v>
      </c>
      <c r="F819">
        <v>26</v>
      </c>
      <c r="G819" s="21" t="s">
        <v>45</v>
      </c>
      <c r="H819" s="21" t="s">
        <v>187</v>
      </c>
      <c r="I819" s="21" t="s">
        <v>1650</v>
      </c>
    </row>
    <row r="820" spans="1:9" x14ac:dyDescent="0.25">
      <c r="A820" s="21" t="s">
        <v>1660</v>
      </c>
      <c r="B820">
        <v>6</v>
      </c>
      <c r="C820" s="21" t="s">
        <v>70</v>
      </c>
      <c r="D820" s="21" t="s">
        <v>11</v>
      </c>
      <c r="E820">
        <v>210</v>
      </c>
      <c r="F820">
        <v>24</v>
      </c>
      <c r="G820" s="21" t="s">
        <v>30</v>
      </c>
      <c r="H820" s="21" t="s">
        <v>674</v>
      </c>
      <c r="I820" s="21" t="s">
        <v>1650</v>
      </c>
    </row>
    <row r="821" spans="1:9" x14ac:dyDescent="0.25">
      <c r="A821" s="21" t="s">
        <v>1661</v>
      </c>
      <c r="B821">
        <v>45</v>
      </c>
      <c r="C821" s="21" t="s">
        <v>91</v>
      </c>
      <c r="D821" s="21" t="s">
        <v>54</v>
      </c>
      <c r="E821">
        <v>242</v>
      </c>
      <c r="F821">
        <v>30</v>
      </c>
      <c r="G821" s="21" t="s">
        <v>21</v>
      </c>
      <c r="H821" s="21" t="s">
        <v>120</v>
      </c>
      <c r="I821" s="21" t="s">
        <v>1650</v>
      </c>
    </row>
    <row r="822" spans="1:9" x14ac:dyDescent="0.25">
      <c r="A822" s="21" t="s">
        <v>1662</v>
      </c>
      <c r="B822">
        <v>26</v>
      </c>
      <c r="C822" s="21" t="s">
        <v>124</v>
      </c>
      <c r="D822" s="21" t="s">
        <v>11</v>
      </c>
      <c r="E822">
        <v>200</v>
      </c>
      <c r="F822">
        <v>28</v>
      </c>
      <c r="G822" s="21" t="s">
        <v>100</v>
      </c>
      <c r="H822" s="21" t="s">
        <v>385</v>
      </c>
      <c r="I822" s="21" t="s">
        <v>1650</v>
      </c>
    </row>
    <row r="823" spans="1:9" x14ac:dyDescent="0.25">
      <c r="A823" s="21" t="s">
        <v>1663</v>
      </c>
      <c r="B823">
        <v>89</v>
      </c>
      <c r="C823" s="21" t="s">
        <v>57</v>
      </c>
      <c r="D823" s="21" t="s">
        <v>29</v>
      </c>
      <c r="E823">
        <v>245</v>
      </c>
      <c r="F823">
        <v>26</v>
      </c>
      <c r="G823" s="21" t="s">
        <v>83</v>
      </c>
      <c r="H823" s="21" t="s">
        <v>204</v>
      </c>
      <c r="I823" s="21" t="s">
        <v>1650</v>
      </c>
    </row>
    <row r="824" spans="1:9" x14ac:dyDescent="0.25">
      <c r="A824" s="21" t="s">
        <v>1664</v>
      </c>
      <c r="B824">
        <v>7</v>
      </c>
      <c r="C824" s="21" t="s">
        <v>76</v>
      </c>
      <c r="D824" s="21" t="s">
        <v>35</v>
      </c>
      <c r="E824">
        <v>199</v>
      </c>
      <c r="F824">
        <v>27</v>
      </c>
      <c r="G824" s="21" t="s">
        <v>38</v>
      </c>
      <c r="H824" s="21" t="s">
        <v>132</v>
      </c>
      <c r="I824" s="21" t="s">
        <v>1650</v>
      </c>
    </row>
    <row r="825" spans="1:9" x14ac:dyDescent="0.25">
      <c r="A825" s="21" t="s">
        <v>1665</v>
      </c>
      <c r="B825">
        <v>92</v>
      </c>
      <c r="C825" s="21" t="s">
        <v>319</v>
      </c>
      <c r="D825" s="21" t="s">
        <v>35</v>
      </c>
      <c r="E825">
        <v>251</v>
      </c>
      <c r="F825">
        <v>30</v>
      </c>
      <c r="G825" s="21" t="s">
        <v>38</v>
      </c>
      <c r="H825" s="21" t="s">
        <v>55</v>
      </c>
      <c r="I825" s="21" t="s">
        <v>1650</v>
      </c>
    </row>
    <row r="826" spans="1:9" x14ac:dyDescent="0.25">
      <c r="A826" s="21" t="s">
        <v>1666</v>
      </c>
      <c r="B826">
        <v>66</v>
      </c>
      <c r="C826" s="21" t="s">
        <v>28</v>
      </c>
      <c r="D826" s="21" t="s">
        <v>35</v>
      </c>
      <c r="E826">
        <v>301</v>
      </c>
      <c r="F826">
        <v>24</v>
      </c>
      <c r="G826" s="21" t="s">
        <v>25</v>
      </c>
      <c r="H826" s="21" t="s">
        <v>147</v>
      </c>
      <c r="I826" s="21" t="s">
        <v>1650</v>
      </c>
    </row>
    <row r="827" spans="1:9" x14ac:dyDescent="0.25">
      <c r="A827" s="21" t="s">
        <v>1667</v>
      </c>
      <c r="B827">
        <v>53</v>
      </c>
      <c r="C827" s="21" t="s">
        <v>15</v>
      </c>
      <c r="D827" s="21" t="s">
        <v>52</v>
      </c>
      <c r="E827">
        <v>222</v>
      </c>
      <c r="F827">
        <v>27</v>
      </c>
      <c r="G827" s="21" t="s">
        <v>45</v>
      </c>
      <c r="H827" s="21" t="s">
        <v>481</v>
      </c>
      <c r="I827" s="21" t="s">
        <v>1650</v>
      </c>
    </row>
    <row r="828" spans="1:9" x14ac:dyDescent="0.25">
      <c r="A828" s="21" t="s">
        <v>1668</v>
      </c>
      <c r="B828">
        <v>54</v>
      </c>
      <c r="C828" s="21" t="s">
        <v>15</v>
      </c>
      <c r="D828" s="21" t="s">
        <v>44</v>
      </c>
      <c r="E828">
        <v>250</v>
      </c>
      <c r="F828">
        <v>21</v>
      </c>
      <c r="G828" s="21" t="s">
        <v>25</v>
      </c>
      <c r="H828" s="21" t="s">
        <v>68</v>
      </c>
      <c r="I828" s="21" t="s">
        <v>1650</v>
      </c>
    </row>
    <row r="829" spans="1:9" x14ac:dyDescent="0.25">
      <c r="A829" s="21" t="s">
        <v>1669</v>
      </c>
      <c r="B829">
        <v>74</v>
      </c>
      <c r="C829" s="21" t="s">
        <v>140</v>
      </c>
      <c r="D829" s="21" t="s">
        <v>29</v>
      </c>
      <c r="E829">
        <v>298</v>
      </c>
      <c r="F829">
        <v>25</v>
      </c>
      <c r="G829" s="21" t="s">
        <v>45</v>
      </c>
      <c r="H829" s="21" t="s">
        <v>231</v>
      </c>
      <c r="I829" s="21" t="s">
        <v>1650</v>
      </c>
    </row>
    <row r="830" spans="1:9" x14ac:dyDescent="0.25">
      <c r="A830" s="21" t="s">
        <v>1670</v>
      </c>
      <c r="B830">
        <v>55</v>
      </c>
      <c r="C830" s="21" t="s">
        <v>319</v>
      </c>
      <c r="D830" s="21" t="s">
        <v>44</v>
      </c>
      <c r="E830">
        <v>272</v>
      </c>
      <c r="F830">
        <v>29</v>
      </c>
      <c r="G830" s="21" t="s">
        <v>21</v>
      </c>
      <c r="H830" s="21" t="s">
        <v>98</v>
      </c>
      <c r="I830" s="21" t="s">
        <v>1650</v>
      </c>
    </row>
    <row r="831" spans="1:9" x14ac:dyDescent="0.25">
      <c r="A831" s="21" t="s">
        <v>1671</v>
      </c>
      <c r="B831">
        <v>43</v>
      </c>
      <c r="C831" s="21" t="s">
        <v>15</v>
      </c>
      <c r="D831" s="21" t="s">
        <v>44</v>
      </c>
      <c r="E831">
        <v>236</v>
      </c>
      <c r="G831" s="21" t="s">
        <v>25</v>
      </c>
      <c r="H831" s="21" t="s">
        <v>1463</v>
      </c>
      <c r="I831" s="21" t="s">
        <v>1650</v>
      </c>
    </row>
    <row r="832" spans="1:9" x14ac:dyDescent="0.25">
      <c r="A832" s="21" t="s">
        <v>1672</v>
      </c>
      <c r="B832">
        <v>1</v>
      </c>
      <c r="C832" s="21" t="s">
        <v>10</v>
      </c>
      <c r="D832" s="21" t="s">
        <v>54</v>
      </c>
      <c r="E832">
        <v>193</v>
      </c>
      <c r="F832">
        <v>28</v>
      </c>
      <c r="G832" s="21" t="s">
        <v>45</v>
      </c>
      <c r="H832" s="21" t="s">
        <v>87</v>
      </c>
      <c r="I832" s="21" t="s">
        <v>1650</v>
      </c>
    </row>
    <row r="833" spans="1:9" x14ac:dyDescent="0.25">
      <c r="A833" s="21" t="s">
        <v>1673</v>
      </c>
      <c r="B833">
        <v>6</v>
      </c>
      <c r="C833" s="21" t="s">
        <v>89</v>
      </c>
      <c r="D833" s="21" t="s">
        <v>52</v>
      </c>
      <c r="E833">
        <v>206</v>
      </c>
      <c r="F833">
        <v>22</v>
      </c>
      <c r="G833" s="21" t="s">
        <v>25</v>
      </c>
      <c r="H833" s="21" t="s">
        <v>304</v>
      </c>
      <c r="I833" s="21" t="s">
        <v>1650</v>
      </c>
    </row>
    <row r="834" spans="1:9" x14ac:dyDescent="0.25">
      <c r="A834" s="21" t="s">
        <v>1674</v>
      </c>
      <c r="B834">
        <v>13</v>
      </c>
      <c r="C834" s="21" t="s">
        <v>70</v>
      </c>
      <c r="D834" s="21" t="s">
        <v>52</v>
      </c>
      <c r="E834">
        <v>210</v>
      </c>
      <c r="F834">
        <v>23</v>
      </c>
      <c r="G834" s="21" t="s">
        <v>25</v>
      </c>
      <c r="H834" s="21" t="s">
        <v>1260</v>
      </c>
      <c r="I834" s="21" t="s">
        <v>1650</v>
      </c>
    </row>
    <row r="835" spans="1:9" x14ac:dyDescent="0.25">
      <c r="A835" s="21" t="s">
        <v>1675</v>
      </c>
      <c r="B835">
        <v>34</v>
      </c>
      <c r="C835" s="21" t="s">
        <v>124</v>
      </c>
      <c r="D835" s="21" t="s">
        <v>125</v>
      </c>
      <c r="E835">
        <v>183</v>
      </c>
      <c r="F835">
        <v>25</v>
      </c>
      <c r="G835" s="21" t="s">
        <v>83</v>
      </c>
      <c r="H835" s="21" t="s">
        <v>3253</v>
      </c>
      <c r="I835" s="21" t="s">
        <v>1650</v>
      </c>
    </row>
    <row r="836" spans="1:9" x14ac:dyDescent="0.25">
      <c r="A836" s="21" t="s">
        <v>1676</v>
      </c>
      <c r="B836">
        <v>51</v>
      </c>
      <c r="C836" s="21" t="s">
        <v>319</v>
      </c>
      <c r="D836" s="21" t="s">
        <v>24</v>
      </c>
      <c r="E836">
        <v>257</v>
      </c>
      <c r="F836">
        <v>24</v>
      </c>
      <c r="G836" s="21" t="s">
        <v>12</v>
      </c>
      <c r="H836" s="21" t="s">
        <v>98</v>
      </c>
      <c r="I836" s="21" t="s">
        <v>1650</v>
      </c>
    </row>
    <row r="837" spans="1:9" x14ac:dyDescent="0.25">
      <c r="A837" s="21" t="s">
        <v>1677</v>
      </c>
      <c r="B837">
        <v>29</v>
      </c>
      <c r="C837" s="21" t="s">
        <v>10</v>
      </c>
      <c r="D837" s="21" t="s">
        <v>86</v>
      </c>
      <c r="E837">
        <v>187</v>
      </c>
      <c r="F837">
        <v>21</v>
      </c>
      <c r="G837" s="21" t="s">
        <v>25</v>
      </c>
      <c r="H837" s="21" t="s">
        <v>516</v>
      </c>
      <c r="I837" s="21" t="s">
        <v>1650</v>
      </c>
    </row>
    <row r="838" spans="1:9" x14ac:dyDescent="0.25">
      <c r="A838" s="21" t="s">
        <v>1679</v>
      </c>
      <c r="B838">
        <v>25</v>
      </c>
      <c r="C838" s="21" t="s">
        <v>51</v>
      </c>
      <c r="D838" s="21" t="s">
        <v>362</v>
      </c>
      <c r="E838">
        <v>207</v>
      </c>
      <c r="F838">
        <v>23</v>
      </c>
      <c r="G838" s="21" t="s">
        <v>12</v>
      </c>
      <c r="H838" s="21" t="s">
        <v>267</v>
      </c>
      <c r="I838" s="21" t="s">
        <v>1650</v>
      </c>
    </row>
    <row r="839" spans="1:9" x14ac:dyDescent="0.25">
      <c r="A839" s="21" t="s">
        <v>1678</v>
      </c>
      <c r="B839">
        <v>97</v>
      </c>
      <c r="C839" s="21" t="s">
        <v>319</v>
      </c>
      <c r="D839" s="21" t="s">
        <v>44</v>
      </c>
      <c r="E839">
        <v>268</v>
      </c>
      <c r="F839">
        <v>24</v>
      </c>
      <c r="G839" s="21" t="s">
        <v>83</v>
      </c>
      <c r="H839" s="21" t="s">
        <v>216</v>
      </c>
      <c r="I839" s="21" t="s">
        <v>1650</v>
      </c>
    </row>
    <row r="840" spans="1:9" x14ac:dyDescent="0.25">
      <c r="A840" s="21" t="s">
        <v>1680</v>
      </c>
      <c r="B840">
        <v>27</v>
      </c>
      <c r="C840" s="21" t="s">
        <v>48</v>
      </c>
      <c r="D840" s="21" t="s">
        <v>54</v>
      </c>
      <c r="E840">
        <v>193</v>
      </c>
      <c r="F840">
        <v>25</v>
      </c>
      <c r="G840" s="21" t="s">
        <v>16</v>
      </c>
      <c r="H840" s="21" t="s">
        <v>115</v>
      </c>
      <c r="I840" s="21" t="s">
        <v>1650</v>
      </c>
    </row>
    <row r="841" spans="1:9" x14ac:dyDescent="0.25">
      <c r="A841" s="21" t="s">
        <v>1681</v>
      </c>
      <c r="B841">
        <v>31</v>
      </c>
      <c r="C841" s="21" t="s">
        <v>51</v>
      </c>
      <c r="D841" s="21" t="s">
        <v>11</v>
      </c>
      <c r="E841">
        <v>213</v>
      </c>
      <c r="G841" s="21" t="s">
        <v>25</v>
      </c>
      <c r="H841" s="21" t="s">
        <v>481</v>
      </c>
      <c r="I841" s="21" t="s">
        <v>1650</v>
      </c>
    </row>
    <row r="842" spans="1:9" x14ac:dyDescent="0.25">
      <c r="A842" s="21" t="s">
        <v>1682</v>
      </c>
      <c r="B842">
        <v>88</v>
      </c>
      <c r="C842" s="21" t="s">
        <v>57</v>
      </c>
      <c r="D842" s="21" t="s">
        <v>35</v>
      </c>
      <c r="E842">
        <v>226</v>
      </c>
      <c r="F842">
        <v>26</v>
      </c>
      <c r="G842" s="21" t="s">
        <v>30</v>
      </c>
      <c r="H842" s="21" t="s">
        <v>404</v>
      </c>
      <c r="I842" s="21" t="s">
        <v>1650</v>
      </c>
    </row>
    <row r="843" spans="1:9" x14ac:dyDescent="0.25">
      <c r="A843" s="21" t="s">
        <v>1683</v>
      </c>
      <c r="B843">
        <v>82</v>
      </c>
      <c r="C843" s="21" t="s">
        <v>10</v>
      </c>
      <c r="D843" s="21" t="s">
        <v>24</v>
      </c>
      <c r="E843">
        <v>206</v>
      </c>
      <c r="F843">
        <v>26</v>
      </c>
      <c r="G843" s="21" t="s">
        <v>16</v>
      </c>
      <c r="H843" s="21" t="s">
        <v>473</v>
      </c>
      <c r="I843" s="21" t="s">
        <v>1650</v>
      </c>
    </row>
    <row r="844" spans="1:9" x14ac:dyDescent="0.25">
      <c r="A844" s="21" t="s">
        <v>1684</v>
      </c>
      <c r="B844">
        <v>46</v>
      </c>
      <c r="C844" s="21" t="s">
        <v>57</v>
      </c>
      <c r="D844" s="21" t="s">
        <v>35</v>
      </c>
      <c r="E844">
        <v>232</v>
      </c>
      <c r="F844">
        <v>26</v>
      </c>
      <c r="G844" s="21" t="s">
        <v>30</v>
      </c>
      <c r="H844" s="21" t="s">
        <v>3252</v>
      </c>
      <c r="I844" s="21" t="s">
        <v>1650</v>
      </c>
    </row>
    <row r="845" spans="1:9" x14ac:dyDescent="0.25">
      <c r="A845" s="21" t="s">
        <v>1685</v>
      </c>
      <c r="B845">
        <v>50</v>
      </c>
      <c r="C845" s="21" t="s">
        <v>15</v>
      </c>
      <c r="D845" s="21" t="s">
        <v>52</v>
      </c>
      <c r="E845">
        <v>243</v>
      </c>
      <c r="F845">
        <v>24</v>
      </c>
      <c r="G845" s="21" t="s">
        <v>12</v>
      </c>
      <c r="H845" s="21" t="s">
        <v>558</v>
      </c>
      <c r="I845" s="21" t="s">
        <v>1650</v>
      </c>
    </row>
    <row r="846" spans="1:9" x14ac:dyDescent="0.25">
      <c r="A846" s="21" t="s">
        <v>1686</v>
      </c>
      <c r="B846">
        <v>69</v>
      </c>
      <c r="C846" s="21" t="s">
        <v>277</v>
      </c>
      <c r="D846" s="21" t="s">
        <v>35</v>
      </c>
      <c r="E846">
        <v>306</v>
      </c>
      <c r="G846" s="21" t="s">
        <v>25</v>
      </c>
      <c r="H846" s="21" t="s">
        <v>333</v>
      </c>
      <c r="I846" s="21" t="s">
        <v>1650</v>
      </c>
    </row>
    <row r="847" spans="1:9" x14ac:dyDescent="0.25">
      <c r="A847" s="21" t="s">
        <v>1687</v>
      </c>
      <c r="B847">
        <v>12</v>
      </c>
      <c r="C847" s="21" t="s">
        <v>10</v>
      </c>
      <c r="D847" s="21" t="s">
        <v>44</v>
      </c>
      <c r="E847">
        <v>224</v>
      </c>
      <c r="F847">
        <v>31</v>
      </c>
      <c r="G847" s="21" t="s">
        <v>38</v>
      </c>
      <c r="H847" s="21" t="s">
        <v>87</v>
      </c>
      <c r="I847" s="21" t="s">
        <v>1650</v>
      </c>
    </row>
    <row r="848" spans="1:9" x14ac:dyDescent="0.25">
      <c r="A848" s="21" t="s">
        <v>1688</v>
      </c>
      <c r="B848">
        <v>40</v>
      </c>
      <c r="C848" s="21" t="s">
        <v>51</v>
      </c>
      <c r="D848" s="21" t="s">
        <v>135</v>
      </c>
      <c r="E848">
        <v>206</v>
      </c>
      <c r="F848">
        <v>27</v>
      </c>
      <c r="G848" s="21" t="s">
        <v>30</v>
      </c>
      <c r="H848" s="21" t="s">
        <v>1635</v>
      </c>
      <c r="I848" s="21" t="s">
        <v>1650</v>
      </c>
    </row>
    <row r="849" spans="1:9" x14ac:dyDescent="0.25">
      <c r="A849" s="21" t="s">
        <v>1689</v>
      </c>
      <c r="B849">
        <v>83</v>
      </c>
      <c r="C849" s="21" t="s">
        <v>57</v>
      </c>
      <c r="D849" s="21" t="s">
        <v>44</v>
      </c>
      <c r="E849">
        <v>240</v>
      </c>
      <c r="F849">
        <v>23</v>
      </c>
      <c r="G849" s="21" t="s">
        <v>30</v>
      </c>
      <c r="H849" s="21" t="s">
        <v>347</v>
      </c>
      <c r="I849" s="21" t="s">
        <v>1650</v>
      </c>
    </row>
    <row r="850" spans="1:9" x14ac:dyDescent="0.25">
      <c r="A850" s="21" t="s">
        <v>1690</v>
      </c>
      <c r="B850">
        <v>40</v>
      </c>
      <c r="C850" s="21" t="s">
        <v>124</v>
      </c>
      <c r="D850" s="21" t="s">
        <v>52</v>
      </c>
      <c r="E850">
        <v>209</v>
      </c>
      <c r="F850">
        <v>22</v>
      </c>
      <c r="G850" s="21" t="s">
        <v>25</v>
      </c>
      <c r="H850" s="21" t="s">
        <v>282</v>
      </c>
      <c r="I850" s="21" t="s">
        <v>1650</v>
      </c>
    </row>
    <row r="851" spans="1:9" x14ac:dyDescent="0.25">
      <c r="A851" s="21" t="s">
        <v>1691</v>
      </c>
      <c r="B851">
        <v>76</v>
      </c>
      <c r="C851" s="21" t="s">
        <v>277</v>
      </c>
      <c r="D851" s="21" t="s">
        <v>44</v>
      </c>
      <c r="E851">
        <v>306</v>
      </c>
      <c r="G851" s="21" t="s">
        <v>25</v>
      </c>
      <c r="H851" s="21" t="s">
        <v>93</v>
      </c>
      <c r="I851" s="21" t="s">
        <v>1650</v>
      </c>
    </row>
    <row r="852" spans="1:9" x14ac:dyDescent="0.25">
      <c r="A852" s="21" t="s">
        <v>1692</v>
      </c>
      <c r="B852">
        <v>17</v>
      </c>
      <c r="C852" s="21" t="s">
        <v>10</v>
      </c>
      <c r="D852" s="21" t="s">
        <v>125</v>
      </c>
      <c r="E852">
        <v>187</v>
      </c>
      <c r="F852">
        <v>24</v>
      </c>
      <c r="G852" s="21" t="s">
        <v>16</v>
      </c>
      <c r="H852" s="21" t="s">
        <v>196</v>
      </c>
      <c r="I852" s="21" t="s">
        <v>1650</v>
      </c>
    </row>
    <row r="853" spans="1:9" x14ac:dyDescent="0.25">
      <c r="A853" s="21" t="s">
        <v>1693</v>
      </c>
      <c r="B853">
        <v>47</v>
      </c>
      <c r="C853" s="21" t="s">
        <v>15</v>
      </c>
      <c r="D853" s="21" t="s">
        <v>24</v>
      </c>
      <c r="E853">
        <v>232</v>
      </c>
      <c r="F853">
        <v>26</v>
      </c>
      <c r="G853" s="21" t="s">
        <v>12</v>
      </c>
      <c r="H853" s="21" t="s">
        <v>179</v>
      </c>
      <c r="I853" s="21" t="s">
        <v>1650</v>
      </c>
    </row>
    <row r="854" spans="1:9" x14ac:dyDescent="0.25">
      <c r="A854" s="21" t="s">
        <v>1694</v>
      </c>
      <c r="B854">
        <v>4</v>
      </c>
      <c r="C854" s="21" t="s">
        <v>70</v>
      </c>
      <c r="D854" s="21" t="s">
        <v>44</v>
      </c>
      <c r="E854">
        <v>230</v>
      </c>
      <c r="F854">
        <v>37</v>
      </c>
      <c r="G854" s="21" t="s">
        <v>712</v>
      </c>
      <c r="H854" s="21" t="s">
        <v>98</v>
      </c>
      <c r="I854" s="21" t="s">
        <v>1650</v>
      </c>
    </row>
    <row r="855" spans="1:9" x14ac:dyDescent="0.25">
      <c r="A855" s="21" t="s">
        <v>1695</v>
      </c>
      <c r="B855">
        <v>94</v>
      </c>
      <c r="C855" s="21" t="s">
        <v>319</v>
      </c>
      <c r="D855" s="21" t="s">
        <v>44</v>
      </c>
      <c r="E855">
        <v>275</v>
      </c>
      <c r="F855">
        <v>24</v>
      </c>
      <c r="G855" s="21" t="s">
        <v>83</v>
      </c>
      <c r="H855" s="21" t="s">
        <v>196</v>
      </c>
      <c r="I855" s="21" t="s">
        <v>1650</v>
      </c>
    </row>
    <row r="856" spans="1:9" x14ac:dyDescent="0.25">
      <c r="A856" s="21" t="s">
        <v>1696</v>
      </c>
      <c r="B856">
        <v>52</v>
      </c>
      <c r="C856" s="21" t="s">
        <v>28</v>
      </c>
      <c r="D856" s="21" t="s">
        <v>35</v>
      </c>
      <c r="E856">
        <v>302</v>
      </c>
      <c r="F856">
        <v>23</v>
      </c>
      <c r="G856" s="21" t="s">
        <v>30</v>
      </c>
      <c r="H856" s="21" t="s">
        <v>187</v>
      </c>
      <c r="I856" s="21" t="s">
        <v>1650</v>
      </c>
    </row>
    <row r="857" spans="1:9" x14ac:dyDescent="0.25">
      <c r="A857" s="21" t="s">
        <v>1697</v>
      </c>
      <c r="B857">
        <v>23</v>
      </c>
      <c r="C857" s="21" t="s">
        <v>10</v>
      </c>
      <c r="D857" s="21" t="s">
        <v>52</v>
      </c>
      <c r="E857">
        <v>214</v>
      </c>
      <c r="F857">
        <v>25</v>
      </c>
      <c r="G857" s="21" t="s">
        <v>30</v>
      </c>
      <c r="H857" s="21" t="s">
        <v>143</v>
      </c>
      <c r="I857" s="21" t="s">
        <v>1650</v>
      </c>
    </row>
    <row r="858" spans="1:9" x14ac:dyDescent="0.25">
      <c r="A858" s="21" t="s">
        <v>1698</v>
      </c>
      <c r="B858">
        <v>1</v>
      </c>
      <c r="C858" s="21" t="s">
        <v>48</v>
      </c>
      <c r="D858" s="21" t="s">
        <v>24</v>
      </c>
      <c r="E858">
        <v>210</v>
      </c>
      <c r="F858">
        <v>26</v>
      </c>
      <c r="G858" s="21" t="s">
        <v>16</v>
      </c>
      <c r="H858" s="21" t="s">
        <v>683</v>
      </c>
      <c r="I858" s="21" t="s">
        <v>1650</v>
      </c>
    </row>
    <row r="859" spans="1:9" x14ac:dyDescent="0.25">
      <c r="A859" s="21" t="s">
        <v>1699</v>
      </c>
      <c r="B859">
        <v>13</v>
      </c>
      <c r="C859" s="21" t="s">
        <v>89</v>
      </c>
      <c r="D859" s="21" t="s">
        <v>125</v>
      </c>
      <c r="E859">
        <v>199</v>
      </c>
      <c r="F859">
        <v>24</v>
      </c>
      <c r="G859" s="21" t="s">
        <v>25</v>
      </c>
      <c r="H859" s="21" t="s">
        <v>705</v>
      </c>
      <c r="I859" s="21" t="s">
        <v>1650</v>
      </c>
    </row>
    <row r="860" spans="1:9" x14ac:dyDescent="0.25">
      <c r="A860" s="21" t="s">
        <v>1700</v>
      </c>
      <c r="B860">
        <v>71</v>
      </c>
      <c r="C860" s="21" t="s">
        <v>140</v>
      </c>
      <c r="D860" s="21" t="s">
        <v>20</v>
      </c>
      <c r="E860">
        <v>301</v>
      </c>
      <c r="F860">
        <v>26</v>
      </c>
      <c r="G860" s="21" t="s">
        <v>45</v>
      </c>
      <c r="H860" s="21" t="s">
        <v>241</v>
      </c>
      <c r="I860" s="21" t="s">
        <v>1650</v>
      </c>
    </row>
    <row r="861" spans="1:9" x14ac:dyDescent="0.25">
      <c r="A861" s="21" t="s">
        <v>609</v>
      </c>
      <c r="B861">
        <v>95</v>
      </c>
      <c r="C861" s="21" t="s">
        <v>114</v>
      </c>
      <c r="D861" s="21" t="s">
        <v>67</v>
      </c>
      <c r="E861">
        <v>310</v>
      </c>
      <c r="F861">
        <v>28</v>
      </c>
      <c r="G861" s="21" t="s">
        <v>100</v>
      </c>
      <c r="H861" s="21" t="s">
        <v>558</v>
      </c>
      <c r="I861" s="21" t="s">
        <v>1650</v>
      </c>
    </row>
    <row r="862" spans="1:9" x14ac:dyDescent="0.25">
      <c r="A862" s="21" t="s">
        <v>1701</v>
      </c>
      <c r="B862">
        <v>2</v>
      </c>
      <c r="C862" s="21" t="s">
        <v>51</v>
      </c>
      <c r="D862" s="21" t="s">
        <v>54</v>
      </c>
      <c r="E862">
        <v>205</v>
      </c>
      <c r="F862">
        <v>24</v>
      </c>
      <c r="G862" s="21" t="s">
        <v>45</v>
      </c>
      <c r="H862" s="21" t="s">
        <v>280</v>
      </c>
      <c r="I862" s="21" t="s">
        <v>1650</v>
      </c>
    </row>
    <row r="863" spans="1:9" x14ac:dyDescent="0.25">
      <c r="A863" s="21" t="s">
        <v>1702</v>
      </c>
      <c r="B863">
        <v>59</v>
      </c>
      <c r="C863" s="21" t="s">
        <v>319</v>
      </c>
      <c r="D863" s="21" t="s">
        <v>67</v>
      </c>
      <c r="E863">
        <v>260</v>
      </c>
      <c r="F863">
        <v>23</v>
      </c>
      <c r="G863" s="21" t="s">
        <v>30</v>
      </c>
      <c r="H863" s="21" t="s">
        <v>241</v>
      </c>
      <c r="I863" s="21" t="s">
        <v>1650</v>
      </c>
    </row>
    <row r="864" spans="1:9" x14ac:dyDescent="0.25">
      <c r="A864" s="21" t="s">
        <v>1703</v>
      </c>
      <c r="B864">
        <v>56</v>
      </c>
      <c r="C864" s="21" t="s">
        <v>319</v>
      </c>
      <c r="D864" s="21" t="s">
        <v>35</v>
      </c>
      <c r="E864">
        <v>263</v>
      </c>
      <c r="F864">
        <v>21</v>
      </c>
      <c r="G864" s="21" t="s">
        <v>25</v>
      </c>
      <c r="H864" s="21" t="s">
        <v>400</v>
      </c>
      <c r="I864" s="21" t="s">
        <v>1650</v>
      </c>
    </row>
    <row r="865" spans="1:9" x14ac:dyDescent="0.25">
      <c r="A865" s="21" t="s">
        <v>1704</v>
      </c>
      <c r="B865">
        <v>87</v>
      </c>
      <c r="C865" s="21" t="s">
        <v>57</v>
      </c>
      <c r="D865" s="21" t="s">
        <v>29</v>
      </c>
      <c r="E865">
        <v>250</v>
      </c>
      <c r="F865">
        <v>32</v>
      </c>
      <c r="G865" s="21" t="s">
        <v>111</v>
      </c>
      <c r="H865" s="21" t="s">
        <v>304</v>
      </c>
      <c r="I865" s="21" t="s">
        <v>1650</v>
      </c>
    </row>
    <row r="866" spans="1:9" x14ac:dyDescent="0.25">
      <c r="A866" s="21" t="s">
        <v>1705</v>
      </c>
      <c r="B866">
        <v>42</v>
      </c>
      <c r="C866" s="21" t="s">
        <v>124</v>
      </c>
      <c r="D866" s="21" t="s">
        <v>11</v>
      </c>
      <c r="E866">
        <v>208</v>
      </c>
      <c r="F866">
        <v>24</v>
      </c>
      <c r="G866" s="21" t="s">
        <v>83</v>
      </c>
      <c r="H866" s="21" t="s">
        <v>284</v>
      </c>
      <c r="I866" s="21" t="s">
        <v>1650</v>
      </c>
    </row>
    <row r="867" spans="1:9" x14ac:dyDescent="0.25">
      <c r="A867" s="21" t="s">
        <v>1706</v>
      </c>
      <c r="B867">
        <v>75</v>
      </c>
      <c r="C867" s="21" t="s">
        <v>140</v>
      </c>
      <c r="D867" s="21" t="s">
        <v>29</v>
      </c>
      <c r="E867">
        <v>322</v>
      </c>
      <c r="F867">
        <v>22</v>
      </c>
      <c r="G867" s="21" t="s">
        <v>25</v>
      </c>
      <c r="H867" s="21" t="s">
        <v>683</v>
      </c>
      <c r="I867" s="21" t="s">
        <v>1650</v>
      </c>
    </row>
    <row r="868" spans="1:9" x14ac:dyDescent="0.25">
      <c r="A868" s="21" t="s">
        <v>1707</v>
      </c>
      <c r="C868" s="21" t="s">
        <v>48</v>
      </c>
      <c r="D868" s="21" t="s">
        <v>135</v>
      </c>
      <c r="E868">
        <v>194</v>
      </c>
      <c r="F868">
        <v>26</v>
      </c>
      <c r="G868" s="21" t="s">
        <v>12</v>
      </c>
      <c r="H868" s="21" t="s">
        <v>115</v>
      </c>
      <c r="I868" s="21" t="s">
        <v>1650</v>
      </c>
    </row>
    <row r="869" spans="1:9" x14ac:dyDescent="0.25">
      <c r="A869" s="21" t="s">
        <v>1708</v>
      </c>
      <c r="B869">
        <v>44</v>
      </c>
      <c r="C869" s="21" t="s">
        <v>15</v>
      </c>
      <c r="D869" s="21" t="s">
        <v>44</v>
      </c>
      <c r="E869">
        <v>229</v>
      </c>
      <c r="F869">
        <v>26</v>
      </c>
      <c r="G869" s="21" t="s">
        <v>38</v>
      </c>
      <c r="H869" s="21" t="s">
        <v>189</v>
      </c>
      <c r="I869" s="21" t="s">
        <v>1650</v>
      </c>
    </row>
    <row r="870" spans="1:9" x14ac:dyDescent="0.25">
      <c r="A870" s="21" t="s">
        <v>1709</v>
      </c>
      <c r="B870">
        <v>15</v>
      </c>
      <c r="C870" s="21" t="s">
        <v>70</v>
      </c>
      <c r="D870" s="21" t="s">
        <v>24</v>
      </c>
      <c r="E870">
        <v>225</v>
      </c>
      <c r="F870">
        <v>26</v>
      </c>
      <c r="G870" s="21" t="s">
        <v>38</v>
      </c>
      <c r="H870" s="21" t="s">
        <v>101</v>
      </c>
      <c r="I870" s="21" t="s">
        <v>1650</v>
      </c>
    </row>
    <row r="871" spans="1:9" x14ac:dyDescent="0.25">
      <c r="A871" s="21" t="s">
        <v>1710</v>
      </c>
      <c r="B871">
        <v>21</v>
      </c>
      <c r="C871" s="21" t="s">
        <v>48</v>
      </c>
      <c r="D871" s="21" t="s">
        <v>54</v>
      </c>
      <c r="E871">
        <v>193</v>
      </c>
      <c r="F871">
        <v>21</v>
      </c>
      <c r="G871" s="21" t="s">
        <v>25</v>
      </c>
      <c r="H871" s="21" t="s">
        <v>274</v>
      </c>
      <c r="I871" s="21" t="s">
        <v>1650</v>
      </c>
    </row>
    <row r="872" spans="1:9" x14ac:dyDescent="0.25">
      <c r="A872" s="21" t="s">
        <v>1711</v>
      </c>
      <c r="C872" s="21" t="s">
        <v>51</v>
      </c>
      <c r="D872" s="21" t="s">
        <v>135</v>
      </c>
      <c r="E872">
        <v>209</v>
      </c>
      <c r="F872">
        <v>30</v>
      </c>
      <c r="G872" s="21" t="s">
        <v>64</v>
      </c>
      <c r="H872" s="21" t="s">
        <v>269</v>
      </c>
      <c r="I872" s="21" t="s">
        <v>1650</v>
      </c>
    </row>
    <row r="873" spans="1:9" x14ac:dyDescent="0.25">
      <c r="A873" s="21" t="s">
        <v>1712</v>
      </c>
      <c r="B873">
        <v>24</v>
      </c>
      <c r="C873" s="21" t="s">
        <v>10</v>
      </c>
      <c r="D873" s="21" t="s">
        <v>125</v>
      </c>
      <c r="E873">
        <v>195</v>
      </c>
      <c r="F873">
        <v>21</v>
      </c>
      <c r="G873" s="21" t="s">
        <v>25</v>
      </c>
      <c r="H873" s="21" t="s">
        <v>147</v>
      </c>
      <c r="I873" s="21" t="s">
        <v>1650</v>
      </c>
    </row>
    <row r="874" spans="1:9" x14ac:dyDescent="0.25">
      <c r="A874" s="21" t="s">
        <v>1713</v>
      </c>
      <c r="B874">
        <v>67</v>
      </c>
      <c r="C874" s="21" t="s">
        <v>28</v>
      </c>
      <c r="D874" s="21" t="s">
        <v>67</v>
      </c>
      <c r="E874">
        <v>315</v>
      </c>
      <c r="F874">
        <v>23</v>
      </c>
      <c r="G874" s="21" t="s">
        <v>30</v>
      </c>
      <c r="H874" s="21" t="s">
        <v>618</v>
      </c>
      <c r="I874" s="21" t="s">
        <v>1650</v>
      </c>
    </row>
    <row r="875" spans="1:9" x14ac:dyDescent="0.25">
      <c r="A875" s="21" t="s">
        <v>1714</v>
      </c>
      <c r="B875">
        <v>91</v>
      </c>
      <c r="C875" s="21" t="s">
        <v>114</v>
      </c>
      <c r="D875" s="21" t="s">
        <v>52</v>
      </c>
      <c r="E875">
        <v>317</v>
      </c>
      <c r="F875">
        <v>26</v>
      </c>
      <c r="G875" s="21" t="s">
        <v>45</v>
      </c>
      <c r="H875" s="21" t="s">
        <v>241</v>
      </c>
      <c r="I875" s="21" t="s">
        <v>1650</v>
      </c>
    </row>
    <row r="876" spans="1:9" x14ac:dyDescent="0.25">
      <c r="A876" s="21" t="s">
        <v>1715</v>
      </c>
      <c r="B876">
        <v>67</v>
      </c>
      <c r="C876" s="21" t="s">
        <v>19</v>
      </c>
      <c r="D876" s="21" t="s">
        <v>67</v>
      </c>
      <c r="E876">
        <v>232</v>
      </c>
      <c r="G876" s="21" t="s">
        <v>25</v>
      </c>
      <c r="H876" s="21" t="s">
        <v>940</v>
      </c>
      <c r="I876" s="21" t="s">
        <v>1650</v>
      </c>
    </row>
    <row r="877" spans="1:9" x14ac:dyDescent="0.25">
      <c r="A877" s="21" t="s">
        <v>1716</v>
      </c>
      <c r="B877">
        <v>10</v>
      </c>
      <c r="C877" s="21" t="s">
        <v>51</v>
      </c>
      <c r="D877" s="21" t="s">
        <v>125</v>
      </c>
      <c r="E877">
        <v>216</v>
      </c>
      <c r="F877">
        <v>22</v>
      </c>
      <c r="G877" s="21" t="s">
        <v>25</v>
      </c>
      <c r="H877" s="21" t="s">
        <v>120</v>
      </c>
      <c r="I877" s="21" t="s">
        <v>1650</v>
      </c>
    </row>
    <row r="878" spans="1:9" x14ac:dyDescent="0.25">
      <c r="A878" s="21" t="s">
        <v>1717</v>
      </c>
      <c r="C878" s="21" t="s">
        <v>10</v>
      </c>
      <c r="D878" s="21" t="s">
        <v>24</v>
      </c>
      <c r="E878">
        <v>209</v>
      </c>
      <c r="F878">
        <v>24</v>
      </c>
      <c r="G878" s="21" t="s">
        <v>83</v>
      </c>
      <c r="H878" s="21" t="s">
        <v>1718</v>
      </c>
      <c r="I878" s="21" t="s">
        <v>1650</v>
      </c>
    </row>
    <row r="879" spans="1:9" x14ac:dyDescent="0.25">
      <c r="A879" s="21" t="s">
        <v>1719</v>
      </c>
      <c r="B879">
        <v>14</v>
      </c>
      <c r="C879" s="21" t="s">
        <v>10</v>
      </c>
      <c r="D879" s="21" t="s">
        <v>11</v>
      </c>
      <c r="E879">
        <v>204</v>
      </c>
      <c r="F879">
        <v>24</v>
      </c>
      <c r="G879" s="21" t="s">
        <v>83</v>
      </c>
      <c r="H879" s="21" t="s">
        <v>136</v>
      </c>
      <c r="I879" s="21" t="s">
        <v>1650</v>
      </c>
    </row>
    <row r="880" spans="1:9" x14ac:dyDescent="0.25">
      <c r="A880" s="21" t="s">
        <v>1720</v>
      </c>
      <c r="B880">
        <v>20</v>
      </c>
      <c r="C880" s="21" t="s">
        <v>89</v>
      </c>
      <c r="D880" s="21" t="s">
        <v>52</v>
      </c>
      <c r="E880">
        <v>207</v>
      </c>
      <c r="F880">
        <v>25</v>
      </c>
      <c r="G880" s="21" t="s">
        <v>45</v>
      </c>
      <c r="H880" s="21" t="s">
        <v>165</v>
      </c>
      <c r="I880" s="21" t="s">
        <v>1650</v>
      </c>
    </row>
    <row r="881" spans="1:9" x14ac:dyDescent="0.25">
      <c r="A881" s="21" t="s">
        <v>1721</v>
      </c>
      <c r="B881">
        <v>61</v>
      </c>
      <c r="C881" s="21" t="s">
        <v>184</v>
      </c>
      <c r="D881" s="21" t="s">
        <v>44</v>
      </c>
      <c r="E881">
        <v>301</v>
      </c>
      <c r="F881">
        <v>30</v>
      </c>
      <c r="G881" s="21" t="s">
        <v>100</v>
      </c>
      <c r="H881" s="21" t="s">
        <v>522</v>
      </c>
      <c r="I881" s="21" t="s">
        <v>1650</v>
      </c>
    </row>
    <row r="882" spans="1:9" x14ac:dyDescent="0.25">
      <c r="A882" s="21" t="s">
        <v>1722</v>
      </c>
      <c r="B882">
        <v>48</v>
      </c>
      <c r="C882" s="21" t="s">
        <v>15</v>
      </c>
      <c r="D882" s="21" t="s">
        <v>35</v>
      </c>
      <c r="E882">
        <v>243</v>
      </c>
      <c r="F882">
        <v>22</v>
      </c>
      <c r="G882" s="21" t="s">
        <v>25</v>
      </c>
      <c r="H882" s="21" t="s">
        <v>162</v>
      </c>
      <c r="I882" s="21" t="s">
        <v>1650</v>
      </c>
    </row>
    <row r="883" spans="1:9" x14ac:dyDescent="0.25">
      <c r="A883" s="21" t="s">
        <v>1723</v>
      </c>
      <c r="B883">
        <v>8</v>
      </c>
      <c r="C883" s="21" t="s">
        <v>10</v>
      </c>
      <c r="D883" s="21" t="s">
        <v>35</v>
      </c>
      <c r="E883">
        <v>210</v>
      </c>
      <c r="F883">
        <v>22</v>
      </c>
      <c r="G883" s="21" t="s">
        <v>25</v>
      </c>
      <c r="H883" s="21" t="s">
        <v>136</v>
      </c>
      <c r="I883" s="21" t="s">
        <v>1650</v>
      </c>
    </row>
    <row r="884" spans="1:9" x14ac:dyDescent="0.25">
      <c r="A884" s="21" t="s">
        <v>1724</v>
      </c>
      <c r="B884">
        <v>99</v>
      </c>
      <c r="C884" s="21" t="s">
        <v>114</v>
      </c>
      <c r="D884" s="21" t="s">
        <v>11</v>
      </c>
      <c r="E884">
        <v>324</v>
      </c>
      <c r="F884">
        <v>25</v>
      </c>
      <c r="G884" s="21" t="s">
        <v>16</v>
      </c>
      <c r="H884" s="21" t="s">
        <v>1725</v>
      </c>
      <c r="I884" s="21" t="s">
        <v>1650</v>
      </c>
    </row>
    <row r="885" spans="1:9" x14ac:dyDescent="0.25">
      <c r="A885" s="21" t="s">
        <v>1727</v>
      </c>
      <c r="B885">
        <v>9</v>
      </c>
      <c r="C885" s="21" t="s">
        <v>10</v>
      </c>
      <c r="D885" s="21" t="s">
        <v>52</v>
      </c>
      <c r="E885">
        <v>215</v>
      </c>
      <c r="F885">
        <v>25</v>
      </c>
      <c r="G885" s="21" t="s">
        <v>38</v>
      </c>
      <c r="H885" s="21" t="s">
        <v>280</v>
      </c>
      <c r="I885" s="21" t="s">
        <v>1650</v>
      </c>
    </row>
    <row r="886" spans="1:9" x14ac:dyDescent="0.25">
      <c r="A886" s="21" t="s">
        <v>1726</v>
      </c>
      <c r="B886">
        <v>65</v>
      </c>
      <c r="C886" s="21" t="s">
        <v>28</v>
      </c>
      <c r="D886" s="21" t="s">
        <v>67</v>
      </c>
      <c r="E886">
        <v>321</v>
      </c>
      <c r="F886">
        <v>23</v>
      </c>
      <c r="G886" s="21" t="s">
        <v>30</v>
      </c>
      <c r="H886" s="21" t="s">
        <v>104</v>
      </c>
      <c r="I886" s="21" t="s">
        <v>1650</v>
      </c>
    </row>
    <row r="887" spans="1:9" x14ac:dyDescent="0.25">
      <c r="A887" s="21" t="s">
        <v>1728</v>
      </c>
      <c r="B887">
        <v>38</v>
      </c>
      <c r="C887" s="21" t="s">
        <v>48</v>
      </c>
      <c r="D887" s="21" t="s">
        <v>52</v>
      </c>
      <c r="E887">
        <v>192</v>
      </c>
      <c r="F887">
        <v>25</v>
      </c>
      <c r="G887" s="21" t="s">
        <v>12</v>
      </c>
      <c r="H887" s="21" t="s">
        <v>572</v>
      </c>
      <c r="I887" s="21" t="s">
        <v>1650</v>
      </c>
    </row>
    <row r="888" spans="1:9" x14ac:dyDescent="0.25">
      <c r="A888" s="21" t="s">
        <v>1729</v>
      </c>
      <c r="B888">
        <v>90</v>
      </c>
      <c r="C888" s="21" t="s">
        <v>114</v>
      </c>
      <c r="D888" s="21" t="s">
        <v>24</v>
      </c>
      <c r="E888">
        <v>300</v>
      </c>
      <c r="F888">
        <v>26</v>
      </c>
      <c r="G888" s="21" t="s">
        <v>16</v>
      </c>
      <c r="H888" s="21" t="s">
        <v>115</v>
      </c>
      <c r="I888" s="21" t="s">
        <v>1650</v>
      </c>
    </row>
    <row r="889" spans="1:9" x14ac:dyDescent="0.25">
      <c r="A889" s="21" t="s">
        <v>1730</v>
      </c>
      <c r="B889">
        <v>22</v>
      </c>
      <c r="C889" s="21" t="s">
        <v>89</v>
      </c>
      <c r="D889" s="21" t="s">
        <v>11</v>
      </c>
      <c r="E889">
        <v>205</v>
      </c>
      <c r="F889">
        <v>26</v>
      </c>
      <c r="G889" s="21" t="s">
        <v>16</v>
      </c>
      <c r="H889" s="21" t="s">
        <v>333</v>
      </c>
      <c r="I889" s="21" t="s">
        <v>1650</v>
      </c>
    </row>
    <row r="890" spans="1:9" x14ac:dyDescent="0.25">
      <c r="A890" s="21" t="s">
        <v>1731</v>
      </c>
      <c r="B890">
        <v>62</v>
      </c>
      <c r="C890" s="21" t="s">
        <v>28</v>
      </c>
      <c r="D890" s="21" t="s">
        <v>29</v>
      </c>
      <c r="E890">
        <v>304</v>
      </c>
      <c r="F890">
        <v>29</v>
      </c>
      <c r="G890" s="21" t="s">
        <v>100</v>
      </c>
      <c r="H890" s="21" t="s">
        <v>106</v>
      </c>
      <c r="I890" s="21" t="s">
        <v>1650</v>
      </c>
    </row>
    <row r="891" spans="1:9" x14ac:dyDescent="0.25">
      <c r="A891" s="21" t="s">
        <v>1732</v>
      </c>
      <c r="B891">
        <v>5</v>
      </c>
      <c r="C891" s="21" t="s">
        <v>193</v>
      </c>
      <c r="D891" s="21" t="s">
        <v>52</v>
      </c>
      <c r="E891">
        <v>191</v>
      </c>
      <c r="F891">
        <v>25</v>
      </c>
      <c r="G891" s="21" t="s">
        <v>12</v>
      </c>
      <c r="H891" s="21" t="s">
        <v>251</v>
      </c>
      <c r="I891" s="21" t="s">
        <v>1650</v>
      </c>
    </row>
    <row r="892" spans="1:9" x14ac:dyDescent="0.25">
      <c r="A892" s="21" t="s">
        <v>1733</v>
      </c>
      <c r="B892">
        <v>11</v>
      </c>
      <c r="C892" s="21" t="s">
        <v>10</v>
      </c>
      <c r="D892" s="21" t="s">
        <v>35</v>
      </c>
      <c r="E892">
        <v>206</v>
      </c>
      <c r="F892">
        <v>27</v>
      </c>
      <c r="G892" s="21" t="s">
        <v>45</v>
      </c>
      <c r="H892" s="21" t="s">
        <v>522</v>
      </c>
      <c r="I892" s="21" t="s">
        <v>1650</v>
      </c>
    </row>
    <row r="893" spans="1:9" x14ac:dyDescent="0.25">
      <c r="A893" s="21" t="s">
        <v>1734</v>
      </c>
      <c r="B893">
        <v>80</v>
      </c>
      <c r="C893" s="21" t="s">
        <v>57</v>
      </c>
      <c r="D893" s="21" t="s">
        <v>29</v>
      </c>
      <c r="E893">
        <v>267</v>
      </c>
      <c r="F893">
        <v>25</v>
      </c>
      <c r="G893" s="21" t="s">
        <v>83</v>
      </c>
      <c r="H893" s="21" t="s">
        <v>87</v>
      </c>
      <c r="I893" s="21" t="s">
        <v>1650</v>
      </c>
    </row>
    <row r="894" spans="1:9" x14ac:dyDescent="0.25">
      <c r="A894" s="21" t="s">
        <v>1735</v>
      </c>
      <c r="B894">
        <v>70</v>
      </c>
      <c r="C894" s="21" t="s">
        <v>140</v>
      </c>
      <c r="D894" s="21" t="s">
        <v>29</v>
      </c>
      <c r="E894">
        <v>308</v>
      </c>
      <c r="F894">
        <v>24</v>
      </c>
      <c r="G894" s="21" t="s">
        <v>30</v>
      </c>
      <c r="H894" s="21" t="s">
        <v>65</v>
      </c>
      <c r="I894" s="21" t="s">
        <v>1650</v>
      </c>
    </row>
    <row r="895" spans="1:9" x14ac:dyDescent="0.25">
      <c r="A895" s="21" t="s">
        <v>1736</v>
      </c>
      <c r="B895">
        <v>35</v>
      </c>
      <c r="C895" s="21" t="s">
        <v>48</v>
      </c>
      <c r="D895" s="21" t="s">
        <v>24</v>
      </c>
      <c r="E895">
        <v>197</v>
      </c>
      <c r="F895">
        <v>23</v>
      </c>
      <c r="G895" s="21" t="s">
        <v>25</v>
      </c>
      <c r="H895" s="21" t="s">
        <v>370</v>
      </c>
      <c r="I895" s="21" t="s">
        <v>1650</v>
      </c>
    </row>
    <row r="896" spans="1:9" x14ac:dyDescent="0.25">
      <c r="A896" s="21" t="s">
        <v>1737</v>
      </c>
      <c r="B896">
        <v>84</v>
      </c>
      <c r="C896" s="21" t="s">
        <v>10</v>
      </c>
      <c r="D896" s="21" t="s">
        <v>24</v>
      </c>
      <c r="E896">
        <v>215</v>
      </c>
      <c r="F896">
        <v>26</v>
      </c>
      <c r="G896" s="21" t="s">
        <v>45</v>
      </c>
      <c r="H896" s="21" t="s">
        <v>1738</v>
      </c>
      <c r="I896" s="21" t="s">
        <v>1650</v>
      </c>
    </row>
    <row r="897" spans="1:9" x14ac:dyDescent="0.25">
      <c r="A897" s="21" t="s">
        <v>1739</v>
      </c>
      <c r="B897">
        <v>98</v>
      </c>
      <c r="C897" s="21" t="s">
        <v>114</v>
      </c>
      <c r="D897" s="21" t="s">
        <v>52</v>
      </c>
      <c r="E897">
        <v>280</v>
      </c>
      <c r="F897">
        <v>24</v>
      </c>
      <c r="G897" s="21" t="s">
        <v>12</v>
      </c>
      <c r="H897" s="21" t="s">
        <v>1740</v>
      </c>
      <c r="I897" s="21" t="s">
        <v>1650</v>
      </c>
    </row>
    <row r="898" spans="1:9" x14ac:dyDescent="0.25">
      <c r="A898" s="21" t="s">
        <v>1741</v>
      </c>
      <c r="B898">
        <v>23</v>
      </c>
      <c r="C898" s="21" t="s">
        <v>124</v>
      </c>
      <c r="D898" s="21" t="s">
        <v>44</v>
      </c>
      <c r="E898">
        <v>193</v>
      </c>
      <c r="F898">
        <v>22</v>
      </c>
      <c r="G898" s="21" t="s">
        <v>25</v>
      </c>
      <c r="H898" s="21" t="s">
        <v>1435</v>
      </c>
      <c r="I898" s="21" t="s">
        <v>1650</v>
      </c>
    </row>
    <row r="899" spans="1:9" x14ac:dyDescent="0.25">
      <c r="A899" s="21" t="s">
        <v>1742</v>
      </c>
      <c r="B899">
        <v>41</v>
      </c>
      <c r="C899" s="21" t="s">
        <v>158</v>
      </c>
      <c r="D899" s="21" t="s">
        <v>44</v>
      </c>
      <c r="E899">
        <v>209</v>
      </c>
      <c r="F899">
        <v>32</v>
      </c>
      <c r="G899" s="21" t="s">
        <v>21</v>
      </c>
      <c r="H899" s="21" t="s">
        <v>187</v>
      </c>
      <c r="I899" s="21" t="s">
        <v>1650</v>
      </c>
    </row>
    <row r="900" spans="1:9" x14ac:dyDescent="0.25">
      <c r="A900" s="21" t="s">
        <v>1743</v>
      </c>
      <c r="B900">
        <v>77</v>
      </c>
      <c r="C900" s="21" t="s">
        <v>277</v>
      </c>
      <c r="D900" s="21" t="s">
        <v>29</v>
      </c>
      <c r="E900">
        <v>304</v>
      </c>
      <c r="F900">
        <v>27</v>
      </c>
      <c r="G900" s="21" t="s">
        <v>45</v>
      </c>
      <c r="H900" s="21" t="s">
        <v>582</v>
      </c>
      <c r="I900" s="21" t="s">
        <v>1650</v>
      </c>
    </row>
    <row r="901" spans="1:9" x14ac:dyDescent="0.25">
      <c r="A901" s="21" t="s">
        <v>1069</v>
      </c>
      <c r="B901">
        <v>56</v>
      </c>
      <c r="C901" s="21" t="s">
        <v>15</v>
      </c>
      <c r="D901" s="21" t="s">
        <v>52</v>
      </c>
      <c r="E901">
        <v>232</v>
      </c>
      <c r="F901">
        <v>26</v>
      </c>
      <c r="G901" s="21" t="s">
        <v>16</v>
      </c>
      <c r="H901" s="21" t="s">
        <v>101</v>
      </c>
      <c r="I901" s="21" t="s">
        <v>1068</v>
      </c>
    </row>
    <row r="902" spans="1:9" x14ac:dyDescent="0.25">
      <c r="A902" s="21" t="s">
        <v>1070</v>
      </c>
      <c r="B902">
        <v>37</v>
      </c>
      <c r="C902" s="21" t="s">
        <v>89</v>
      </c>
      <c r="D902" s="21" t="s">
        <v>52</v>
      </c>
      <c r="E902">
        <v>211</v>
      </c>
      <c r="F902">
        <v>25</v>
      </c>
      <c r="G902" s="21" t="s">
        <v>25</v>
      </c>
      <c r="H902" s="21" t="s">
        <v>1071</v>
      </c>
      <c r="I902" s="21" t="s">
        <v>1068</v>
      </c>
    </row>
    <row r="903" spans="1:9" x14ac:dyDescent="0.25">
      <c r="A903" s="21" t="s">
        <v>1072</v>
      </c>
      <c r="B903">
        <v>18</v>
      </c>
      <c r="C903" s="21" t="s">
        <v>10</v>
      </c>
      <c r="D903" s="21" t="s">
        <v>52</v>
      </c>
      <c r="E903">
        <v>212</v>
      </c>
      <c r="F903">
        <v>21</v>
      </c>
      <c r="G903" s="21" t="s">
        <v>25</v>
      </c>
      <c r="H903" s="21" t="s">
        <v>400</v>
      </c>
      <c r="I903" s="21" t="s">
        <v>1068</v>
      </c>
    </row>
    <row r="904" spans="1:9" x14ac:dyDescent="0.25">
      <c r="A904" s="21" t="s">
        <v>1073</v>
      </c>
      <c r="B904">
        <v>75</v>
      </c>
      <c r="C904" s="21" t="s">
        <v>277</v>
      </c>
      <c r="D904" s="21" t="s">
        <v>35</v>
      </c>
      <c r="E904">
        <v>320</v>
      </c>
      <c r="F904">
        <v>30</v>
      </c>
      <c r="G904" s="21" t="s">
        <v>64</v>
      </c>
      <c r="H904" s="21" t="s">
        <v>1074</v>
      </c>
      <c r="I904" s="21" t="s">
        <v>1068</v>
      </c>
    </row>
    <row r="905" spans="1:9" x14ac:dyDescent="0.25">
      <c r="A905" s="21" t="s">
        <v>1075</v>
      </c>
      <c r="B905">
        <v>13</v>
      </c>
      <c r="C905" s="21" t="s">
        <v>193</v>
      </c>
      <c r="D905" s="21" t="s">
        <v>11</v>
      </c>
      <c r="E905">
        <v>208</v>
      </c>
      <c r="F905">
        <v>25</v>
      </c>
      <c r="G905" s="21" t="s">
        <v>45</v>
      </c>
      <c r="H905" s="21" t="s">
        <v>1076</v>
      </c>
      <c r="I905" s="21" t="s">
        <v>1068</v>
      </c>
    </row>
    <row r="906" spans="1:9" x14ac:dyDescent="0.25">
      <c r="A906" s="21" t="s">
        <v>1077</v>
      </c>
      <c r="B906">
        <v>84</v>
      </c>
      <c r="C906" s="21" t="s">
        <v>10</v>
      </c>
      <c r="D906" s="21" t="s">
        <v>11</v>
      </c>
      <c r="E906">
        <v>198</v>
      </c>
      <c r="F906">
        <v>25</v>
      </c>
      <c r="G906" s="21" t="s">
        <v>30</v>
      </c>
      <c r="H906" s="21" t="s">
        <v>145</v>
      </c>
      <c r="I906" s="21" t="s">
        <v>1068</v>
      </c>
    </row>
    <row r="907" spans="1:9" x14ac:dyDescent="0.25">
      <c r="A907" s="21" t="s">
        <v>1078</v>
      </c>
      <c r="B907">
        <v>7</v>
      </c>
      <c r="C907" s="21" t="s">
        <v>70</v>
      </c>
      <c r="D907" s="21" t="s">
        <v>35</v>
      </c>
      <c r="E907">
        <v>235</v>
      </c>
      <c r="F907">
        <v>29</v>
      </c>
      <c r="G907" s="21" t="s">
        <v>100</v>
      </c>
      <c r="H907" s="21" t="s">
        <v>106</v>
      </c>
      <c r="I907" s="21" t="s">
        <v>1068</v>
      </c>
    </row>
    <row r="908" spans="1:9" x14ac:dyDescent="0.25">
      <c r="A908" s="21" t="s">
        <v>1079</v>
      </c>
      <c r="B908">
        <v>99</v>
      </c>
      <c r="C908" s="21" t="s">
        <v>114</v>
      </c>
      <c r="D908" s="21" t="s">
        <v>35</v>
      </c>
      <c r="E908">
        <v>291</v>
      </c>
      <c r="F908">
        <v>26</v>
      </c>
      <c r="G908" s="21" t="s">
        <v>45</v>
      </c>
      <c r="H908" s="21" t="s">
        <v>251</v>
      </c>
      <c r="I908" s="21" t="s">
        <v>1068</v>
      </c>
    </row>
    <row r="909" spans="1:9" x14ac:dyDescent="0.25">
      <c r="A909" s="21" t="s">
        <v>1080</v>
      </c>
      <c r="B909">
        <v>88</v>
      </c>
      <c r="C909" s="21" t="s">
        <v>57</v>
      </c>
      <c r="D909" s="21" t="s">
        <v>29</v>
      </c>
      <c r="E909">
        <v>230</v>
      </c>
      <c r="F909">
        <v>24</v>
      </c>
      <c r="G909" s="21" t="s">
        <v>12</v>
      </c>
      <c r="H909" s="21" t="s">
        <v>17</v>
      </c>
      <c r="I909" s="21" t="s">
        <v>1068</v>
      </c>
    </row>
    <row r="910" spans="1:9" x14ac:dyDescent="0.25">
      <c r="A910" s="21" t="s">
        <v>1081</v>
      </c>
      <c r="B910">
        <v>8</v>
      </c>
      <c r="C910" s="21" t="s">
        <v>193</v>
      </c>
      <c r="D910" s="21" t="s">
        <v>29</v>
      </c>
      <c r="E910">
        <v>190</v>
      </c>
      <c r="F910">
        <v>25</v>
      </c>
      <c r="G910" s="21" t="s">
        <v>12</v>
      </c>
      <c r="H910" s="21" t="s">
        <v>115</v>
      </c>
      <c r="I910" s="21" t="s">
        <v>1068</v>
      </c>
    </row>
    <row r="911" spans="1:9" x14ac:dyDescent="0.25">
      <c r="A911" s="21" t="s">
        <v>1082</v>
      </c>
      <c r="B911">
        <v>24</v>
      </c>
      <c r="C911" s="21" t="s">
        <v>51</v>
      </c>
      <c r="D911" s="21" t="s">
        <v>54</v>
      </c>
      <c r="E911">
        <v>227</v>
      </c>
      <c r="F911">
        <v>26</v>
      </c>
      <c r="G911" s="21" t="s">
        <v>45</v>
      </c>
      <c r="H911" s="21" t="s">
        <v>196</v>
      </c>
      <c r="I911" s="21" t="s">
        <v>1068</v>
      </c>
    </row>
    <row r="912" spans="1:9" x14ac:dyDescent="0.25">
      <c r="A912" s="21" t="s">
        <v>1083</v>
      </c>
      <c r="B912">
        <v>90</v>
      </c>
      <c r="C912" s="21" t="s">
        <v>319</v>
      </c>
      <c r="D912" s="21" t="s">
        <v>29</v>
      </c>
      <c r="E912">
        <v>255</v>
      </c>
      <c r="F912">
        <v>29</v>
      </c>
      <c r="G912" s="21" t="s">
        <v>64</v>
      </c>
      <c r="H912" s="21" t="s">
        <v>115</v>
      </c>
      <c r="I912" s="21" t="s">
        <v>1068</v>
      </c>
    </row>
    <row r="913" spans="1:9" x14ac:dyDescent="0.25">
      <c r="A913" s="21" t="s">
        <v>1084</v>
      </c>
      <c r="B913">
        <v>78</v>
      </c>
      <c r="C913" s="21" t="s">
        <v>140</v>
      </c>
      <c r="D913" s="21" t="s">
        <v>67</v>
      </c>
      <c r="E913">
        <v>308</v>
      </c>
      <c r="F913">
        <v>27</v>
      </c>
      <c r="G913" s="21" t="s">
        <v>100</v>
      </c>
      <c r="H913" s="21" t="s">
        <v>55</v>
      </c>
      <c r="I913" s="21" t="s">
        <v>1068</v>
      </c>
    </row>
    <row r="914" spans="1:9" x14ac:dyDescent="0.25">
      <c r="A914" s="21" t="s">
        <v>1085</v>
      </c>
      <c r="B914">
        <v>2</v>
      </c>
      <c r="C914" s="21" t="s">
        <v>10</v>
      </c>
      <c r="D914" s="21" t="s">
        <v>52</v>
      </c>
      <c r="E914">
        <v>210</v>
      </c>
      <c r="F914">
        <v>28</v>
      </c>
      <c r="G914" s="21" t="s">
        <v>21</v>
      </c>
      <c r="H914" s="21" t="s">
        <v>233</v>
      </c>
      <c r="I914" s="21" t="s">
        <v>1068</v>
      </c>
    </row>
    <row r="915" spans="1:9" x14ac:dyDescent="0.25">
      <c r="A915" s="21" t="s">
        <v>1086</v>
      </c>
      <c r="B915">
        <v>92</v>
      </c>
      <c r="C915" s="21" t="s">
        <v>114</v>
      </c>
      <c r="D915" s="21" t="s">
        <v>52</v>
      </c>
      <c r="E915">
        <v>293</v>
      </c>
      <c r="F915">
        <v>28</v>
      </c>
      <c r="G915" s="21" t="s">
        <v>100</v>
      </c>
      <c r="H915" s="21" t="s">
        <v>31</v>
      </c>
      <c r="I915" s="21" t="s">
        <v>1068</v>
      </c>
    </row>
    <row r="916" spans="1:9" x14ac:dyDescent="0.25">
      <c r="A916" s="21" t="s">
        <v>1087</v>
      </c>
      <c r="B916">
        <v>52</v>
      </c>
      <c r="C916" s="21" t="s">
        <v>277</v>
      </c>
      <c r="D916" s="21" t="s">
        <v>29</v>
      </c>
      <c r="E916">
        <v>306</v>
      </c>
      <c r="F916">
        <v>23</v>
      </c>
      <c r="G916" s="21" t="s">
        <v>25</v>
      </c>
      <c r="H916" s="21" t="s">
        <v>101</v>
      </c>
      <c r="I916" s="21" t="s">
        <v>1068</v>
      </c>
    </row>
    <row r="917" spans="1:9" x14ac:dyDescent="0.25">
      <c r="A917" s="21" t="s">
        <v>1088</v>
      </c>
      <c r="B917">
        <v>22</v>
      </c>
      <c r="C917" s="21" t="s">
        <v>89</v>
      </c>
      <c r="D917" s="21" t="s">
        <v>44</v>
      </c>
      <c r="E917">
        <v>208</v>
      </c>
      <c r="F917">
        <v>23</v>
      </c>
      <c r="G917" s="21" t="s">
        <v>12</v>
      </c>
      <c r="H917" s="21" t="s">
        <v>267</v>
      </c>
      <c r="I917" s="21" t="s">
        <v>1068</v>
      </c>
    </row>
    <row r="918" spans="1:9" x14ac:dyDescent="0.25">
      <c r="A918" s="21" t="s">
        <v>1089</v>
      </c>
      <c r="B918">
        <v>15</v>
      </c>
      <c r="C918" s="21" t="s">
        <v>70</v>
      </c>
      <c r="D918" s="21" t="s">
        <v>44</v>
      </c>
      <c r="E918">
        <v>216</v>
      </c>
      <c r="F918">
        <v>27</v>
      </c>
      <c r="G918" s="21" t="s">
        <v>38</v>
      </c>
      <c r="H918" s="21" t="s">
        <v>104</v>
      </c>
      <c r="I918" s="21" t="s">
        <v>1068</v>
      </c>
    </row>
    <row r="919" spans="1:9" x14ac:dyDescent="0.25">
      <c r="A919" s="21" t="s">
        <v>1090</v>
      </c>
      <c r="B919">
        <v>68</v>
      </c>
      <c r="C919" s="21" t="s">
        <v>277</v>
      </c>
      <c r="D919" s="21" t="s">
        <v>29</v>
      </c>
      <c r="E919">
        <v>315</v>
      </c>
      <c r="F919">
        <v>27</v>
      </c>
      <c r="G919" s="21" t="s">
        <v>12</v>
      </c>
      <c r="H919" s="21" t="s">
        <v>481</v>
      </c>
      <c r="I919" s="21" t="s">
        <v>1068</v>
      </c>
    </row>
    <row r="920" spans="1:9" x14ac:dyDescent="0.25">
      <c r="A920" s="21" t="s">
        <v>1091</v>
      </c>
      <c r="B920">
        <v>96</v>
      </c>
      <c r="C920" s="21" t="s">
        <v>114</v>
      </c>
      <c r="D920" s="21" t="s">
        <v>35</v>
      </c>
      <c r="E920">
        <v>303</v>
      </c>
      <c r="F920">
        <v>24</v>
      </c>
      <c r="G920" s="21" t="s">
        <v>12</v>
      </c>
      <c r="H920" s="21" t="s">
        <v>335</v>
      </c>
      <c r="I920" s="21" t="s">
        <v>1068</v>
      </c>
    </row>
    <row r="921" spans="1:9" x14ac:dyDescent="0.25">
      <c r="A921" s="21" t="s">
        <v>1092</v>
      </c>
      <c r="B921">
        <v>23</v>
      </c>
      <c r="C921" s="21" t="s">
        <v>48</v>
      </c>
      <c r="D921" s="21" t="s">
        <v>24</v>
      </c>
      <c r="E921">
        <v>201</v>
      </c>
      <c r="F921">
        <v>21</v>
      </c>
      <c r="G921" s="21" t="s">
        <v>25</v>
      </c>
      <c r="H921" s="21" t="s">
        <v>558</v>
      </c>
      <c r="I921" s="21" t="s">
        <v>1068</v>
      </c>
    </row>
    <row r="922" spans="1:9" x14ac:dyDescent="0.25">
      <c r="A922" s="21" t="s">
        <v>1093</v>
      </c>
      <c r="B922">
        <v>25</v>
      </c>
      <c r="C922" s="21" t="s">
        <v>51</v>
      </c>
      <c r="D922" s="21" t="s">
        <v>135</v>
      </c>
      <c r="E922">
        <v>189</v>
      </c>
      <c r="F922">
        <v>24</v>
      </c>
      <c r="G922" s="21" t="s">
        <v>30</v>
      </c>
      <c r="H922" s="21" t="s">
        <v>39</v>
      </c>
      <c r="I922" s="21" t="s">
        <v>1068</v>
      </c>
    </row>
    <row r="923" spans="1:9" x14ac:dyDescent="0.25">
      <c r="A923" s="21" t="s">
        <v>1094</v>
      </c>
      <c r="B923">
        <v>42</v>
      </c>
      <c r="C923" s="21" t="s">
        <v>15</v>
      </c>
      <c r="D923" s="21" t="s">
        <v>11</v>
      </c>
      <c r="E923">
        <v>222</v>
      </c>
      <c r="F923">
        <v>23</v>
      </c>
      <c r="G923" s="21" t="s">
        <v>30</v>
      </c>
      <c r="H923" s="21" t="s">
        <v>143</v>
      </c>
      <c r="I923" s="21" t="s">
        <v>1068</v>
      </c>
    </row>
    <row r="924" spans="1:9" x14ac:dyDescent="0.25">
      <c r="A924" s="21" t="s">
        <v>1095</v>
      </c>
      <c r="B924">
        <v>79</v>
      </c>
      <c r="C924" s="21" t="s">
        <v>277</v>
      </c>
      <c r="D924" s="21" t="s">
        <v>29</v>
      </c>
      <c r="E924">
        <v>308</v>
      </c>
      <c r="F924">
        <v>25</v>
      </c>
      <c r="G924" s="21" t="s">
        <v>12</v>
      </c>
      <c r="H924" s="21" t="s">
        <v>238</v>
      </c>
      <c r="I924" s="21" t="s">
        <v>1068</v>
      </c>
    </row>
    <row r="925" spans="1:9" x14ac:dyDescent="0.25">
      <c r="A925" s="21" t="s">
        <v>1096</v>
      </c>
      <c r="B925">
        <v>34</v>
      </c>
      <c r="C925" s="21" t="s">
        <v>51</v>
      </c>
      <c r="D925" s="21" t="s">
        <v>125</v>
      </c>
      <c r="E925">
        <v>210</v>
      </c>
      <c r="F925">
        <v>22</v>
      </c>
      <c r="G925" s="21" t="s">
        <v>25</v>
      </c>
      <c r="H925" s="21" t="s">
        <v>304</v>
      </c>
      <c r="I925" s="21" t="s">
        <v>1068</v>
      </c>
    </row>
    <row r="926" spans="1:9" x14ac:dyDescent="0.25">
      <c r="A926" s="21" t="s">
        <v>1097</v>
      </c>
      <c r="B926">
        <v>86</v>
      </c>
      <c r="C926" s="21" t="s">
        <v>57</v>
      </c>
      <c r="D926" s="21" t="s">
        <v>29</v>
      </c>
      <c r="E926">
        <v>245</v>
      </c>
      <c r="F926">
        <v>24</v>
      </c>
      <c r="G926" s="21" t="s">
        <v>83</v>
      </c>
      <c r="H926" s="21" t="s">
        <v>233</v>
      </c>
      <c r="I926" s="21" t="s">
        <v>1068</v>
      </c>
    </row>
    <row r="927" spans="1:9" x14ac:dyDescent="0.25">
      <c r="A927" s="21" t="s">
        <v>1098</v>
      </c>
      <c r="B927">
        <v>72</v>
      </c>
      <c r="C927" s="21" t="s">
        <v>277</v>
      </c>
      <c r="D927" s="21" t="s">
        <v>29</v>
      </c>
      <c r="E927">
        <v>310</v>
      </c>
      <c r="F927">
        <v>25</v>
      </c>
      <c r="G927" s="21" t="s">
        <v>16</v>
      </c>
      <c r="H927" s="21" t="s">
        <v>80</v>
      </c>
      <c r="I927" s="21" t="s">
        <v>1068</v>
      </c>
    </row>
    <row r="928" spans="1:9" x14ac:dyDescent="0.25">
      <c r="A928" s="21" t="s">
        <v>1099</v>
      </c>
      <c r="B928">
        <v>95</v>
      </c>
      <c r="C928" s="21" t="s">
        <v>319</v>
      </c>
      <c r="D928" s="21" t="s">
        <v>35</v>
      </c>
      <c r="E928">
        <v>272</v>
      </c>
      <c r="F928">
        <v>26</v>
      </c>
      <c r="G928" s="21" t="s">
        <v>38</v>
      </c>
      <c r="H928" s="21" t="s">
        <v>152</v>
      </c>
      <c r="I928" s="21" t="s">
        <v>1068</v>
      </c>
    </row>
    <row r="929" spans="1:9" x14ac:dyDescent="0.25">
      <c r="A929" s="21" t="s">
        <v>1100</v>
      </c>
      <c r="B929">
        <v>9</v>
      </c>
      <c r="C929" s="21" t="s">
        <v>10</v>
      </c>
      <c r="D929" s="21" t="s">
        <v>362</v>
      </c>
      <c r="E929">
        <v>172</v>
      </c>
      <c r="F929">
        <v>29</v>
      </c>
      <c r="G929" s="21" t="s">
        <v>100</v>
      </c>
      <c r="H929" s="21" t="s">
        <v>101</v>
      </c>
      <c r="I929" s="21" t="s">
        <v>1068</v>
      </c>
    </row>
    <row r="930" spans="1:9" x14ac:dyDescent="0.25">
      <c r="A930" s="21" t="s">
        <v>368</v>
      </c>
      <c r="B930">
        <v>38</v>
      </c>
      <c r="C930" s="21" t="s">
        <v>48</v>
      </c>
      <c r="D930" s="21" t="s">
        <v>24</v>
      </c>
      <c r="E930">
        <v>198</v>
      </c>
      <c r="F930">
        <v>24</v>
      </c>
      <c r="G930" s="21" t="s">
        <v>30</v>
      </c>
      <c r="H930" s="21" t="s">
        <v>130</v>
      </c>
      <c r="I930" s="21" t="s">
        <v>1068</v>
      </c>
    </row>
    <row r="931" spans="1:9" x14ac:dyDescent="0.25">
      <c r="A931" s="21" t="s">
        <v>1101</v>
      </c>
      <c r="B931">
        <v>89</v>
      </c>
      <c r="C931" s="21" t="s">
        <v>57</v>
      </c>
      <c r="D931" s="21" t="s">
        <v>29</v>
      </c>
      <c r="E931">
        <v>260</v>
      </c>
      <c r="F931">
        <v>25</v>
      </c>
      <c r="G931" s="21" t="s">
        <v>83</v>
      </c>
      <c r="H931" s="21" t="s">
        <v>128</v>
      </c>
      <c r="I931" s="21" t="s">
        <v>1068</v>
      </c>
    </row>
    <row r="932" spans="1:9" x14ac:dyDescent="0.25">
      <c r="A932" s="21" t="s">
        <v>4786</v>
      </c>
      <c r="B932">
        <v>89</v>
      </c>
      <c r="C932" s="21" t="s">
        <v>57</v>
      </c>
      <c r="D932" s="21" t="s">
        <v>29</v>
      </c>
      <c r="E932">
        <v>250</v>
      </c>
      <c r="F932">
        <v>26</v>
      </c>
      <c r="G932" s="21" t="s">
        <v>83</v>
      </c>
      <c r="H932" s="21" t="s">
        <v>4787</v>
      </c>
      <c r="I932" s="21" t="s">
        <v>1068</v>
      </c>
    </row>
    <row r="933" spans="1:9" x14ac:dyDescent="0.25">
      <c r="A933" s="21" t="s">
        <v>1102</v>
      </c>
      <c r="B933">
        <v>62</v>
      </c>
      <c r="C933" s="21" t="s">
        <v>277</v>
      </c>
      <c r="D933" s="21" t="s">
        <v>67</v>
      </c>
      <c r="E933">
        <v>310</v>
      </c>
      <c r="F933">
        <v>26</v>
      </c>
      <c r="G933" s="21" t="s">
        <v>30</v>
      </c>
      <c r="H933" s="21" t="s">
        <v>302</v>
      </c>
      <c r="I933" s="21" t="s">
        <v>1068</v>
      </c>
    </row>
    <row r="934" spans="1:9" x14ac:dyDescent="0.25">
      <c r="A934" s="21" t="s">
        <v>1103</v>
      </c>
      <c r="B934">
        <v>82</v>
      </c>
      <c r="C934" s="21" t="s">
        <v>10</v>
      </c>
      <c r="D934" s="21" t="s">
        <v>125</v>
      </c>
      <c r="E934">
        <v>180</v>
      </c>
      <c r="F934">
        <v>24</v>
      </c>
      <c r="G934" s="21" t="s">
        <v>25</v>
      </c>
      <c r="H934" s="21" t="s">
        <v>385</v>
      </c>
      <c r="I934" s="21" t="s">
        <v>1068</v>
      </c>
    </row>
    <row r="935" spans="1:9" x14ac:dyDescent="0.25">
      <c r="A935" s="21" t="s">
        <v>1104</v>
      </c>
      <c r="B935">
        <v>53</v>
      </c>
      <c r="C935" s="21" t="s">
        <v>184</v>
      </c>
      <c r="D935" s="21" t="s">
        <v>52</v>
      </c>
      <c r="E935">
        <v>293</v>
      </c>
      <c r="F935">
        <v>23</v>
      </c>
      <c r="G935" s="21" t="s">
        <v>12</v>
      </c>
      <c r="H935" s="21" t="s">
        <v>274</v>
      </c>
      <c r="I935" s="21" t="s">
        <v>1068</v>
      </c>
    </row>
    <row r="936" spans="1:9" x14ac:dyDescent="0.25">
      <c r="A936" s="21" t="s">
        <v>1105</v>
      </c>
      <c r="B936">
        <v>83</v>
      </c>
      <c r="C936" s="21" t="s">
        <v>10</v>
      </c>
      <c r="D936" s="21" t="s">
        <v>86</v>
      </c>
      <c r="E936">
        <v>182</v>
      </c>
      <c r="F936">
        <v>23</v>
      </c>
      <c r="G936" s="21" t="s">
        <v>25</v>
      </c>
      <c r="H936" s="21" t="s">
        <v>370</v>
      </c>
      <c r="I936" s="21" t="s">
        <v>1068</v>
      </c>
    </row>
    <row r="937" spans="1:9" x14ac:dyDescent="0.25">
      <c r="A937" s="21" t="s">
        <v>1106</v>
      </c>
      <c r="B937">
        <v>33</v>
      </c>
      <c r="C937" s="21" t="s">
        <v>89</v>
      </c>
      <c r="D937" s="21" t="s">
        <v>44</v>
      </c>
      <c r="E937">
        <v>214</v>
      </c>
      <c r="F937">
        <v>25</v>
      </c>
      <c r="G937" s="21" t="s">
        <v>45</v>
      </c>
      <c r="H937" s="21" t="s">
        <v>233</v>
      </c>
      <c r="I937" s="21" t="s">
        <v>1068</v>
      </c>
    </row>
    <row r="938" spans="1:9" x14ac:dyDescent="0.25">
      <c r="A938" s="21" t="s">
        <v>1107</v>
      </c>
      <c r="B938">
        <v>54</v>
      </c>
      <c r="C938" s="21" t="s">
        <v>15</v>
      </c>
      <c r="D938" s="21" t="s">
        <v>54</v>
      </c>
      <c r="E938">
        <v>230</v>
      </c>
      <c r="F938">
        <v>26</v>
      </c>
      <c r="G938" s="21" t="s">
        <v>30</v>
      </c>
      <c r="H938" s="21" t="s">
        <v>162</v>
      </c>
      <c r="I938" s="21" t="s">
        <v>1068</v>
      </c>
    </row>
    <row r="939" spans="1:9" x14ac:dyDescent="0.25">
      <c r="A939" s="21" t="s">
        <v>1108</v>
      </c>
      <c r="B939">
        <v>57</v>
      </c>
      <c r="C939" s="21" t="s">
        <v>184</v>
      </c>
      <c r="D939" s="21" t="s">
        <v>35</v>
      </c>
      <c r="E939">
        <v>302</v>
      </c>
      <c r="F939">
        <v>23</v>
      </c>
      <c r="G939" s="21" t="s">
        <v>25</v>
      </c>
      <c r="H939" s="21" t="s">
        <v>357</v>
      </c>
      <c r="I939" s="21" t="s">
        <v>1068</v>
      </c>
    </row>
    <row r="940" spans="1:9" x14ac:dyDescent="0.25">
      <c r="A940" s="21" t="s">
        <v>1109</v>
      </c>
      <c r="B940">
        <v>74</v>
      </c>
      <c r="C940" s="21" t="s">
        <v>140</v>
      </c>
      <c r="D940" s="21" t="s">
        <v>35</v>
      </c>
      <c r="E940">
        <v>295</v>
      </c>
      <c r="F940">
        <v>31</v>
      </c>
      <c r="G940" s="21" t="s">
        <v>64</v>
      </c>
      <c r="H940" s="21" t="s">
        <v>308</v>
      </c>
      <c r="I940" s="21" t="s">
        <v>1068</v>
      </c>
    </row>
    <row r="941" spans="1:9" x14ac:dyDescent="0.25">
      <c r="A941" s="21" t="s">
        <v>1110</v>
      </c>
      <c r="B941">
        <v>66</v>
      </c>
      <c r="C941" s="21" t="s">
        <v>140</v>
      </c>
      <c r="D941" s="21" t="s">
        <v>29</v>
      </c>
      <c r="E941">
        <v>313</v>
      </c>
      <c r="F941">
        <v>23</v>
      </c>
      <c r="G941" s="21" t="s">
        <v>30</v>
      </c>
      <c r="H941" s="21" t="s">
        <v>304</v>
      </c>
      <c r="I941" s="21" t="s">
        <v>1068</v>
      </c>
    </row>
    <row r="942" spans="1:9" x14ac:dyDescent="0.25">
      <c r="A942" s="21" t="s">
        <v>1111</v>
      </c>
      <c r="B942">
        <v>47</v>
      </c>
      <c r="C942" s="21" t="s">
        <v>158</v>
      </c>
      <c r="D942" s="21" t="s">
        <v>35</v>
      </c>
      <c r="E942">
        <v>248</v>
      </c>
      <c r="F942">
        <v>32</v>
      </c>
      <c r="G942" s="21" t="s">
        <v>21</v>
      </c>
      <c r="H942" s="21" t="s">
        <v>3252</v>
      </c>
      <c r="I942" s="21" t="s">
        <v>1068</v>
      </c>
    </row>
    <row r="943" spans="1:9" x14ac:dyDescent="0.25">
      <c r="A943" s="21" t="s">
        <v>1112</v>
      </c>
      <c r="B943">
        <v>27</v>
      </c>
      <c r="C943" s="21" t="s">
        <v>51</v>
      </c>
      <c r="D943" s="21" t="s">
        <v>54</v>
      </c>
      <c r="E943">
        <v>216</v>
      </c>
      <c r="F943">
        <v>26</v>
      </c>
      <c r="G943" s="21" t="s">
        <v>38</v>
      </c>
      <c r="H943" s="21" t="s">
        <v>93</v>
      </c>
      <c r="I943" s="21" t="s">
        <v>1068</v>
      </c>
    </row>
    <row r="944" spans="1:9" x14ac:dyDescent="0.25">
      <c r="A944" s="21" t="s">
        <v>1113</v>
      </c>
      <c r="B944">
        <v>30</v>
      </c>
      <c r="C944" s="21" t="s">
        <v>51</v>
      </c>
      <c r="D944" s="21" t="s">
        <v>125</v>
      </c>
      <c r="E944">
        <v>208</v>
      </c>
      <c r="F944">
        <v>26</v>
      </c>
      <c r="G944" s="21" t="s">
        <v>16</v>
      </c>
      <c r="H944" s="21" t="s">
        <v>522</v>
      </c>
      <c r="I944" s="21" t="s">
        <v>1068</v>
      </c>
    </row>
    <row r="945" spans="1:9" x14ac:dyDescent="0.25">
      <c r="A945" s="21" t="s">
        <v>1114</v>
      </c>
      <c r="B945">
        <v>43</v>
      </c>
      <c r="C945" s="21" t="s">
        <v>89</v>
      </c>
      <c r="D945" s="21" t="s">
        <v>11</v>
      </c>
      <c r="E945">
        <v>209</v>
      </c>
      <c r="F945">
        <v>26</v>
      </c>
      <c r="G945" s="21" t="s">
        <v>38</v>
      </c>
      <c r="H945" s="21" t="s">
        <v>278</v>
      </c>
      <c r="I945" s="21" t="s">
        <v>1068</v>
      </c>
    </row>
    <row r="946" spans="1:9" x14ac:dyDescent="0.25">
      <c r="A946" s="21" t="s">
        <v>1115</v>
      </c>
      <c r="B946">
        <v>49</v>
      </c>
      <c r="C946" s="21" t="s">
        <v>48</v>
      </c>
      <c r="D946" s="21" t="s">
        <v>135</v>
      </c>
      <c r="E946">
        <v>180</v>
      </c>
      <c r="F946">
        <v>23</v>
      </c>
      <c r="G946" s="21" t="s">
        <v>25</v>
      </c>
      <c r="H946" s="21" t="s">
        <v>243</v>
      </c>
      <c r="I946" s="21" t="s">
        <v>1068</v>
      </c>
    </row>
    <row r="947" spans="1:9" x14ac:dyDescent="0.25">
      <c r="A947" s="21" t="s">
        <v>1116</v>
      </c>
      <c r="B947">
        <v>41</v>
      </c>
      <c r="C947" s="21" t="s">
        <v>51</v>
      </c>
      <c r="D947" s="21" t="s">
        <v>125</v>
      </c>
      <c r="E947">
        <v>208</v>
      </c>
      <c r="F947">
        <v>25</v>
      </c>
      <c r="G947" s="21" t="s">
        <v>30</v>
      </c>
      <c r="H947" s="21" t="s">
        <v>104</v>
      </c>
      <c r="I947" s="21" t="s">
        <v>1068</v>
      </c>
    </row>
    <row r="948" spans="1:9" x14ac:dyDescent="0.25">
      <c r="A948" s="21" t="s">
        <v>1117</v>
      </c>
      <c r="B948">
        <v>51</v>
      </c>
      <c r="C948" s="21" t="s">
        <v>15</v>
      </c>
      <c r="D948" s="21" t="s">
        <v>35</v>
      </c>
      <c r="E948">
        <v>229</v>
      </c>
      <c r="F948">
        <v>24</v>
      </c>
      <c r="G948" s="21" t="s">
        <v>25</v>
      </c>
      <c r="H948" s="21" t="s">
        <v>471</v>
      </c>
      <c r="I948" s="21" t="s">
        <v>1068</v>
      </c>
    </row>
    <row r="949" spans="1:9" x14ac:dyDescent="0.25">
      <c r="A949" s="21" t="s">
        <v>1118</v>
      </c>
      <c r="B949">
        <v>36</v>
      </c>
      <c r="C949" s="21" t="s">
        <v>89</v>
      </c>
      <c r="D949" s="21" t="s">
        <v>24</v>
      </c>
      <c r="E949">
        <v>195</v>
      </c>
      <c r="F949">
        <v>25</v>
      </c>
      <c r="G949" s="21" t="s">
        <v>83</v>
      </c>
      <c r="H949" s="21" t="s">
        <v>849</v>
      </c>
      <c r="I949" s="21" t="s">
        <v>1068</v>
      </c>
    </row>
    <row r="950" spans="1:9" x14ac:dyDescent="0.25">
      <c r="A950" s="21" t="s">
        <v>1119</v>
      </c>
      <c r="B950">
        <v>39</v>
      </c>
      <c r="C950" s="21" t="s">
        <v>89</v>
      </c>
      <c r="D950" s="21" t="s">
        <v>54</v>
      </c>
      <c r="E950">
        <v>196</v>
      </c>
      <c r="F950">
        <v>23</v>
      </c>
      <c r="G950" s="21" t="s">
        <v>30</v>
      </c>
      <c r="H950" s="21" t="s">
        <v>196</v>
      </c>
      <c r="I950" s="21" t="s">
        <v>1068</v>
      </c>
    </row>
    <row r="951" spans="1:9" x14ac:dyDescent="0.25">
      <c r="A951" s="21" t="s">
        <v>1120</v>
      </c>
      <c r="B951">
        <v>63</v>
      </c>
      <c r="C951" s="21" t="s">
        <v>114</v>
      </c>
      <c r="D951" s="21" t="s">
        <v>44</v>
      </c>
      <c r="E951">
        <v>298</v>
      </c>
      <c r="F951">
        <v>24</v>
      </c>
      <c r="G951" s="21" t="s">
        <v>25</v>
      </c>
      <c r="H951" s="21" t="s">
        <v>267</v>
      </c>
      <c r="I951" s="21" t="s">
        <v>1068</v>
      </c>
    </row>
    <row r="952" spans="1:9" x14ac:dyDescent="0.25">
      <c r="A952" s="21" t="s">
        <v>1121</v>
      </c>
      <c r="B952">
        <v>49</v>
      </c>
      <c r="C952" s="21" t="s">
        <v>89</v>
      </c>
      <c r="D952" s="21" t="s">
        <v>54</v>
      </c>
      <c r="E952">
        <v>189</v>
      </c>
      <c r="F952">
        <v>25</v>
      </c>
      <c r="G952" s="21" t="s">
        <v>83</v>
      </c>
      <c r="H952" s="21" t="s">
        <v>39</v>
      </c>
      <c r="I952" s="21" t="s">
        <v>1068</v>
      </c>
    </row>
    <row r="953" spans="1:9" x14ac:dyDescent="0.25">
      <c r="A953" s="21" t="s">
        <v>1122</v>
      </c>
      <c r="B953">
        <v>29</v>
      </c>
      <c r="C953" s="21" t="s">
        <v>48</v>
      </c>
      <c r="D953" s="21" t="s">
        <v>52</v>
      </c>
      <c r="E953">
        <v>201</v>
      </c>
      <c r="F953">
        <v>24</v>
      </c>
      <c r="G953" s="21" t="s">
        <v>30</v>
      </c>
      <c r="H953" s="21" t="s">
        <v>17</v>
      </c>
      <c r="I953" s="21" t="s">
        <v>1068</v>
      </c>
    </row>
    <row r="954" spans="1:9" x14ac:dyDescent="0.25">
      <c r="A954" s="21" t="s">
        <v>1123</v>
      </c>
      <c r="B954">
        <v>81</v>
      </c>
      <c r="C954" s="21" t="s">
        <v>57</v>
      </c>
      <c r="D954" s="21" t="s">
        <v>29</v>
      </c>
      <c r="E954">
        <v>257</v>
      </c>
      <c r="F954">
        <v>22</v>
      </c>
      <c r="G954" s="21" t="s">
        <v>25</v>
      </c>
      <c r="H954" s="21" t="s">
        <v>17</v>
      </c>
      <c r="I954" s="21" t="s">
        <v>1068</v>
      </c>
    </row>
    <row r="955" spans="1:9" x14ac:dyDescent="0.25">
      <c r="A955" s="21" t="s">
        <v>1124</v>
      </c>
      <c r="B955">
        <v>60</v>
      </c>
      <c r="C955" s="21" t="s">
        <v>277</v>
      </c>
      <c r="D955" s="21" t="s">
        <v>24</v>
      </c>
      <c r="E955">
        <v>320</v>
      </c>
      <c r="F955">
        <v>24</v>
      </c>
      <c r="G955" s="21" t="s">
        <v>83</v>
      </c>
      <c r="H955" s="21" t="s">
        <v>1045</v>
      </c>
      <c r="I955" s="21" t="s">
        <v>1068</v>
      </c>
    </row>
    <row r="956" spans="1:9" x14ac:dyDescent="0.25">
      <c r="A956" s="21" t="s">
        <v>1125</v>
      </c>
      <c r="B956">
        <v>48</v>
      </c>
      <c r="C956" s="21" t="s">
        <v>48</v>
      </c>
      <c r="D956" s="21" t="s">
        <v>11</v>
      </c>
      <c r="E956">
        <v>180</v>
      </c>
      <c r="F956">
        <v>24</v>
      </c>
      <c r="G956" s="21" t="s">
        <v>30</v>
      </c>
      <c r="H956" s="21" t="s">
        <v>187</v>
      </c>
      <c r="I956" s="21" t="s">
        <v>1068</v>
      </c>
    </row>
    <row r="957" spans="1:9" x14ac:dyDescent="0.25">
      <c r="A957" s="21" t="s">
        <v>1126</v>
      </c>
      <c r="B957">
        <v>20</v>
      </c>
      <c r="C957" s="21" t="s">
        <v>48</v>
      </c>
      <c r="D957" s="21" t="s">
        <v>11</v>
      </c>
      <c r="E957">
        <v>192</v>
      </c>
      <c r="F957">
        <v>22</v>
      </c>
      <c r="G957" s="21" t="s">
        <v>30</v>
      </c>
      <c r="H957" s="21" t="s">
        <v>302</v>
      </c>
      <c r="I957" s="21" t="s">
        <v>1068</v>
      </c>
    </row>
    <row r="958" spans="1:9" x14ac:dyDescent="0.25">
      <c r="A958" s="21" t="s">
        <v>1127</v>
      </c>
      <c r="B958">
        <v>85</v>
      </c>
      <c r="C958" s="21" t="s">
        <v>57</v>
      </c>
      <c r="D958" s="21" t="s">
        <v>35</v>
      </c>
      <c r="E958">
        <v>246</v>
      </c>
      <c r="F958">
        <v>26</v>
      </c>
      <c r="G958" s="21" t="s">
        <v>38</v>
      </c>
      <c r="H958" s="21" t="s">
        <v>385</v>
      </c>
      <c r="I958" s="21" t="s">
        <v>1068</v>
      </c>
    </row>
    <row r="959" spans="1:9" x14ac:dyDescent="0.25">
      <c r="A959" s="21" t="s">
        <v>1128</v>
      </c>
      <c r="B959">
        <v>65</v>
      </c>
      <c r="C959" s="21" t="s">
        <v>140</v>
      </c>
      <c r="D959" s="21" t="s">
        <v>52</v>
      </c>
      <c r="E959">
        <v>328</v>
      </c>
      <c r="F959">
        <v>27</v>
      </c>
      <c r="G959" s="21" t="s">
        <v>83</v>
      </c>
      <c r="H959" s="21" t="s">
        <v>93</v>
      </c>
      <c r="I959" s="21" t="s">
        <v>1068</v>
      </c>
    </row>
    <row r="960" spans="1:9" x14ac:dyDescent="0.25">
      <c r="A960" s="21" t="s">
        <v>1129</v>
      </c>
      <c r="B960">
        <v>28</v>
      </c>
      <c r="C960" s="21" t="s">
        <v>15</v>
      </c>
      <c r="D960" s="21" t="s">
        <v>24</v>
      </c>
      <c r="E960">
        <v>221</v>
      </c>
      <c r="F960">
        <v>22</v>
      </c>
      <c r="G960" s="21" t="s">
        <v>30</v>
      </c>
      <c r="H960" s="21" t="s">
        <v>31</v>
      </c>
      <c r="I960" s="21" t="s">
        <v>1068</v>
      </c>
    </row>
    <row r="961" spans="1:9" x14ac:dyDescent="0.25">
      <c r="A961" s="21" t="s">
        <v>1130</v>
      </c>
      <c r="B961">
        <v>11</v>
      </c>
      <c r="C961" s="21" t="s">
        <v>10</v>
      </c>
      <c r="D961" s="21" t="s">
        <v>24</v>
      </c>
      <c r="E961">
        <v>204</v>
      </c>
      <c r="F961">
        <v>23</v>
      </c>
      <c r="G961" s="21" t="s">
        <v>12</v>
      </c>
      <c r="H961" s="21" t="s">
        <v>98</v>
      </c>
      <c r="I961" s="21" t="s">
        <v>1068</v>
      </c>
    </row>
    <row r="962" spans="1:9" x14ac:dyDescent="0.25">
      <c r="A962" s="21" t="s">
        <v>1131</v>
      </c>
      <c r="B962">
        <v>64</v>
      </c>
      <c r="C962" s="21" t="s">
        <v>114</v>
      </c>
      <c r="D962" s="21" t="s">
        <v>52</v>
      </c>
      <c r="E962">
        <v>304</v>
      </c>
      <c r="F962">
        <v>24</v>
      </c>
      <c r="G962" s="21" t="s">
        <v>25</v>
      </c>
      <c r="H962" s="21" t="s">
        <v>176</v>
      </c>
      <c r="I962" s="21" t="s">
        <v>1068</v>
      </c>
    </row>
    <row r="963" spans="1:9" x14ac:dyDescent="0.25">
      <c r="A963" s="21" t="s">
        <v>1132</v>
      </c>
      <c r="B963">
        <v>67</v>
      </c>
      <c r="C963" s="21" t="s">
        <v>140</v>
      </c>
      <c r="D963" s="21" t="s">
        <v>29</v>
      </c>
      <c r="E963">
        <v>316</v>
      </c>
      <c r="F963">
        <v>23</v>
      </c>
      <c r="G963" s="21" t="s">
        <v>25</v>
      </c>
      <c r="H963" s="21" t="s">
        <v>278</v>
      </c>
      <c r="I963" s="21" t="s">
        <v>1068</v>
      </c>
    </row>
    <row r="964" spans="1:9" x14ac:dyDescent="0.25">
      <c r="A964" s="21" t="s">
        <v>1133</v>
      </c>
      <c r="B964">
        <v>50</v>
      </c>
      <c r="C964" s="21" t="s">
        <v>15</v>
      </c>
      <c r="D964" s="21" t="s">
        <v>44</v>
      </c>
      <c r="E964">
        <v>228</v>
      </c>
      <c r="F964">
        <v>23</v>
      </c>
      <c r="G964" s="21" t="s">
        <v>12</v>
      </c>
      <c r="H964" s="21" t="s">
        <v>267</v>
      </c>
      <c r="I964" s="21" t="s">
        <v>1068</v>
      </c>
    </row>
    <row r="965" spans="1:9" x14ac:dyDescent="0.25">
      <c r="A965" s="21" t="s">
        <v>1134</v>
      </c>
      <c r="B965">
        <v>55</v>
      </c>
      <c r="C965" s="21" t="s">
        <v>184</v>
      </c>
      <c r="D965" s="21" t="s">
        <v>67</v>
      </c>
      <c r="E965">
        <v>309</v>
      </c>
      <c r="F965">
        <v>26</v>
      </c>
      <c r="G965" s="21" t="s">
        <v>38</v>
      </c>
      <c r="H965" s="21" t="s">
        <v>267</v>
      </c>
      <c r="I965" s="21" t="s">
        <v>1068</v>
      </c>
    </row>
    <row r="966" spans="1:9" x14ac:dyDescent="0.25">
      <c r="A966" s="21" t="s">
        <v>1135</v>
      </c>
      <c r="B966">
        <v>31</v>
      </c>
      <c r="C966" s="21" t="s">
        <v>48</v>
      </c>
      <c r="D966" s="21" t="s">
        <v>52</v>
      </c>
      <c r="E966">
        <v>200</v>
      </c>
      <c r="F966">
        <v>25</v>
      </c>
      <c r="G966" s="21" t="s">
        <v>12</v>
      </c>
      <c r="H966" s="21" t="s">
        <v>352</v>
      </c>
      <c r="I966" s="21" t="s">
        <v>1068</v>
      </c>
    </row>
    <row r="967" spans="1:9" x14ac:dyDescent="0.25">
      <c r="A967" s="21" t="s">
        <v>1136</v>
      </c>
      <c r="B967">
        <v>98</v>
      </c>
      <c r="C967" s="21" t="s">
        <v>319</v>
      </c>
      <c r="D967" s="21" t="s">
        <v>44</v>
      </c>
      <c r="E967">
        <v>280</v>
      </c>
      <c r="F967">
        <v>27</v>
      </c>
      <c r="G967" s="21" t="s">
        <v>45</v>
      </c>
      <c r="H967" s="21" t="s">
        <v>31</v>
      </c>
      <c r="I967" s="21" t="s">
        <v>1068</v>
      </c>
    </row>
    <row r="968" spans="1:9" x14ac:dyDescent="0.25">
      <c r="A968" s="21" t="s">
        <v>1137</v>
      </c>
      <c r="B968">
        <v>87</v>
      </c>
      <c r="C968" s="21" t="s">
        <v>57</v>
      </c>
      <c r="D968" s="21" t="s">
        <v>67</v>
      </c>
      <c r="E968">
        <v>261</v>
      </c>
      <c r="F968">
        <v>25</v>
      </c>
      <c r="G968" s="21" t="s">
        <v>25</v>
      </c>
      <c r="H968" s="21" t="s">
        <v>101</v>
      </c>
      <c r="I968" s="21" t="s">
        <v>1068</v>
      </c>
    </row>
    <row r="969" spans="1:9" x14ac:dyDescent="0.25">
      <c r="A969" s="21" t="s">
        <v>1138</v>
      </c>
      <c r="B969">
        <v>10</v>
      </c>
      <c r="C969" s="21" t="s">
        <v>10</v>
      </c>
      <c r="D969" s="21" t="s">
        <v>11</v>
      </c>
      <c r="E969">
        <v>186</v>
      </c>
      <c r="F969">
        <v>21</v>
      </c>
      <c r="G969" s="21" t="s">
        <v>30</v>
      </c>
      <c r="H969" s="21" t="s">
        <v>65</v>
      </c>
      <c r="I969" s="21" t="s">
        <v>1068</v>
      </c>
    </row>
    <row r="970" spans="1:9" x14ac:dyDescent="0.25">
      <c r="A970" s="21" t="s">
        <v>1139</v>
      </c>
      <c r="B970">
        <v>40</v>
      </c>
      <c r="C970" s="21" t="s">
        <v>91</v>
      </c>
      <c r="D970" s="21" t="s">
        <v>24</v>
      </c>
      <c r="E970">
        <v>240</v>
      </c>
      <c r="F970">
        <v>27</v>
      </c>
      <c r="G970" s="21" t="s">
        <v>30</v>
      </c>
      <c r="H970" s="21" t="s">
        <v>1140</v>
      </c>
      <c r="I970" s="21" t="s">
        <v>1068</v>
      </c>
    </row>
    <row r="971" spans="1:9" x14ac:dyDescent="0.25">
      <c r="A971" s="21" t="s">
        <v>1141</v>
      </c>
      <c r="B971">
        <v>44</v>
      </c>
      <c r="C971" s="21" t="s">
        <v>15</v>
      </c>
      <c r="D971" s="21" t="s">
        <v>52</v>
      </c>
      <c r="E971">
        <v>238</v>
      </c>
      <c r="F971">
        <v>27</v>
      </c>
      <c r="G971" s="21" t="s">
        <v>16</v>
      </c>
      <c r="H971" s="21" t="s">
        <v>204</v>
      </c>
      <c r="I971" s="21" t="s">
        <v>1068</v>
      </c>
    </row>
    <row r="972" spans="1:9" x14ac:dyDescent="0.25">
      <c r="A972" s="21" t="s">
        <v>1142</v>
      </c>
      <c r="B972">
        <v>70</v>
      </c>
      <c r="C972" s="21" t="s">
        <v>140</v>
      </c>
      <c r="D972" s="21" t="s">
        <v>141</v>
      </c>
      <c r="E972">
        <v>301</v>
      </c>
      <c r="F972">
        <v>25</v>
      </c>
      <c r="G972" s="21" t="s">
        <v>30</v>
      </c>
      <c r="H972" s="21" t="s">
        <v>372</v>
      </c>
      <c r="I972" s="21" t="s">
        <v>1068</v>
      </c>
    </row>
    <row r="973" spans="1:9" x14ac:dyDescent="0.25">
      <c r="A973" s="21" t="s">
        <v>1143</v>
      </c>
      <c r="B973">
        <v>77</v>
      </c>
      <c r="C973" s="21" t="s">
        <v>277</v>
      </c>
      <c r="D973" s="21" t="s">
        <v>35</v>
      </c>
      <c r="E973">
        <v>314</v>
      </c>
      <c r="F973">
        <v>27</v>
      </c>
      <c r="G973" s="21" t="s">
        <v>45</v>
      </c>
      <c r="H973" s="21" t="s">
        <v>357</v>
      </c>
      <c r="I973" s="21" t="s">
        <v>1068</v>
      </c>
    </row>
    <row r="974" spans="1:9" x14ac:dyDescent="0.25">
      <c r="A974" s="21" t="s">
        <v>1144</v>
      </c>
      <c r="B974">
        <v>58</v>
      </c>
      <c r="C974" s="21" t="s">
        <v>319</v>
      </c>
      <c r="D974" s="21" t="s">
        <v>29</v>
      </c>
      <c r="E974">
        <v>266</v>
      </c>
      <c r="F974">
        <v>23</v>
      </c>
      <c r="G974" s="21" t="s">
        <v>25</v>
      </c>
      <c r="H974" s="21" t="s">
        <v>187</v>
      </c>
      <c r="I974" s="21" t="s">
        <v>1068</v>
      </c>
    </row>
    <row r="975" spans="1:9" x14ac:dyDescent="0.25">
      <c r="A975" s="21" t="s">
        <v>1145</v>
      </c>
      <c r="B975">
        <v>93</v>
      </c>
      <c r="C975" s="21" t="s">
        <v>114</v>
      </c>
      <c r="D975" s="21" t="s">
        <v>24</v>
      </c>
      <c r="E975">
        <v>296</v>
      </c>
      <c r="F975">
        <v>22</v>
      </c>
      <c r="G975" s="21" t="s">
        <v>30</v>
      </c>
      <c r="H975" s="21" t="s">
        <v>36</v>
      </c>
      <c r="I975" s="21" t="s">
        <v>1068</v>
      </c>
    </row>
    <row r="976" spans="1:9" x14ac:dyDescent="0.25">
      <c r="A976" s="21" t="s">
        <v>1146</v>
      </c>
      <c r="B976">
        <v>5</v>
      </c>
      <c r="C976" s="21" t="s">
        <v>15</v>
      </c>
      <c r="D976" s="21" t="s">
        <v>52</v>
      </c>
      <c r="E976">
        <v>235</v>
      </c>
      <c r="F976">
        <v>26</v>
      </c>
      <c r="G976" s="21" t="s">
        <v>38</v>
      </c>
      <c r="H976" s="21" t="s">
        <v>302</v>
      </c>
      <c r="I976" s="21" t="s">
        <v>1068</v>
      </c>
    </row>
    <row r="977" spans="1:9" x14ac:dyDescent="0.25">
      <c r="A977" s="21" t="s">
        <v>1147</v>
      </c>
      <c r="B977">
        <v>21</v>
      </c>
      <c r="C977" s="21" t="s">
        <v>48</v>
      </c>
      <c r="D977" s="21" t="s">
        <v>54</v>
      </c>
      <c r="E977">
        <v>190</v>
      </c>
      <c r="F977">
        <v>25</v>
      </c>
      <c r="G977" s="21" t="s">
        <v>45</v>
      </c>
      <c r="H977" s="21" t="s">
        <v>36</v>
      </c>
      <c r="I977" s="21" t="s">
        <v>1068</v>
      </c>
    </row>
    <row r="978" spans="1:9" x14ac:dyDescent="0.25">
      <c r="A978" s="21" t="s">
        <v>1148</v>
      </c>
      <c r="B978">
        <v>4</v>
      </c>
      <c r="C978" s="21" t="s">
        <v>70</v>
      </c>
      <c r="D978" s="21" t="s">
        <v>24</v>
      </c>
      <c r="E978">
        <v>215</v>
      </c>
      <c r="F978">
        <v>26</v>
      </c>
      <c r="G978" s="21" t="s">
        <v>38</v>
      </c>
      <c r="H978" s="21" t="s">
        <v>136</v>
      </c>
      <c r="I978" s="21" t="s">
        <v>1068</v>
      </c>
    </row>
    <row r="979" spans="1:9" x14ac:dyDescent="0.25">
      <c r="A979" s="21" t="s">
        <v>1149</v>
      </c>
      <c r="B979">
        <v>91</v>
      </c>
      <c r="C979" s="21" t="s">
        <v>319</v>
      </c>
      <c r="D979" s="21" t="s">
        <v>29</v>
      </c>
      <c r="E979">
        <v>265</v>
      </c>
      <c r="F979">
        <v>28</v>
      </c>
      <c r="G979" s="21" t="s">
        <v>100</v>
      </c>
      <c r="H979" s="21" t="s">
        <v>46</v>
      </c>
      <c r="I979" s="21" t="s">
        <v>1068</v>
      </c>
    </row>
    <row r="980" spans="1:9" x14ac:dyDescent="0.25">
      <c r="A980" s="21" t="s">
        <v>1150</v>
      </c>
      <c r="B980">
        <v>59</v>
      </c>
      <c r="C980" s="21" t="s">
        <v>319</v>
      </c>
      <c r="D980" s="21" t="s">
        <v>24</v>
      </c>
      <c r="E980">
        <v>265</v>
      </c>
      <c r="F980">
        <v>23</v>
      </c>
      <c r="G980" s="21" t="s">
        <v>30</v>
      </c>
      <c r="H980" s="21" t="s">
        <v>330</v>
      </c>
      <c r="I980" s="21" t="s">
        <v>1068</v>
      </c>
    </row>
    <row r="981" spans="1:9" x14ac:dyDescent="0.25">
      <c r="A981" s="21" t="s">
        <v>1151</v>
      </c>
      <c r="B981">
        <v>17</v>
      </c>
      <c r="C981" s="21" t="s">
        <v>10</v>
      </c>
      <c r="D981" s="21" t="s">
        <v>35</v>
      </c>
      <c r="E981">
        <v>214</v>
      </c>
      <c r="F981">
        <v>24</v>
      </c>
      <c r="G981" s="21" t="s">
        <v>25</v>
      </c>
      <c r="H981" s="21" t="s">
        <v>473</v>
      </c>
      <c r="I981" s="21" t="s">
        <v>1068</v>
      </c>
    </row>
    <row r="982" spans="1:9" x14ac:dyDescent="0.25">
      <c r="A982" s="21" t="s">
        <v>1152</v>
      </c>
      <c r="B982">
        <v>26</v>
      </c>
      <c r="C982" s="21" t="s">
        <v>48</v>
      </c>
      <c r="D982" s="21" t="s">
        <v>24</v>
      </c>
      <c r="E982">
        <v>185</v>
      </c>
      <c r="F982">
        <v>24</v>
      </c>
      <c r="G982" s="21" t="s">
        <v>16</v>
      </c>
      <c r="H982" s="21" t="s">
        <v>267</v>
      </c>
      <c r="I982" s="21" t="s">
        <v>1068</v>
      </c>
    </row>
    <row r="983" spans="1:9" x14ac:dyDescent="0.25">
      <c r="A983" s="21" t="s">
        <v>1153</v>
      </c>
      <c r="B983">
        <v>71</v>
      </c>
      <c r="C983" s="21" t="s">
        <v>140</v>
      </c>
      <c r="D983" s="21" t="s">
        <v>35</v>
      </c>
      <c r="E983">
        <v>307</v>
      </c>
      <c r="F983">
        <v>23</v>
      </c>
      <c r="G983" s="21" t="s">
        <v>12</v>
      </c>
      <c r="H983" s="21" t="s">
        <v>233</v>
      </c>
      <c r="I983" s="21" t="s">
        <v>1068</v>
      </c>
    </row>
    <row r="984" spans="1:9" x14ac:dyDescent="0.25">
      <c r="A984" s="21" t="s">
        <v>1154</v>
      </c>
      <c r="B984">
        <v>16</v>
      </c>
      <c r="C984" s="21" t="s">
        <v>10</v>
      </c>
      <c r="D984" s="21" t="s">
        <v>35</v>
      </c>
      <c r="E984">
        <v>215</v>
      </c>
      <c r="F984">
        <v>27</v>
      </c>
      <c r="G984" s="21" t="s">
        <v>16</v>
      </c>
      <c r="H984" s="21" t="s">
        <v>196</v>
      </c>
      <c r="I984" s="21" t="s">
        <v>1068</v>
      </c>
    </row>
    <row r="985" spans="1:9" x14ac:dyDescent="0.25">
      <c r="A985" s="21" t="s">
        <v>1155</v>
      </c>
      <c r="B985">
        <v>69</v>
      </c>
      <c r="C985" s="21" t="s">
        <v>319</v>
      </c>
      <c r="D985" s="21" t="s">
        <v>44</v>
      </c>
      <c r="E985">
        <v>250</v>
      </c>
      <c r="F985">
        <v>27</v>
      </c>
      <c r="G985" s="21" t="s">
        <v>16</v>
      </c>
      <c r="H985" s="21" t="s">
        <v>98</v>
      </c>
      <c r="I985" s="21" t="s">
        <v>1068</v>
      </c>
    </row>
    <row r="986" spans="1:9" x14ac:dyDescent="0.25">
      <c r="A986" s="21" t="s">
        <v>1156</v>
      </c>
      <c r="B986">
        <v>12</v>
      </c>
      <c r="C986" s="21" t="s">
        <v>10</v>
      </c>
      <c r="D986" s="21" t="s">
        <v>52</v>
      </c>
      <c r="E986">
        <v>204</v>
      </c>
      <c r="F986">
        <v>22</v>
      </c>
      <c r="G986" s="21" t="s">
        <v>25</v>
      </c>
      <c r="H986" s="21" t="s">
        <v>187</v>
      </c>
      <c r="I986" s="21" t="s">
        <v>1068</v>
      </c>
    </row>
    <row r="987" spans="1:9" x14ac:dyDescent="0.25">
      <c r="A987" s="21" t="s">
        <v>1157</v>
      </c>
      <c r="B987">
        <v>94</v>
      </c>
      <c r="C987" s="21" t="s">
        <v>319</v>
      </c>
      <c r="D987" s="21" t="s">
        <v>29</v>
      </c>
      <c r="E987">
        <v>267</v>
      </c>
      <c r="F987">
        <v>21</v>
      </c>
      <c r="G987" s="21" t="s">
        <v>25</v>
      </c>
      <c r="H987" s="21" t="s">
        <v>308</v>
      </c>
      <c r="I987" s="21" t="s">
        <v>1068</v>
      </c>
    </row>
    <row r="988" spans="1:9" x14ac:dyDescent="0.25">
      <c r="A988" s="21" t="s">
        <v>1158</v>
      </c>
      <c r="B988">
        <v>3</v>
      </c>
      <c r="C988" s="21" t="s">
        <v>76</v>
      </c>
      <c r="D988" s="21" t="s">
        <v>52</v>
      </c>
      <c r="E988">
        <v>206</v>
      </c>
      <c r="F988">
        <v>21</v>
      </c>
      <c r="G988" s="21" t="s">
        <v>25</v>
      </c>
      <c r="H988" s="21" t="s">
        <v>267</v>
      </c>
      <c r="I988" s="21" t="s">
        <v>1068</v>
      </c>
    </row>
    <row r="989" spans="1:9" x14ac:dyDescent="0.25">
      <c r="A989" s="21" t="s">
        <v>1159</v>
      </c>
      <c r="B989">
        <v>97</v>
      </c>
      <c r="C989" s="21" t="s">
        <v>114</v>
      </c>
      <c r="D989" s="21" t="s">
        <v>35</v>
      </c>
      <c r="E989">
        <v>290</v>
      </c>
      <c r="F989">
        <v>21</v>
      </c>
      <c r="G989" s="21" t="s">
        <v>25</v>
      </c>
      <c r="H989" s="21" t="s">
        <v>187</v>
      </c>
      <c r="I989" s="21" t="s">
        <v>1068</v>
      </c>
    </row>
    <row r="990" spans="1:9" x14ac:dyDescent="0.25">
      <c r="A990" s="21" t="s">
        <v>1452</v>
      </c>
      <c r="B990">
        <v>81</v>
      </c>
      <c r="C990" s="21" t="s">
        <v>57</v>
      </c>
      <c r="D990" s="21" t="s">
        <v>29</v>
      </c>
      <c r="E990">
        <v>267</v>
      </c>
      <c r="F990">
        <v>28</v>
      </c>
      <c r="G990" s="21" t="s">
        <v>45</v>
      </c>
      <c r="H990" s="21" t="s">
        <v>1453</v>
      </c>
      <c r="I990" s="21" t="s">
        <v>1451</v>
      </c>
    </row>
    <row r="991" spans="1:9" x14ac:dyDescent="0.25">
      <c r="A991" s="21" t="s">
        <v>1454</v>
      </c>
      <c r="B991">
        <v>52</v>
      </c>
      <c r="C991" s="21" t="s">
        <v>319</v>
      </c>
      <c r="D991" s="21" t="s">
        <v>44</v>
      </c>
      <c r="E991">
        <v>252</v>
      </c>
      <c r="F991">
        <v>26</v>
      </c>
      <c r="G991" s="21" t="s">
        <v>16</v>
      </c>
      <c r="H991" s="21" t="s">
        <v>618</v>
      </c>
      <c r="I991" s="21" t="s">
        <v>1451</v>
      </c>
    </row>
    <row r="992" spans="1:9" x14ac:dyDescent="0.25">
      <c r="A992" s="21" t="s">
        <v>1455</v>
      </c>
      <c r="B992">
        <v>32</v>
      </c>
      <c r="C992" s="21" t="s">
        <v>89</v>
      </c>
      <c r="D992" s="21" t="s">
        <v>11</v>
      </c>
      <c r="E992">
        <v>187</v>
      </c>
      <c r="F992">
        <v>23</v>
      </c>
      <c r="G992" s="21" t="s">
        <v>12</v>
      </c>
      <c r="H992" s="21" t="s">
        <v>194</v>
      </c>
      <c r="I992" s="21" t="s">
        <v>1451</v>
      </c>
    </row>
    <row r="993" spans="1:9" x14ac:dyDescent="0.25">
      <c r="A993" s="21" t="s">
        <v>1456</v>
      </c>
      <c r="B993">
        <v>3</v>
      </c>
      <c r="C993" s="21" t="s">
        <v>76</v>
      </c>
      <c r="D993" s="21" t="s">
        <v>52</v>
      </c>
      <c r="E993">
        <v>184</v>
      </c>
      <c r="F993">
        <v>25</v>
      </c>
      <c r="G993" s="21" t="s">
        <v>12</v>
      </c>
      <c r="H993" s="21" t="s">
        <v>196</v>
      </c>
      <c r="I993" s="21" t="s">
        <v>1451</v>
      </c>
    </row>
    <row r="994" spans="1:9" x14ac:dyDescent="0.25">
      <c r="A994" s="21" t="s">
        <v>1457</v>
      </c>
      <c r="B994">
        <v>97</v>
      </c>
      <c r="C994" s="21" t="s">
        <v>114</v>
      </c>
      <c r="D994" s="21" t="s">
        <v>24</v>
      </c>
      <c r="E994">
        <v>287</v>
      </c>
      <c r="F994">
        <v>24</v>
      </c>
      <c r="G994" s="21" t="s">
        <v>25</v>
      </c>
      <c r="H994" s="21" t="s">
        <v>304</v>
      </c>
      <c r="I994" s="21" t="s">
        <v>1451</v>
      </c>
    </row>
    <row r="995" spans="1:9" x14ac:dyDescent="0.25">
      <c r="A995" s="21" t="s">
        <v>1458</v>
      </c>
      <c r="B995">
        <v>38</v>
      </c>
      <c r="C995" s="21" t="s">
        <v>48</v>
      </c>
      <c r="D995" s="21" t="s">
        <v>11</v>
      </c>
      <c r="E995">
        <v>198</v>
      </c>
      <c r="F995">
        <v>27</v>
      </c>
      <c r="G995" s="21" t="s">
        <v>16</v>
      </c>
      <c r="H995" s="21" t="s">
        <v>233</v>
      </c>
      <c r="I995" s="21" t="s">
        <v>1451</v>
      </c>
    </row>
    <row r="996" spans="1:9" x14ac:dyDescent="0.25">
      <c r="A996" s="21" t="s">
        <v>1459</v>
      </c>
      <c r="B996">
        <v>99</v>
      </c>
      <c r="C996" s="21" t="s">
        <v>114</v>
      </c>
      <c r="D996" s="21" t="s">
        <v>20</v>
      </c>
      <c r="E996">
        <v>295</v>
      </c>
      <c r="F996">
        <v>28</v>
      </c>
      <c r="G996" s="21" t="s">
        <v>100</v>
      </c>
      <c r="H996" s="21" t="s">
        <v>22</v>
      </c>
      <c r="I996" s="21" t="s">
        <v>1451</v>
      </c>
    </row>
    <row r="997" spans="1:9" x14ac:dyDescent="0.25">
      <c r="A997" s="21" t="s">
        <v>1460</v>
      </c>
      <c r="B997">
        <v>1</v>
      </c>
      <c r="C997" s="21" t="s">
        <v>10</v>
      </c>
      <c r="D997" s="21" t="s">
        <v>11</v>
      </c>
      <c r="E997">
        <v>208</v>
      </c>
      <c r="F997">
        <v>25</v>
      </c>
      <c r="G997" s="21" t="s">
        <v>16</v>
      </c>
      <c r="H997" s="21" t="s">
        <v>36</v>
      </c>
      <c r="I997" s="21" t="s">
        <v>1451</v>
      </c>
    </row>
    <row r="998" spans="1:9" x14ac:dyDescent="0.25">
      <c r="A998" s="21" t="s">
        <v>1461</v>
      </c>
      <c r="B998">
        <v>47</v>
      </c>
      <c r="C998" s="21" t="s">
        <v>48</v>
      </c>
      <c r="D998" s="21" t="s">
        <v>11</v>
      </c>
      <c r="E998">
        <v>190</v>
      </c>
      <c r="F998">
        <v>27</v>
      </c>
      <c r="G998" s="21" t="s">
        <v>30</v>
      </c>
      <c r="H998" s="21" t="s">
        <v>471</v>
      </c>
      <c r="I998" s="21" t="s">
        <v>1451</v>
      </c>
    </row>
    <row r="999" spans="1:9" x14ac:dyDescent="0.25">
      <c r="A999" s="21" t="s">
        <v>1462</v>
      </c>
      <c r="B999">
        <v>92</v>
      </c>
      <c r="C999" s="21" t="s">
        <v>319</v>
      </c>
      <c r="D999" s="21" t="s">
        <v>35</v>
      </c>
      <c r="E999">
        <v>283</v>
      </c>
      <c r="F999">
        <v>24</v>
      </c>
      <c r="G999" s="21" t="s">
        <v>83</v>
      </c>
      <c r="H999" s="21" t="s">
        <v>1463</v>
      </c>
      <c r="I999" s="21" t="s">
        <v>1451</v>
      </c>
    </row>
    <row r="1000" spans="1:9" x14ac:dyDescent="0.25">
      <c r="A1000" s="21" t="s">
        <v>1464</v>
      </c>
      <c r="B1000">
        <v>3</v>
      </c>
      <c r="C1000" s="21" t="s">
        <v>70</v>
      </c>
      <c r="D1000" s="21" t="s">
        <v>44</v>
      </c>
      <c r="E1000">
        <v>223</v>
      </c>
      <c r="F1000">
        <v>23</v>
      </c>
      <c r="G1000" s="21" t="s">
        <v>25</v>
      </c>
      <c r="H1000" s="21" t="s">
        <v>31</v>
      </c>
      <c r="I1000" s="21" t="s">
        <v>1451</v>
      </c>
    </row>
    <row r="1001" spans="1:9" x14ac:dyDescent="0.25">
      <c r="A1001" s="21" t="s">
        <v>1465</v>
      </c>
      <c r="B1001">
        <v>15</v>
      </c>
      <c r="C1001" s="21" t="s">
        <v>10</v>
      </c>
      <c r="D1001" s="21" t="s">
        <v>54</v>
      </c>
      <c r="E1001">
        <v>180</v>
      </c>
      <c r="F1001">
        <v>25</v>
      </c>
      <c r="G1001" s="21" t="s">
        <v>16</v>
      </c>
      <c r="H1001" s="21" t="s">
        <v>101</v>
      </c>
      <c r="I1001" s="21" t="s">
        <v>1451</v>
      </c>
    </row>
    <row r="1002" spans="1:9" x14ac:dyDescent="0.25">
      <c r="A1002" s="21" t="s">
        <v>1466</v>
      </c>
      <c r="B1002">
        <v>50</v>
      </c>
      <c r="C1002" s="21" t="s">
        <v>319</v>
      </c>
      <c r="D1002" s="21" t="s">
        <v>44</v>
      </c>
      <c r="E1002">
        <v>270</v>
      </c>
      <c r="F1002">
        <v>28</v>
      </c>
      <c r="G1002" s="21" t="s">
        <v>45</v>
      </c>
      <c r="H1002" s="21" t="s">
        <v>251</v>
      </c>
      <c r="I1002" s="21" t="s">
        <v>1451</v>
      </c>
    </row>
    <row r="1003" spans="1:9" x14ac:dyDescent="0.25">
      <c r="A1003" s="21" t="s">
        <v>1467</v>
      </c>
      <c r="B1003">
        <v>6</v>
      </c>
      <c r="C1003" s="21" t="s">
        <v>10</v>
      </c>
      <c r="D1003" s="21" t="s">
        <v>11</v>
      </c>
      <c r="E1003">
        <v>192</v>
      </c>
      <c r="F1003">
        <v>24</v>
      </c>
      <c r="G1003" s="21" t="s">
        <v>25</v>
      </c>
      <c r="H1003" s="21" t="s">
        <v>226</v>
      </c>
      <c r="I1003" s="21" t="s">
        <v>1451</v>
      </c>
    </row>
    <row r="1004" spans="1:9" x14ac:dyDescent="0.25">
      <c r="A1004" s="21" t="s">
        <v>1468</v>
      </c>
      <c r="B1004">
        <v>20</v>
      </c>
      <c r="C1004" s="21" t="s">
        <v>89</v>
      </c>
      <c r="D1004" s="21" t="s">
        <v>11</v>
      </c>
      <c r="E1004">
        <v>212</v>
      </c>
      <c r="F1004">
        <v>20</v>
      </c>
      <c r="G1004" s="21" t="s">
        <v>25</v>
      </c>
      <c r="H1004" s="21" t="s">
        <v>481</v>
      </c>
      <c r="I1004" s="21" t="s">
        <v>1451</v>
      </c>
    </row>
    <row r="1005" spans="1:9" x14ac:dyDescent="0.25">
      <c r="A1005" s="21" t="s">
        <v>1469</v>
      </c>
      <c r="B1005">
        <v>42</v>
      </c>
      <c r="C1005" s="21" t="s">
        <v>124</v>
      </c>
      <c r="D1005" s="21" t="s">
        <v>11</v>
      </c>
      <c r="E1005">
        <v>208</v>
      </c>
      <c r="F1005">
        <v>22</v>
      </c>
      <c r="G1005" s="21" t="s">
        <v>25</v>
      </c>
      <c r="H1005" s="21" t="s">
        <v>1470</v>
      </c>
      <c r="I1005" s="21" t="s">
        <v>1451</v>
      </c>
    </row>
    <row r="1006" spans="1:9" x14ac:dyDescent="0.25">
      <c r="A1006" s="21" t="s">
        <v>1471</v>
      </c>
      <c r="B1006">
        <v>43</v>
      </c>
      <c r="C1006" s="21" t="s">
        <v>89</v>
      </c>
      <c r="D1006" s="21" t="s">
        <v>125</v>
      </c>
      <c r="E1006">
        <v>208</v>
      </c>
      <c r="G1006" s="21" t="s">
        <v>25</v>
      </c>
      <c r="H1006" s="21" t="s">
        <v>674</v>
      </c>
      <c r="I1006" s="21" t="s">
        <v>1451</v>
      </c>
    </row>
    <row r="1007" spans="1:9" x14ac:dyDescent="0.25">
      <c r="A1007" s="21" t="s">
        <v>1472</v>
      </c>
      <c r="B1007">
        <v>57</v>
      </c>
      <c r="C1007" s="21" t="s">
        <v>15</v>
      </c>
      <c r="D1007" s="21" t="s">
        <v>52</v>
      </c>
      <c r="E1007">
        <v>230</v>
      </c>
      <c r="F1007">
        <v>25</v>
      </c>
      <c r="G1007" s="21" t="s">
        <v>25</v>
      </c>
      <c r="H1007" s="21" t="s">
        <v>556</v>
      </c>
      <c r="I1007" s="21" t="s">
        <v>1451</v>
      </c>
    </row>
    <row r="1008" spans="1:9" x14ac:dyDescent="0.25">
      <c r="A1008" s="21" t="s">
        <v>1473</v>
      </c>
      <c r="B1008">
        <v>16</v>
      </c>
      <c r="C1008" s="21" t="s">
        <v>10</v>
      </c>
      <c r="D1008" s="21" t="s">
        <v>52</v>
      </c>
      <c r="E1008">
        <v>215</v>
      </c>
      <c r="F1008">
        <v>25</v>
      </c>
      <c r="G1008" s="21" t="s">
        <v>16</v>
      </c>
      <c r="H1008" s="21" t="s">
        <v>1474</v>
      </c>
      <c r="I1008" s="21" t="s">
        <v>1451</v>
      </c>
    </row>
    <row r="1009" spans="1:9" x14ac:dyDescent="0.25">
      <c r="A1009" s="21" t="s">
        <v>1475</v>
      </c>
      <c r="B1009">
        <v>4</v>
      </c>
      <c r="C1009" s="21" t="s">
        <v>70</v>
      </c>
      <c r="D1009" s="21" t="s">
        <v>52</v>
      </c>
      <c r="E1009">
        <v>222</v>
      </c>
      <c r="F1009">
        <v>23</v>
      </c>
      <c r="G1009" s="21" t="s">
        <v>30</v>
      </c>
      <c r="H1009" s="21" t="s">
        <v>109</v>
      </c>
      <c r="I1009" s="21" t="s">
        <v>1451</v>
      </c>
    </row>
    <row r="1010" spans="1:9" x14ac:dyDescent="0.25">
      <c r="A1010" s="21" t="s">
        <v>1476</v>
      </c>
      <c r="B1010">
        <v>31</v>
      </c>
      <c r="C1010" s="21" t="s">
        <v>48</v>
      </c>
      <c r="D1010" s="21" t="s">
        <v>24</v>
      </c>
      <c r="E1010">
        <v>197</v>
      </c>
      <c r="F1010">
        <v>27</v>
      </c>
      <c r="G1010" s="21" t="s">
        <v>45</v>
      </c>
      <c r="H1010" s="21" t="s">
        <v>357</v>
      </c>
      <c r="I1010" s="21" t="s">
        <v>1451</v>
      </c>
    </row>
    <row r="1011" spans="1:9" x14ac:dyDescent="0.25">
      <c r="A1011" s="21" t="s">
        <v>1477</v>
      </c>
      <c r="B1011">
        <v>7</v>
      </c>
      <c r="C1011" s="21" t="s">
        <v>10</v>
      </c>
      <c r="D1011" s="21" t="s">
        <v>54</v>
      </c>
      <c r="E1011">
        <v>195</v>
      </c>
      <c r="G1011" s="21" t="s">
        <v>25</v>
      </c>
      <c r="H1011" s="21" t="s">
        <v>39</v>
      </c>
      <c r="I1011" s="21" t="s">
        <v>1451</v>
      </c>
    </row>
    <row r="1012" spans="1:9" x14ac:dyDescent="0.25">
      <c r="A1012" s="21" t="s">
        <v>1478</v>
      </c>
      <c r="B1012">
        <v>30</v>
      </c>
      <c r="C1012" s="21" t="s">
        <v>48</v>
      </c>
      <c r="D1012" s="21" t="s">
        <v>52</v>
      </c>
      <c r="E1012">
        <v>196</v>
      </c>
      <c r="F1012">
        <v>25</v>
      </c>
      <c r="G1012" s="21" t="s">
        <v>25</v>
      </c>
      <c r="H1012" s="21" t="s">
        <v>3255</v>
      </c>
      <c r="I1012" s="21" t="s">
        <v>1451</v>
      </c>
    </row>
    <row r="1013" spans="1:9" x14ac:dyDescent="0.25">
      <c r="A1013" s="21" t="s">
        <v>1479</v>
      </c>
      <c r="B1013">
        <v>9</v>
      </c>
      <c r="C1013" s="21" t="s">
        <v>70</v>
      </c>
      <c r="D1013" s="21" t="s">
        <v>67</v>
      </c>
      <c r="E1013">
        <v>243</v>
      </c>
      <c r="F1013">
        <v>33</v>
      </c>
      <c r="G1013" s="21" t="s">
        <v>254</v>
      </c>
      <c r="H1013" s="21" t="s">
        <v>62</v>
      </c>
      <c r="I1013" s="21" t="s">
        <v>1451</v>
      </c>
    </row>
    <row r="1014" spans="1:9" x14ac:dyDescent="0.25">
      <c r="A1014" s="21" t="s">
        <v>1480</v>
      </c>
      <c r="B1014">
        <v>44</v>
      </c>
      <c r="C1014" s="21" t="s">
        <v>15</v>
      </c>
      <c r="D1014" s="21" t="s">
        <v>11</v>
      </c>
      <c r="E1014">
        <v>235</v>
      </c>
      <c r="F1014">
        <v>26</v>
      </c>
      <c r="G1014" s="21" t="s">
        <v>45</v>
      </c>
      <c r="H1014" s="21" t="s">
        <v>355</v>
      </c>
      <c r="I1014" s="21" t="s">
        <v>1451</v>
      </c>
    </row>
    <row r="1015" spans="1:9" x14ac:dyDescent="0.25">
      <c r="A1015" s="21" t="s">
        <v>1481</v>
      </c>
      <c r="B1015">
        <v>62</v>
      </c>
      <c r="C1015" s="21" t="s">
        <v>184</v>
      </c>
      <c r="D1015" s="21" t="s">
        <v>35</v>
      </c>
      <c r="E1015">
        <v>307</v>
      </c>
      <c r="F1015">
        <v>26</v>
      </c>
      <c r="G1015" s="21" t="s">
        <v>25</v>
      </c>
      <c r="H1015" s="21" t="s">
        <v>147</v>
      </c>
      <c r="I1015" s="21" t="s">
        <v>1451</v>
      </c>
    </row>
    <row r="1016" spans="1:9" x14ac:dyDescent="0.25">
      <c r="A1016" s="21" t="s">
        <v>1482</v>
      </c>
      <c r="B1016">
        <v>75</v>
      </c>
      <c r="C1016" s="21" t="s">
        <v>277</v>
      </c>
      <c r="D1016" s="21" t="s">
        <v>67</v>
      </c>
      <c r="E1016">
        <v>309</v>
      </c>
      <c r="F1016">
        <v>24</v>
      </c>
      <c r="G1016" s="21" t="s">
        <v>30</v>
      </c>
      <c r="H1016" s="21" t="s">
        <v>3251</v>
      </c>
      <c r="I1016" s="21" t="s">
        <v>1451</v>
      </c>
    </row>
    <row r="1017" spans="1:9" x14ac:dyDescent="0.25">
      <c r="A1017" s="21" t="s">
        <v>1483</v>
      </c>
      <c r="B1017">
        <v>5</v>
      </c>
      <c r="C1017" s="21" t="s">
        <v>48</v>
      </c>
      <c r="D1017" s="21" t="s">
        <v>11</v>
      </c>
      <c r="E1017">
        <v>190</v>
      </c>
      <c r="F1017">
        <v>31</v>
      </c>
      <c r="G1017" s="21" t="s">
        <v>254</v>
      </c>
      <c r="H1017" s="21" t="s">
        <v>115</v>
      </c>
      <c r="I1017" s="21" t="s">
        <v>1451</v>
      </c>
    </row>
    <row r="1018" spans="1:9" x14ac:dyDescent="0.25">
      <c r="A1018" s="21" t="s">
        <v>1484</v>
      </c>
      <c r="B1018">
        <v>83</v>
      </c>
      <c r="C1018" s="21" t="s">
        <v>57</v>
      </c>
      <c r="D1018" s="21" t="s">
        <v>24</v>
      </c>
      <c r="E1018">
        <v>242</v>
      </c>
      <c r="F1018">
        <v>24</v>
      </c>
      <c r="G1018" s="21" t="s">
        <v>30</v>
      </c>
      <c r="H1018" s="21" t="s">
        <v>674</v>
      </c>
      <c r="I1018" s="21" t="s">
        <v>1451</v>
      </c>
    </row>
    <row r="1019" spans="1:9" x14ac:dyDescent="0.25">
      <c r="A1019" s="21" t="s">
        <v>1485</v>
      </c>
      <c r="B1019">
        <v>12</v>
      </c>
      <c r="C1019" s="21" t="s">
        <v>10</v>
      </c>
      <c r="D1019" s="21" t="s">
        <v>86</v>
      </c>
      <c r="E1019">
        <v>178</v>
      </c>
      <c r="F1019">
        <v>24</v>
      </c>
      <c r="G1019" s="21" t="s">
        <v>30</v>
      </c>
      <c r="H1019" s="21" t="s">
        <v>149</v>
      </c>
      <c r="I1019" s="21" t="s">
        <v>1451</v>
      </c>
    </row>
    <row r="1020" spans="1:9" x14ac:dyDescent="0.25">
      <c r="A1020" s="21" t="s">
        <v>1486</v>
      </c>
      <c r="B1020">
        <v>21</v>
      </c>
      <c r="C1020" s="21" t="s">
        <v>51</v>
      </c>
      <c r="D1020" s="21" t="s">
        <v>135</v>
      </c>
      <c r="E1020">
        <v>196</v>
      </c>
      <c r="F1020">
        <v>25</v>
      </c>
      <c r="G1020" s="21" t="s">
        <v>45</v>
      </c>
      <c r="H1020" s="21" t="s">
        <v>106</v>
      </c>
      <c r="I1020" s="21" t="s">
        <v>1451</v>
      </c>
    </row>
    <row r="1021" spans="1:9" x14ac:dyDescent="0.25">
      <c r="A1021" s="21" t="s">
        <v>1487</v>
      </c>
      <c r="B1021">
        <v>35</v>
      </c>
      <c r="C1021" s="21" t="s">
        <v>51</v>
      </c>
      <c r="D1021" s="21" t="s">
        <v>11</v>
      </c>
      <c r="E1021">
        <v>218</v>
      </c>
      <c r="F1021">
        <v>23</v>
      </c>
      <c r="G1021" s="21" t="s">
        <v>30</v>
      </c>
      <c r="H1021" s="21" t="s">
        <v>347</v>
      </c>
      <c r="I1021" s="21" t="s">
        <v>1451</v>
      </c>
    </row>
    <row r="1022" spans="1:9" x14ac:dyDescent="0.25">
      <c r="A1022" s="21" t="s">
        <v>1488</v>
      </c>
      <c r="B1022">
        <v>80</v>
      </c>
      <c r="C1022" s="21" t="s">
        <v>57</v>
      </c>
      <c r="D1022" s="21" t="s">
        <v>20</v>
      </c>
      <c r="E1022">
        <v>244</v>
      </c>
      <c r="F1022">
        <v>25</v>
      </c>
      <c r="G1022" s="21" t="s">
        <v>83</v>
      </c>
      <c r="H1022" s="21" t="s">
        <v>162</v>
      </c>
      <c r="I1022" s="21" t="s">
        <v>1451</v>
      </c>
    </row>
    <row r="1023" spans="1:9" x14ac:dyDescent="0.25">
      <c r="A1023" s="21" t="s">
        <v>1489</v>
      </c>
      <c r="B1023">
        <v>93</v>
      </c>
      <c r="C1023" s="21" t="s">
        <v>114</v>
      </c>
      <c r="D1023" s="21" t="s">
        <v>35</v>
      </c>
      <c r="E1023">
        <v>299</v>
      </c>
      <c r="F1023">
        <v>24</v>
      </c>
      <c r="G1023" s="21" t="s">
        <v>25</v>
      </c>
      <c r="H1023" s="21" t="s">
        <v>676</v>
      </c>
      <c r="I1023" s="21" t="s">
        <v>1451</v>
      </c>
    </row>
    <row r="1024" spans="1:9" x14ac:dyDescent="0.25">
      <c r="A1024" s="21" t="s">
        <v>1490</v>
      </c>
      <c r="B1024">
        <v>48</v>
      </c>
      <c r="C1024" s="21" t="s">
        <v>57</v>
      </c>
      <c r="D1024" s="21" t="s">
        <v>35</v>
      </c>
      <c r="E1024">
        <v>245</v>
      </c>
      <c r="F1024">
        <v>25</v>
      </c>
      <c r="G1024" s="21" t="s">
        <v>83</v>
      </c>
      <c r="H1024" s="21" t="s">
        <v>1491</v>
      </c>
      <c r="I1024" s="21" t="s">
        <v>1451</v>
      </c>
    </row>
    <row r="1025" spans="1:9" x14ac:dyDescent="0.25">
      <c r="A1025" s="21" t="s">
        <v>1492</v>
      </c>
      <c r="B1025">
        <v>73</v>
      </c>
      <c r="C1025" s="21" t="s">
        <v>140</v>
      </c>
      <c r="D1025" s="21" t="s">
        <v>141</v>
      </c>
      <c r="E1025">
        <v>321</v>
      </c>
      <c r="F1025">
        <v>32</v>
      </c>
      <c r="G1025" s="21" t="s">
        <v>254</v>
      </c>
      <c r="H1025" s="21" t="s">
        <v>400</v>
      </c>
      <c r="I1025" s="21" t="s">
        <v>1451</v>
      </c>
    </row>
    <row r="1026" spans="1:9" x14ac:dyDescent="0.25">
      <c r="A1026" s="21" t="s">
        <v>1493</v>
      </c>
      <c r="B1026">
        <v>78</v>
      </c>
      <c r="C1026" s="21" t="s">
        <v>184</v>
      </c>
      <c r="D1026" s="21" t="s">
        <v>35</v>
      </c>
      <c r="E1026">
        <v>307</v>
      </c>
      <c r="F1026">
        <v>29</v>
      </c>
      <c r="G1026" s="21" t="s">
        <v>100</v>
      </c>
      <c r="H1026" s="21" t="s">
        <v>233</v>
      </c>
      <c r="I1026" s="21" t="s">
        <v>1451</v>
      </c>
    </row>
    <row r="1027" spans="1:9" x14ac:dyDescent="0.25">
      <c r="A1027" s="21" t="s">
        <v>1494</v>
      </c>
      <c r="B1027">
        <v>66</v>
      </c>
      <c r="C1027" s="21" t="s">
        <v>140</v>
      </c>
      <c r="D1027" s="21" t="s">
        <v>20</v>
      </c>
      <c r="E1027">
        <v>310</v>
      </c>
      <c r="F1027">
        <v>25</v>
      </c>
      <c r="G1027" s="21" t="s">
        <v>30</v>
      </c>
      <c r="H1027" s="21" t="s">
        <v>404</v>
      </c>
      <c r="I1027" s="21" t="s">
        <v>1451</v>
      </c>
    </row>
    <row r="1028" spans="1:9" x14ac:dyDescent="0.25">
      <c r="A1028" s="21" t="s">
        <v>1495</v>
      </c>
      <c r="B1028">
        <v>36</v>
      </c>
      <c r="C1028" s="21" t="s">
        <v>15</v>
      </c>
      <c r="D1028" s="21" t="s">
        <v>24</v>
      </c>
      <c r="E1028">
        <v>220</v>
      </c>
      <c r="F1028">
        <v>29</v>
      </c>
      <c r="G1028" s="21" t="s">
        <v>21</v>
      </c>
      <c r="H1028" s="21" t="s">
        <v>65</v>
      </c>
      <c r="I1028" s="21" t="s">
        <v>1451</v>
      </c>
    </row>
    <row r="1029" spans="1:9" x14ac:dyDescent="0.25">
      <c r="A1029" s="21" t="s">
        <v>1496</v>
      </c>
      <c r="B1029">
        <v>53</v>
      </c>
      <c r="C1029" s="21" t="s">
        <v>15</v>
      </c>
      <c r="D1029" s="21" t="s">
        <v>24</v>
      </c>
      <c r="E1029">
        <v>230</v>
      </c>
      <c r="F1029">
        <v>27</v>
      </c>
      <c r="G1029" s="21" t="s">
        <v>45</v>
      </c>
      <c r="H1029" s="21" t="s">
        <v>372</v>
      </c>
      <c r="I1029" s="21" t="s">
        <v>1451</v>
      </c>
    </row>
    <row r="1030" spans="1:9" x14ac:dyDescent="0.25">
      <c r="A1030" s="21" t="s">
        <v>1497</v>
      </c>
      <c r="B1030">
        <v>94</v>
      </c>
      <c r="C1030" s="21" t="s">
        <v>319</v>
      </c>
      <c r="D1030" s="21" t="s">
        <v>44</v>
      </c>
      <c r="E1030">
        <v>277</v>
      </c>
      <c r="F1030">
        <v>27</v>
      </c>
      <c r="G1030" s="21" t="s">
        <v>45</v>
      </c>
      <c r="H1030" s="21" t="s">
        <v>36</v>
      </c>
      <c r="I1030" s="21" t="s">
        <v>1451</v>
      </c>
    </row>
    <row r="1031" spans="1:9" x14ac:dyDescent="0.25">
      <c r="A1031" s="21" t="s">
        <v>1498</v>
      </c>
      <c r="B1031">
        <v>30</v>
      </c>
      <c r="C1031" s="21" t="s">
        <v>51</v>
      </c>
      <c r="D1031" s="21" t="s">
        <v>86</v>
      </c>
      <c r="E1031">
        <v>190</v>
      </c>
      <c r="F1031">
        <v>28</v>
      </c>
      <c r="G1031" s="21" t="s">
        <v>45</v>
      </c>
      <c r="H1031" s="21" t="s">
        <v>272</v>
      </c>
      <c r="I1031" s="21" t="s">
        <v>1451</v>
      </c>
    </row>
    <row r="1032" spans="1:9" x14ac:dyDescent="0.25">
      <c r="A1032" s="21" t="s">
        <v>1499</v>
      </c>
      <c r="B1032">
        <v>96</v>
      </c>
      <c r="C1032" s="21" t="s">
        <v>114</v>
      </c>
      <c r="D1032" s="21" t="s">
        <v>35</v>
      </c>
      <c r="E1032">
        <v>293</v>
      </c>
      <c r="F1032">
        <v>26</v>
      </c>
      <c r="G1032" s="21" t="s">
        <v>16</v>
      </c>
      <c r="H1032" s="21" t="s">
        <v>385</v>
      </c>
      <c r="I1032" s="21" t="s">
        <v>1451</v>
      </c>
    </row>
    <row r="1033" spans="1:9" x14ac:dyDescent="0.25">
      <c r="A1033" s="21" t="s">
        <v>1500</v>
      </c>
      <c r="B1033">
        <v>26</v>
      </c>
      <c r="C1033" s="21" t="s">
        <v>89</v>
      </c>
      <c r="D1033" s="21" t="s">
        <v>125</v>
      </c>
      <c r="E1033">
        <v>183</v>
      </c>
      <c r="F1033">
        <v>32</v>
      </c>
      <c r="G1033" s="21" t="s">
        <v>254</v>
      </c>
      <c r="H1033" s="21" t="s">
        <v>333</v>
      </c>
      <c r="I1033" s="21" t="s">
        <v>1451</v>
      </c>
    </row>
    <row r="1034" spans="1:9" x14ac:dyDescent="0.25">
      <c r="A1034" s="21" t="s">
        <v>1501</v>
      </c>
      <c r="B1034">
        <v>23</v>
      </c>
      <c r="C1034" s="21" t="s">
        <v>48</v>
      </c>
      <c r="D1034" s="21" t="s">
        <v>135</v>
      </c>
      <c r="E1034">
        <v>190</v>
      </c>
      <c r="F1034">
        <v>26</v>
      </c>
      <c r="G1034" s="21" t="s">
        <v>38</v>
      </c>
      <c r="H1034" s="21" t="s">
        <v>404</v>
      </c>
      <c r="I1034" s="21" t="s">
        <v>1451</v>
      </c>
    </row>
    <row r="1035" spans="1:9" x14ac:dyDescent="0.25">
      <c r="A1035" s="21" t="s">
        <v>1502</v>
      </c>
      <c r="B1035">
        <v>71</v>
      </c>
      <c r="C1035" s="21" t="s">
        <v>140</v>
      </c>
      <c r="D1035" s="21" t="s">
        <v>82</v>
      </c>
      <c r="E1035">
        <v>325</v>
      </c>
      <c r="F1035">
        <v>25</v>
      </c>
      <c r="G1035" s="21" t="s">
        <v>83</v>
      </c>
      <c r="H1035" s="21" t="s">
        <v>191</v>
      </c>
      <c r="I1035" s="21" t="s">
        <v>1451</v>
      </c>
    </row>
    <row r="1036" spans="1:9" x14ac:dyDescent="0.25">
      <c r="A1036" s="21" t="s">
        <v>1503</v>
      </c>
      <c r="B1036">
        <v>41</v>
      </c>
      <c r="C1036" s="21" t="s">
        <v>48</v>
      </c>
      <c r="D1036" s="21" t="s">
        <v>54</v>
      </c>
      <c r="E1036">
        <v>192</v>
      </c>
      <c r="F1036">
        <v>26</v>
      </c>
      <c r="G1036" s="21" t="s">
        <v>83</v>
      </c>
      <c r="H1036" s="21" t="s">
        <v>320</v>
      </c>
      <c r="I1036" s="21" t="s">
        <v>1451</v>
      </c>
    </row>
    <row r="1037" spans="1:9" x14ac:dyDescent="0.25">
      <c r="A1037" s="21" t="s">
        <v>1504</v>
      </c>
      <c r="B1037">
        <v>86</v>
      </c>
      <c r="C1037" s="21" t="s">
        <v>10</v>
      </c>
      <c r="D1037" s="21" t="s">
        <v>44</v>
      </c>
      <c r="E1037">
        <v>206</v>
      </c>
      <c r="F1037">
        <v>24</v>
      </c>
      <c r="G1037" s="21" t="s">
        <v>25</v>
      </c>
      <c r="H1037" s="21" t="s">
        <v>204</v>
      </c>
      <c r="I1037" s="21" t="s">
        <v>1451</v>
      </c>
    </row>
    <row r="1038" spans="1:9" x14ac:dyDescent="0.25">
      <c r="A1038" s="21" t="s">
        <v>1505</v>
      </c>
      <c r="B1038">
        <v>56</v>
      </c>
      <c r="C1038" s="21" t="s">
        <v>277</v>
      </c>
      <c r="D1038" s="21" t="s">
        <v>29</v>
      </c>
      <c r="E1038">
        <v>330</v>
      </c>
      <c r="F1038">
        <v>26</v>
      </c>
      <c r="G1038" s="21" t="s">
        <v>45</v>
      </c>
      <c r="H1038" s="21" t="s">
        <v>31</v>
      </c>
      <c r="I1038" s="21" t="s">
        <v>1451</v>
      </c>
    </row>
    <row r="1039" spans="1:9" x14ac:dyDescent="0.25">
      <c r="A1039" s="21" t="s">
        <v>1506</v>
      </c>
      <c r="B1039">
        <v>91</v>
      </c>
      <c r="C1039" s="21" t="s">
        <v>319</v>
      </c>
      <c r="D1039" s="21" t="s">
        <v>24</v>
      </c>
      <c r="E1039">
        <v>246</v>
      </c>
      <c r="F1039">
        <v>27</v>
      </c>
      <c r="G1039" s="21" t="s">
        <v>100</v>
      </c>
      <c r="H1039" s="21" t="s">
        <v>481</v>
      </c>
      <c r="I1039" s="21" t="s">
        <v>1451</v>
      </c>
    </row>
    <row r="1040" spans="1:9" x14ac:dyDescent="0.25">
      <c r="A1040" s="21" t="s">
        <v>1507</v>
      </c>
      <c r="B1040">
        <v>61</v>
      </c>
      <c r="C1040" s="21" t="s">
        <v>140</v>
      </c>
      <c r="D1040" s="21" t="s">
        <v>29</v>
      </c>
      <c r="E1040">
        <v>313</v>
      </c>
      <c r="F1040">
        <v>23</v>
      </c>
      <c r="G1040" s="21" t="s">
        <v>83</v>
      </c>
      <c r="H1040" s="21" t="s">
        <v>1508</v>
      </c>
      <c r="I1040" s="21" t="s">
        <v>1451</v>
      </c>
    </row>
    <row r="1041" spans="1:9" x14ac:dyDescent="0.25">
      <c r="A1041" s="21" t="s">
        <v>1509</v>
      </c>
      <c r="C1041" s="21" t="s">
        <v>319</v>
      </c>
      <c r="D1041" s="21" t="s">
        <v>44</v>
      </c>
      <c r="E1041">
        <v>258</v>
      </c>
      <c r="F1041">
        <v>28</v>
      </c>
      <c r="G1041" s="21" t="s">
        <v>45</v>
      </c>
      <c r="H1041" s="21" t="s">
        <v>302</v>
      </c>
      <c r="I1041" s="21" t="s">
        <v>1451</v>
      </c>
    </row>
    <row r="1042" spans="1:9" x14ac:dyDescent="0.25">
      <c r="A1042" s="21" t="s">
        <v>1510</v>
      </c>
      <c r="B1042">
        <v>54</v>
      </c>
      <c r="C1042" s="21" t="s">
        <v>319</v>
      </c>
      <c r="D1042" s="21" t="s">
        <v>67</v>
      </c>
      <c r="E1042">
        <v>276</v>
      </c>
      <c r="F1042">
        <v>22</v>
      </c>
      <c r="G1042" s="21" t="s">
        <v>30</v>
      </c>
      <c r="H1042" s="21" t="s">
        <v>46</v>
      </c>
      <c r="I1042" s="21" t="s">
        <v>1451</v>
      </c>
    </row>
    <row r="1043" spans="1:9" x14ac:dyDescent="0.25">
      <c r="A1043" s="21" t="s">
        <v>1511</v>
      </c>
      <c r="B1043">
        <v>85</v>
      </c>
      <c r="C1043" s="21" t="s">
        <v>57</v>
      </c>
      <c r="D1043" s="21" t="s">
        <v>29</v>
      </c>
      <c r="E1043">
        <v>260</v>
      </c>
      <c r="F1043">
        <v>24</v>
      </c>
      <c r="G1043" s="21" t="s">
        <v>25</v>
      </c>
      <c r="H1043" s="21" t="s">
        <v>955</v>
      </c>
      <c r="I1043" s="21" t="s">
        <v>1451</v>
      </c>
    </row>
    <row r="1044" spans="1:9" x14ac:dyDescent="0.25">
      <c r="A1044" s="21" t="s">
        <v>1512</v>
      </c>
      <c r="B1044">
        <v>58</v>
      </c>
      <c r="C1044" s="21" t="s">
        <v>15</v>
      </c>
      <c r="D1044" s="21" t="s">
        <v>52</v>
      </c>
      <c r="E1044">
        <v>235</v>
      </c>
      <c r="F1044">
        <v>25</v>
      </c>
      <c r="G1044" s="21" t="s">
        <v>16</v>
      </c>
      <c r="H1044" s="21" t="s">
        <v>165</v>
      </c>
      <c r="I1044" s="21" t="s">
        <v>1451</v>
      </c>
    </row>
    <row r="1045" spans="1:9" x14ac:dyDescent="0.25">
      <c r="A1045" s="21" t="s">
        <v>1513</v>
      </c>
      <c r="B1045">
        <v>73</v>
      </c>
      <c r="C1045" s="21" t="s">
        <v>319</v>
      </c>
      <c r="D1045" s="21" t="s">
        <v>35</v>
      </c>
      <c r="E1045">
        <v>251</v>
      </c>
      <c r="F1045">
        <v>25</v>
      </c>
      <c r="G1045" s="21" t="s">
        <v>25</v>
      </c>
      <c r="H1045" s="21" t="s">
        <v>389</v>
      </c>
      <c r="I1045" s="21" t="s">
        <v>1451</v>
      </c>
    </row>
    <row r="1046" spans="1:9" x14ac:dyDescent="0.25">
      <c r="A1046" s="21" t="s">
        <v>1514</v>
      </c>
      <c r="B1046">
        <v>10</v>
      </c>
      <c r="C1046" s="21" t="s">
        <v>10</v>
      </c>
      <c r="D1046" s="21" t="s">
        <v>35</v>
      </c>
      <c r="E1046">
        <v>225</v>
      </c>
      <c r="F1046">
        <v>23</v>
      </c>
      <c r="G1046" s="21" t="s">
        <v>12</v>
      </c>
      <c r="H1046" s="21" t="s">
        <v>370</v>
      </c>
      <c r="I1046" s="21" t="s">
        <v>1451</v>
      </c>
    </row>
    <row r="1047" spans="1:9" x14ac:dyDescent="0.25">
      <c r="A1047" s="21" t="s">
        <v>1515</v>
      </c>
      <c r="B1047">
        <v>64</v>
      </c>
      <c r="C1047" s="21" t="s">
        <v>114</v>
      </c>
      <c r="D1047" s="21" t="s">
        <v>52</v>
      </c>
      <c r="E1047">
        <v>291</v>
      </c>
      <c r="F1047">
        <v>23</v>
      </c>
      <c r="G1047" s="21" t="s">
        <v>25</v>
      </c>
      <c r="H1047" s="21" t="s">
        <v>662</v>
      </c>
      <c r="I1047" s="21" t="s">
        <v>1451</v>
      </c>
    </row>
    <row r="1048" spans="1:9" x14ac:dyDescent="0.25">
      <c r="A1048" s="21" t="s">
        <v>1516</v>
      </c>
      <c r="B1048">
        <v>51</v>
      </c>
      <c r="C1048" s="21" t="s">
        <v>319</v>
      </c>
      <c r="D1048" s="21" t="s">
        <v>24</v>
      </c>
      <c r="E1048">
        <v>261</v>
      </c>
      <c r="F1048">
        <v>23</v>
      </c>
      <c r="G1048" s="21" t="s">
        <v>30</v>
      </c>
      <c r="H1048" s="21" t="s">
        <v>98</v>
      </c>
      <c r="I1048" s="21" t="s">
        <v>1451</v>
      </c>
    </row>
    <row r="1049" spans="1:9" x14ac:dyDescent="0.25">
      <c r="A1049" s="21" t="s">
        <v>1517</v>
      </c>
      <c r="B1049">
        <v>14</v>
      </c>
      <c r="C1049" s="21" t="s">
        <v>10</v>
      </c>
      <c r="D1049" s="21" t="s">
        <v>44</v>
      </c>
      <c r="E1049">
        <v>211</v>
      </c>
      <c r="F1049">
        <v>22</v>
      </c>
      <c r="G1049" s="21" t="s">
        <v>25</v>
      </c>
      <c r="H1049" s="21" t="s">
        <v>304</v>
      </c>
      <c r="I1049" s="21" t="s">
        <v>1451</v>
      </c>
    </row>
    <row r="1050" spans="1:9" x14ac:dyDescent="0.25">
      <c r="A1050" s="21" t="s">
        <v>1518</v>
      </c>
      <c r="B1050">
        <v>63</v>
      </c>
      <c r="C1050" s="21" t="s">
        <v>277</v>
      </c>
      <c r="D1050" s="21" t="s">
        <v>35</v>
      </c>
      <c r="E1050">
        <v>306</v>
      </c>
      <c r="F1050">
        <v>26</v>
      </c>
      <c r="G1050" s="21" t="s">
        <v>12</v>
      </c>
      <c r="H1050" s="21" t="s">
        <v>261</v>
      </c>
      <c r="I1050" s="21" t="s">
        <v>1451</v>
      </c>
    </row>
    <row r="1051" spans="1:9" x14ac:dyDescent="0.25">
      <c r="A1051" s="21" t="s">
        <v>1519</v>
      </c>
      <c r="B1051">
        <v>11</v>
      </c>
      <c r="C1051" s="21" t="s">
        <v>10</v>
      </c>
      <c r="D1051" s="21" t="s">
        <v>35</v>
      </c>
      <c r="E1051">
        <v>223</v>
      </c>
      <c r="F1051">
        <v>24</v>
      </c>
      <c r="G1051" s="21" t="s">
        <v>12</v>
      </c>
      <c r="H1051" s="21" t="s">
        <v>280</v>
      </c>
      <c r="I1051" s="21" t="s">
        <v>1451</v>
      </c>
    </row>
    <row r="1052" spans="1:9" x14ac:dyDescent="0.25">
      <c r="A1052" s="21" t="s">
        <v>1520</v>
      </c>
      <c r="B1052">
        <v>27</v>
      </c>
      <c r="C1052" s="21" t="s">
        <v>51</v>
      </c>
      <c r="D1052" s="21" t="s">
        <v>52</v>
      </c>
      <c r="E1052">
        <v>210</v>
      </c>
      <c r="F1052">
        <v>23</v>
      </c>
      <c r="G1052" s="21" t="s">
        <v>25</v>
      </c>
      <c r="H1052" s="21" t="s">
        <v>754</v>
      </c>
      <c r="I1052" s="21" t="s">
        <v>1451</v>
      </c>
    </row>
    <row r="1053" spans="1:9" x14ac:dyDescent="0.25">
      <c r="A1053" s="21" t="s">
        <v>1521</v>
      </c>
      <c r="B1053">
        <v>69</v>
      </c>
      <c r="C1053" s="21" t="s">
        <v>140</v>
      </c>
      <c r="D1053" s="21" t="s">
        <v>20</v>
      </c>
      <c r="E1053">
        <v>332</v>
      </c>
      <c r="F1053">
        <v>27</v>
      </c>
      <c r="G1053" s="21" t="s">
        <v>45</v>
      </c>
      <c r="H1053" s="21" t="s">
        <v>618</v>
      </c>
      <c r="I1053" s="21" t="s">
        <v>1451</v>
      </c>
    </row>
    <row r="1054" spans="1:9" x14ac:dyDescent="0.25">
      <c r="A1054" s="21" t="s">
        <v>1522</v>
      </c>
      <c r="B1054">
        <v>79</v>
      </c>
      <c r="C1054" s="21" t="s">
        <v>140</v>
      </c>
      <c r="D1054" s="21" t="s">
        <v>67</v>
      </c>
      <c r="E1054">
        <v>303</v>
      </c>
      <c r="F1054">
        <v>24</v>
      </c>
      <c r="G1054" s="21" t="s">
        <v>25</v>
      </c>
      <c r="H1054" s="21" t="s">
        <v>442</v>
      </c>
      <c r="I1054" s="21" t="s">
        <v>1451</v>
      </c>
    </row>
    <row r="1055" spans="1:9" x14ac:dyDescent="0.25">
      <c r="A1055" s="21" t="s">
        <v>1523</v>
      </c>
      <c r="B1055">
        <v>29</v>
      </c>
      <c r="C1055" s="21" t="s">
        <v>48</v>
      </c>
      <c r="D1055" s="21" t="s">
        <v>11</v>
      </c>
      <c r="E1055">
        <v>186</v>
      </c>
      <c r="F1055">
        <v>28</v>
      </c>
      <c r="G1055" s="21" t="s">
        <v>100</v>
      </c>
      <c r="H1055" s="21" t="s">
        <v>558</v>
      </c>
      <c r="I1055" s="21" t="s">
        <v>1451</v>
      </c>
    </row>
    <row r="1056" spans="1:9" x14ac:dyDescent="0.25">
      <c r="A1056" s="21" t="s">
        <v>1524</v>
      </c>
      <c r="B1056">
        <v>46</v>
      </c>
      <c r="C1056" s="21" t="s">
        <v>158</v>
      </c>
      <c r="D1056" s="21" t="s">
        <v>24</v>
      </c>
      <c r="E1056">
        <v>238</v>
      </c>
      <c r="F1056">
        <v>29</v>
      </c>
      <c r="G1056" s="21" t="s">
        <v>38</v>
      </c>
      <c r="H1056" s="21" t="s">
        <v>1220</v>
      </c>
      <c r="I1056" s="21" t="s">
        <v>1451</v>
      </c>
    </row>
    <row r="1057" spans="1:9" x14ac:dyDescent="0.25">
      <c r="A1057" s="21" t="s">
        <v>1525</v>
      </c>
      <c r="B1057">
        <v>49</v>
      </c>
      <c r="C1057" s="21" t="s">
        <v>15</v>
      </c>
      <c r="D1057" s="21" t="s">
        <v>52</v>
      </c>
      <c r="E1057">
        <v>233</v>
      </c>
      <c r="F1057">
        <v>23</v>
      </c>
      <c r="G1057" s="21" t="s">
        <v>25</v>
      </c>
      <c r="H1057" s="21" t="s">
        <v>466</v>
      </c>
      <c r="I1057" s="21" t="s">
        <v>1451</v>
      </c>
    </row>
    <row r="1058" spans="1:9" x14ac:dyDescent="0.25">
      <c r="A1058" s="21" t="s">
        <v>1526</v>
      </c>
      <c r="B1058">
        <v>34</v>
      </c>
      <c r="C1058" s="21" t="s">
        <v>48</v>
      </c>
      <c r="D1058" s="21" t="s">
        <v>125</v>
      </c>
      <c r="E1058">
        <v>170</v>
      </c>
      <c r="F1058">
        <v>24</v>
      </c>
      <c r="G1058" s="21" t="s">
        <v>12</v>
      </c>
      <c r="H1058" s="21" t="s">
        <v>383</v>
      </c>
      <c r="I1058" s="21" t="s">
        <v>1451</v>
      </c>
    </row>
    <row r="1059" spans="1:9" x14ac:dyDescent="0.25">
      <c r="A1059" s="21" t="s">
        <v>1527</v>
      </c>
      <c r="B1059">
        <v>2</v>
      </c>
      <c r="C1059" s="21" t="s">
        <v>70</v>
      </c>
      <c r="D1059" s="21" t="s">
        <v>35</v>
      </c>
      <c r="E1059">
        <v>220</v>
      </c>
      <c r="F1059">
        <v>37</v>
      </c>
      <c r="G1059" s="21" t="s">
        <v>712</v>
      </c>
      <c r="H1059" s="21" t="s">
        <v>278</v>
      </c>
      <c r="I1059" s="21" t="s">
        <v>1451</v>
      </c>
    </row>
    <row r="1060" spans="1:9" x14ac:dyDescent="0.25">
      <c r="A1060" s="21" t="s">
        <v>1528</v>
      </c>
      <c r="B1060">
        <v>8</v>
      </c>
      <c r="C1060" s="21" t="s">
        <v>193</v>
      </c>
      <c r="D1060" s="21" t="s">
        <v>11</v>
      </c>
      <c r="E1060">
        <v>195</v>
      </c>
      <c r="F1060">
        <v>27</v>
      </c>
      <c r="G1060" s="21" t="s">
        <v>38</v>
      </c>
      <c r="H1060" s="21" t="s">
        <v>430</v>
      </c>
      <c r="I1060" s="21" t="s">
        <v>1451</v>
      </c>
    </row>
    <row r="1061" spans="1:9" x14ac:dyDescent="0.25">
      <c r="A1061" s="21" t="s">
        <v>1529</v>
      </c>
      <c r="B1061">
        <v>60</v>
      </c>
      <c r="C1061" s="21" t="s">
        <v>277</v>
      </c>
      <c r="D1061" s="21" t="s">
        <v>35</v>
      </c>
      <c r="E1061">
        <v>309</v>
      </c>
      <c r="G1061" s="21" t="s">
        <v>25</v>
      </c>
      <c r="H1061" s="21" t="s">
        <v>68</v>
      </c>
      <c r="I1061" s="21" t="s">
        <v>1451</v>
      </c>
    </row>
    <row r="1062" spans="1:9" x14ac:dyDescent="0.25">
      <c r="A1062" s="21" t="s">
        <v>1530</v>
      </c>
      <c r="B1062">
        <v>48</v>
      </c>
      <c r="C1062" s="21" t="s">
        <v>15</v>
      </c>
      <c r="D1062" s="21" t="s">
        <v>11</v>
      </c>
      <c r="E1062">
        <v>228</v>
      </c>
      <c r="F1062">
        <v>24</v>
      </c>
      <c r="G1062" s="21" t="s">
        <v>25</v>
      </c>
      <c r="H1062" s="21" t="s">
        <v>136</v>
      </c>
      <c r="I1062" s="21" t="s">
        <v>1451</v>
      </c>
    </row>
    <row r="1063" spans="1:9" x14ac:dyDescent="0.25">
      <c r="A1063" s="21" t="s">
        <v>1531</v>
      </c>
      <c r="B1063">
        <v>72</v>
      </c>
      <c r="C1063" s="21" t="s">
        <v>140</v>
      </c>
      <c r="D1063" s="21" t="s">
        <v>67</v>
      </c>
      <c r="E1063">
        <v>315</v>
      </c>
      <c r="F1063">
        <v>26</v>
      </c>
      <c r="G1063" s="21" t="s">
        <v>45</v>
      </c>
      <c r="H1063" s="21" t="s">
        <v>65</v>
      </c>
      <c r="I1063" s="21" t="s">
        <v>1451</v>
      </c>
    </row>
    <row r="1064" spans="1:9" x14ac:dyDescent="0.25">
      <c r="A1064" s="21" t="s">
        <v>1532</v>
      </c>
      <c r="B1064">
        <v>45</v>
      </c>
      <c r="C1064" s="21" t="s">
        <v>15</v>
      </c>
      <c r="D1064" s="21" t="s">
        <v>44</v>
      </c>
      <c r="E1064">
        <v>224</v>
      </c>
      <c r="F1064">
        <v>27</v>
      </c>
      <c r="G1064" s="21" t="s">
        <v>16</v>
      </c>
      <c r="H1064" s="21" t="s">
        <v>802</v>
      </c>
      <c r="I1064" s="21" t="s">
        <v>1451</v>
      </c>
    </row>
    <row r="1065" spans="1:9" x14ac:dyDescent="0.25">
      <c r="A1065" s="21" t="s">
        <v>1533</v>
      </c>
      <c r="B1065">
        <v>76</v>
      </c>
      <c r="C1065" s="21" t="s">
        <v>140</v>
      </c>
      <c r="D1065" s="21" t="s">
        <v>67</v>
      </c>
      <c r="E1065">
        <v>301</v>
      </c>
      <c r="F1065">
        <v>28</v>
      </c>
      <c r="G1065" s="21" t="s">
        <v>100</v>
      </c>
      <c r="H1065" s="21" t="s">
        <v>138</v>
      </c>
      <c r="I1065" s="21" t="s">
        <v>1451</v>
      </c>
    </row>
    <row r="1066" spans="1:9" x14ac:dyDescent="0.25">
      <c r="A1066" s="21" t="s">
        <v>1534</v>
      </c>
      <c r="B1066">
        <v>90</v>
      </c>
      <c r="C1066" s="21" t="s">
        <v>114</v>
      </c>
      <c r="D1066" s="21" t="s">
        <v>35</v>
      </c>
      <c r="E1066">
        <v>315</v>
      </c>
      <c r="F1066">
        <v>28</v>
      </c>
      <c r="G1066" s="21" t="s">
        <v>38</v>
      </c>
      <c r="H1066" s="21" t="s">
        <v>1535</v>
      </c>
      <c r="I1066" s="21" t="s">
        <v>1451</v>
      </c>
    </row>
    <row r="1067" spans="1:9" x14ac:dyDescent="0.25">
      <c r="A1067" s="21" t="s">
        <v>1536</v>
      </c>
      <c r="B1067">
        <v>17</v>
      </c>
      <c r="C1067" s="21" t="s">
        <v>10</v>
      </c>
      <c r="D1067" s="21" t="s">
        <v>29</v>
      </c>
      <c r="E1067">
        <v>224</v>
      </c>
      <c r="F1067">
        <v>24</v>
      </c>
      <c r="G1067" s="21" t="s">
        <v>30</v>
      </c>
      <c r="H1067" s="21" t="s">
        <v>1537</v>
      </c>
      <c r="I1067" s="21" t="s">
        <v>1451</v>
      </c>
    </row>
    <row r="1068" spans="1:9" x14ac:dyDescent="0.25">
      <c r="A1068" s="21" t="s">
        <v>1538</v>
      </c>
      <c r="B1068">
        <v>28</v>
      </c>
      <c r="C1068" s="21" t="s">
        <v>51</v>
      </c>
      <c r="D1068" s="21" t="s">
        <v>125</v>
      </c>
      <c r="E1068">
        <v>226</v>
      </c>
      <c r="F1068">
        <v>23</v>
      </c>
      <c r="G1068" s="21" t="s">
        <v>12</v>
      </c>
      <c r="H1068" s="21" t="s">
        <v>68</v>
      </c>
      <c r="I1068" s="21" t="s">
        <v>1451</v>
      </c>
    </row>
    <row r="1069" spans="1:9" x14ac:dyDescent="0.25">
      <c r="A1069" s="21" t="s">
        <v>1539</v>
      </c>
      <c r="B1069">
        <v>39</v>
      </c>
      <c r="C1069" s="21" t="s">
        <v>48</v>
      </c>
      <c r="D1069" s="21" t="s">
        <v>24</v>
      </c>
      <c r="E1069">
        <v>195</v>
      </c>
      <c r="F1069">
        <v>25</v>
      </c>
      <c r="G1069" s="21" t="s">
        <v>30</v>
      </c>
      <c r="H1069" s="21" t="s">
        <v>280</v>
      </c>
      <c r="I1069" s="21" t="s">
        <v>1451</v>
      </c>
    </row>
    <row r="1070" spans="1:9" x14ac:dyDescent="0.25">
      <c r="A1070" s="21" t="s">
        <v>1540</v>
      </c>
      <c r="B1070">
        <v>25</v>
      </c>
      <c r="C1070" s="21" t="s">
        <v>124</v>
      </c>
      <c r="D1070" s="21" t="s">
        <v>52</v>
      </c>
      <c r="E1070">
        <v>196</v>
      </c>
      <c r="F1070">
        <v>24</v>
      </c>
      <c r="G1070" s="21" t="s">
        <v>25</v>
      </c>
      <c r="H1070" s="21" t="s">
        <v>837</v>
      </c>
      <c r="I1070" s="21" t="s">
        <v>1451</v>
      </c>
    </row>
    <row r="1071" spans="1:9" x14ac:dyDescent="0.25">
      <c r="A1071" s="21" t="s">
        <v>1541</v>
      </c>
      <c r="B1071">
        <v>74</v>
      </c>
      <c r="C1071" s="21" t="s">
        <v>140</v>
      </c>
      <c r="D1071" s="21" t="s">
        <v>67</v>
      </c>
      <c r="E1071">
        <v>307</v>
      </c>
      <c r="F1071">
        <v>24</v>
      </c>
      <c r="G1071" s="21" t="s">
        <v>25</v>
      </c>
      <c r="H1071" s="21" t="s">
        <v>797</v>
      </c>
      <c r="I1071" s="21" t="s">
        <v>1451</v>
      </c>
    </row>
    <row r="1072" spans="1:9" x14ac:dyDescent="0.25">
      <c r="A1072" s="21" t="s">
        <v>1542</v>
      </c>
      <c r="B1072">
        <v>42</v>
      </c>
      <c r="C1072" s="21" t="s">
        <v>51</v>
      </c>
      <c r="D1072" s="21" t="s">
        <v>86</v>
      </c>
      <c r="E1072">
        <v>211</v>
      </c>
      <c r="F1072">
        <v>22</v>
      </c>
      <c r="G1072" s="21" t="s">
        <v>25</v>
      </c>
      <c r="H1072" s="21" t="s">
        <v>22</v>
      </c>
      <c r="I1072" s="21" t="s">
        <v>1451</v>
      </c>
    </row>
    <row r="1073" spans="1:9" x14ac:dyDescent="0.25">
      <c r="A1073" s="21" t="s">
        <v>1543</v>
      </c>
      <c r="B1073">
        <v>6</v>
      </c>
      <c r="C1073" s="21" t="s">
        <v>76</v>
      </c>
      <c r="D1073" s="21" t="s">
        <v>24</v>
      </c>
      <c r="E1073">
        <v>197</v>
      </c>
      <c r="F1073">
        <v>24</v>
      </c>
      <c r="G1073" s="21" t="s">
        <v>83</v>
      </c>
      <c r="H1073" s="21" t="s">
        <v>813</v>
      </c>
      <c r="I1073" s="21" t="s">
        <v>1451</v>
      </c>
    </row>
    <row r="1074" spans="1:9" x14ac:dyDescent="0.25">
      <c r="A1074" s="21" t="s">
        <v>1544</v>
      </c>
      <c r="B1074">
        <v>33</v>
      </c>
      <c r="C1074" s="21" t="s">
        <v>89</v>
      </c>
      <c r="D1074" s="21" t="s">
        <v>54</v>
      </c>
      <c r="E1074">
        <v>205</v>
      </c>
      <c r="F1074">
        <v>26</v>
      </c>
      <c r="G1074" s="21" t="s">
        <v>45</v>
      </c>
      <c r="H1074" s="21" t="s">
        <v>152</v>
      </c>
      <c r="I1074" s="21" t="s">
        <v>1451</v>
      </c>
    </row>
    <row r="1075" spans="1:9" x14ac:dyDescent="0.25">
      <c r="A1075" s="21" t="s">
        <v>1545</v>
      </c>
      <c r="B1075">
        <v>55</v>
      </c>
      <c r="C1075" s="21" t="s">
        <v>15</v>
      </c>
      <c r="D1075" s="21" t="s">
        <v>35</v>
      </c>
      <c r="E1075">
        <v>224</v>
      </c>
      <c r="F1075">
        <v>23</v>
      </c>
      <c r="G1075" s="21" t="s">
        <v>25</v>
      </c>
      <c r="H1075" s="21" t="s">
        <v>484</v>
      </c>
      <c r="I1075" s="21" t="s">
        <v>1451</v>
      </c>
    </row>
    <row r="1076" spans="1:9" x14ac:dyDescent="0.25">
      <c r="A1076" s="21" t="s">
        <v>1546</v>
      </c>
      <c r="B1076">
        <v>40</v>
      </c>
      <c r="C1076" s="21" t="s">
        <v>48</v>
      </c>
      <c r="D1076" s="21" t="s">
        <v>24</v>
      </c>
      <c r="E1076">
        <v>195</v>
      </c>
      <c r="F1076">
        <v>24</v>
      </c>
      <c r="G1076" s="21" t="s">
        <v>83</v>
      </c>
      <c r="H1076" s="21" t="s">
        <v>204</v>
      </c>
      <c r="I1076" s="21" t="s">
        <v>1451</v>
      </c>
    </row>
    <row r="1077" spans="1:9" x14ac:dyDescent="0.25">
      <c r="A1077" s="21" t="s">
        <v>1547</v>
      </c>
      <c r="B1077">
        <v>95</v>
      </c>
      <c r="C1077" s="21" t="s">
        <v>114</v>
      </c>
      <c r="D1077" s="21" t="s">
        <v>24</v>
      </c>
      <c r="E1077">
        <v>302</v>
      </c>
      <c r="G1077" s="21" t="s">
        <v>25</v>
      </c>
      <c r="H1077" s="21" t="s">
        <v>1329</v>
      </c>
      <c r="I1077" s="21" t="s">
        <v>1451</v>
      </c>
    </row>
    <row r="1078" spans="1:9" x14ac:dyDescent="0.25">
      <c r="A1078" s="21" t="s">
        <v>1548</v>
      </c>
      <c r="B1078">
        <v>43</v>
      </c>
      <c r="C1078" s="21" t="s">
        <v>51</v>
      </c>
      <c r="D1078" s="21" t="s">
        <v>11</v>
      </c>
      <c r="E1078">
        <v>220</v>
      </c>
      <c r="F1078">
        <v>25</v>
      </c>
      <c r="G1078" s="21" t="s">
        <v>30</v>
      </c>
      <c r="H1078" s="21" t="s">
        <v>204</v>
      </c>
      <c r="I1078" s="21" t="s">
        <v>1451</v>
      </c>
    </row>
    <row r="1079" spans="1:9" x14ac:dyDescent="0.25">
      <c r="A1079" s="21" t="s">
        <v>1549</v>
      </c>
      <c r="B1079">
        <v>80</v>
      </c>
      <c r="C1079" s="21" t="s">
        <v>57</v>
      </c>
      <c r="D1079" s="21" t="s">
        <v>20</v>
      </c>
      <c r="E1079">
        <v>253</v>
      </c>
      <c r="F1079">
        <v>23</v>
      </c>
      <c r="G1079" s="21" t="s">
        <v>25</v>
      </c>
      <c r="H1079" s="21" t="s">
        <v>333</v>
      </c>
      <c r="I1079" s="21" t="s">
        <v>1451</v>
      </c>
    </row>
    <row r="1080" spans="1:9" x14ac:dyDescent="0.25">
      <c r="A1080" s="21" t="s">
        <v>1550</v>
      </c>
      <c r="B1080">
        <v>84</v>
      </c>
      <c r="C1080" s="21" t="s">
        <v>10</v>
      </c>
      <c r="D1080" s="21" t="s">
        <v>125</v>
      </c>
      <c r="E1080">
        <v>190</v>
      </c>
      <c r="G1080" s="21" t="s">
        <v>25</v>
      </c>
      <c r="H1080" s="21" t="s">
        <v>304</v>
      </c>
      <c r="I1080" s="21" t="s">
        <v>1451</v>
      </c>
    </row>
    <row r="1081" spans="1:9" x14ac:dyDescent="0.25">
      <c r="A1081" s="21" t="s">
        <v>1551</v>
      </c>
      <c r="B1081">
        <v>37</v>
      </c>
      <c r="C1081" s="21" t="s">
        <v>89</v>
      </c>
      <c r="D1081" s="21" t="s">
        <v>54</v>
      </c>
      <c r="E1081">
        <v>213</v>
      </c>
      <c r="G1081" s="21" t="s">
        <v>16</v>
      </c>
      <c r="H1081" s="21" t="s">
        <v>55</v>
      </c>
      <c r="I1081" s="21" t="s">
        <v>1451</v>
      </c>
    </row>
    <row r="1082" spans="1:9" x14ac:dyDescent="0.25">
      <c r="A1082" s="21" t="s">
        <v>2880</v>
      </c>
      <c r="B1082">
        <v>93</v>
      </c>
      <c r="C1082" s="21" t="s">
        <v>114</v>
      </c>
      <c r="D1082" s="21" t="s">
        <v>44</v>
      </c>
      <c r="E1082">
        <v>3000</v>
      </c>
      <c r="F1082">
        <v>27</v>
      </c>
      <c r="G1082" s="21" t="s">
        <v>38</v>
      </c>
      <c r="H1082" s="21" t="s">
        <v>233</v>
      </c>
      <c r="I1082" s="21" t="s">
        <v>2879</v>
      </c>
    </row>
    <row r="1083" spans="1:9" x14ac:dyDescent="0.25">
      <c r="A1083" s="21" t="s">
        <v>2881</v>
      </c>
      <c r="B1083">
        <v>30</v>
      </c>
      <c r="C1083" s="21" t="s">
        <v>48</v>
      </c>
      <c r="D1083" s="21" t="s">
        <v>52</v>
      </c>
      <c r="E1083">
        <v>2050</v>
      </c>
      <c r="F1083">
        <v>27</v>
      </c>
      <c r="G1083" s="21" t="s">
        <v>45</v>
      </c>
      <c r="H1083" s="21" t="s">
        <v>3251</v>
      </c>
      <c r="I1083" s="21" t="s">
        <v>2879</v>
      </c>
    </row>
    <row r="1084" spans="1:9" x14ac:dyDescent="0.25">
      <c r="A1084" s="21" t="s">
        <v>2882</v>
      </c>
      <c r="B1084">
        <v>40</v>
      </c>
      <c r="C1084" s="21" t="s">
        <v>91</v>
      </c>
      <c r="D1084" s="21" t="s">
        <v>52</v>
      </c>
      <c r="E1084">
        <v>2550</v>
      </c>
      <c r="F1084">
        <v>28</v>
      </c>
      <c r="G1084" s="21" t="s">
        <v>38</v>
      </c>
      <c r="H1084" s="21" t="s">
        <v>765</v>
      </c>
      <c r="I1084" s="21" t="s">
        <v>2879</v>
      </c>
    </row>
    <row r="1085" spans="1:9" x14ac:dyDescent="0.25">
      <c r="A1085" s="21" t="s">
        <v>2883</v>
      </c>
      <c r="B1085">
        <v>64</v>
      </c>
      <c r="C1085" s="21" t="s">
        <v>114</v>
      </c>
      <c r="D1085" s="21" t="s">
        <v>35</v>
      </c>
      <c r="E1085">
        <v>2930</v>
      </c>
      <c r="F1085">
        <v>27</v>
      </c>
      <c r="G1085" s="21" t="s">
        <v>83</v>
      </c>
      <c r="H1085" s="21" t="s">
        <v>940</v>
      </c>
      <c r="I1085" s="21" t="s">
        <v>2879</v>
      </c>
    </row>
    <row r="1086" spans="1:9" x14ac:dyDescent="0.25">
      <c r="A1086" s="21" t="s">
        <v>2884</v>
      </c>
      <c r="B1086">
        <v>87</v>
      </c>
      <c r="C1086" s="21" t="s">
        <v>57</v>
      </c>
      <c r="D1086" s="21" t="s">
        <v>67</v>
      </c>
      <c r="E1086">
        <v>2590</v>
      </c>
      <c r="F1086">
        <v>24</v>
      </c>
      <c r="G1086" s="21" t="s">
        <v>30</v>
      </c>
      <c r="H1086" s="21" t="s">
        <v>330</v>
      </c>
      <c r="I1086" s="21" t="s">
        <v>2879</v>
      </c>
    </row>
    <row r="1087" spans="1:9" x14ac:dyDescent="0.25">
      <c r="A1087" s="21" t="s">
        <v>2885</v>
      </c>
      <c r="C1087" s="21" t="s">
        <v>277</v>
      </c>
      <c r="D1087" s="21" t="s">
        <v>29</v>
      </c>
      <c r="E1087">
        <v>3220</v>
      </c>
      <c r="F1087">
        <v>28</v>
      </c>
      <c r="G1087" s="21" t="s">
        <v>30</v>
      </c>
      <c r="H1087" s="21" t="s">
        <v>147</v>
      </c>
      <c r="I1087" s="21" t="s">
        <v>2879</v>
      </c>
    </row>
    <row r="1088" spans="1:9" x14ac:dyDescent="0.25">
      <c r="A1088" s="21" t="s">
        <v>2886</v>
      </c>
      <c r="B1088">
        <v>63</v>
      </c>
      <c r="C1088" s="21" t="s">
        <v>277</v>
      </c>
      <c r="D1088" s="21" t="s">
        <v>67</v>
      </c>
      <c r="E1088">
        <v>3000</v>
      </c>
      <c r="F1088">
        <v>26</v>
      </c>
      <c r="G1088" s="21" t="s">
        <v>30</v>
      </c>
      <c r="H1088" s="21" t="s">
        <v>68</v>
      </c>
      <c r="I1088" s="21" t="s">
        <v>2879</v>
      </c>
    </row>
    <row r="1089" spans="1:9" x14ac:dyDescent="0.25">
      <c r="A1089" s="21" t="s">
        <v>2887</v>
      </c>
      <c r="C1089" s="21" t="s">
        <v>51</v>
      </c>
      <c r="D1089" s="21" t="s">
        <v>11</v>
      </c>
      <c r="E1089">
        <v>2150</v>
      </c>
      <c r="F1089">
        <v>26</v>
      </c>
      <c r="G1089" s="21" t="s">
        <v>12</v>
      </c>
      <c r="H1089" s="21" t="s">
        <v>231</v>
      </c>
      <c r="I1089" s="21" t="s">
        <v>2879</v>
      </c>
    </row>
    <row r="1090" spans="1:9" x14ac:dyDescent="0.25">
      <c r="A1090" s="21" t="s">
        <v>2888</v>
      </c>
      <c r="B1090">
        <v>56</v>
      </c>
      <c r="C1090" s="21" t="s">
        <v>319</v>
      </c>
      <c r="D1090" s="21" t="s">
        <v>44</v>
      </c>
      <c r="E1090">
        <v>2540</v>
      </c>
      <c r="F1090">
        <v>24</v>
      </c>
      <c r="G1090" s="21" t="s">
        <v>83</v>
      </c>
      <c r="H1090" s="21" t="s">
        <v>87</v>
      </c>
      <c r="I1090" s="21" t="s">
        <v>2879</v>
      </c>
    </row>
    <row r="1091" spans="1:9" x14ac:dyDescent="0.25">
      <c r="A1091" s="21" t="s">
        <v>2889</v>
      </c>
      <c r="B1091">
        <v>2</v>
      </c>
      <c r="C1091" s="21" t="s">
        <v>10</v>
      </c>
      <c r="D1091" s="21" t="s">
        <v>11</v>
      </c>
      <c r="E1091">
        <v>1950</v>
      </c>
      <c r="F1091">
        <v>22</v>
      </c>
      <c r="G1091" s="21" t="s">
        <v>30</v>
      </c>
      <c r="H1091" s="21" t="s">
        <v>73</v>
      </c>
      <c r="I1091" s="21" t="s">
        <v>2879</v>
      </c>
    </row>
    <row r="1092" spans="1:9" x14ac:dyDescent="0.25">
      <c r="A1092" s="21" t="s">
        <v>2890</v>
      </c>
      <c r="B1092">
        <v>35</v>
      </c>
      <c r="C1092" s="21" t="s">
        <v>89</v>
      </c>
      <c r="D1092" s="21" t="s">
        <v>11</v>
      </c>
      <c r="E1092">
        <v>1910</v>
      </c>
      <c r="F1092">
        <v>22</v>
      </c>
      <c r="G1092" s="21" t="s">
        <v>25</v>
      </c>
      <c r="H1092" s="21" t="s">
        <v>145</v>
      </c>
      <c r="I1092" s="21" t="s">
        <v>2879</v>
      </c>
    </row>
    <row r="1093" spans="1:9" x14ac:dyDescent="0.25">
      <c r="A1093" s="21" t="s">
        <v>2891</v>
      </c>
      <c r="B1093">
        <v>66</v>
      </c>
      <c r="C1093" s="21" t="s">
        <v>277</v>
      </c>
      <c r="D1093" s="21" t="s">
        <v>44</v>
      </c>
      <c r="E1093">
        <v>3100</v>
      </c>
      <c r="F1093">
        <v>26</v>
      </c>
      <c r="G1093" s="21" t="s">
        <v>30</v>
      </c>
      <c r="H1093" s="21" t="s">
        <v>558</v>
      </c>
      <c r="I1093" s="21" t="s">
        <v>2879</v>
      </c>
    </row>
    <row r="1094" spans="1:9" x14ac:dyDescent="0.25">
      <c r="A1094" s="21" t="s">
        <v>2892</v>
      </c>
      <c r="B1094">
        <v>77</v>
      </c>
      <c r="C1094" s="21" t="s">
        <v>140</v>
      </c>
      <c r="D1094" s="21" t="s">
        <v>35</v>
      </c>
      <c r="E1094">
        <v>3220</v>
      </c>
      <c r="F1094">
        <v>23</v>
      </c>
      <c r="G1094" s="21" t="s">
        <v>12</v>
      </c>
      <c r="H1094" s="21" t="s">
        <v>267</v>
      </c>
      <c r="I1094" s="21" t="s">
        <v>2879</v>
      </c>
    </row>
    <row r="1095" spans="1:9" x14ac:dyDescent="0.25">
      <c r="A1095" s="21" t="s">
        <v>2893</v>
      </c>
      <c r="B1095">
        <v>54</v>
      </c>
      <c r="C1095" s="21" t="s">
        <v>158</v>
      </c>
      <c r="D1095" s="21" t="s">
        <v>35</v>
      </c>
      <c r="E1095">
        <v>2370</v>
      </c>
      <c r="F1095">
        <v>24</v>
      </c>
      <c r="G1095" s="21" t="s">
        <v>30</v>
      </c>
      <c r="H1095" s="21" t="s">
        <v>98</v>
      </c>
      <c r="I1095" s="21" t="s">
        <v>2879</v>
      </c>
    </row>
    <row r="1096" spans="1:9" x14ac:dyDescent="0.25">
      <c r="A1096" s="21" t="s">
        <v>2894</v>
      </c>
      <c r="B1096">
        <v>62</v>
      </c>
      <c r="C1096" s="21" t="s">
        <v>114</v>
      </c>
      <c r="D1096" s="21" t="s">
        <v>35</v>
      </c>
      <c r="E1096">
        <v>3000</v>
      </c>
      <c r="F1096">
        <v>24</v>
      </c>
      <c r="G1096" s="21" t="s">
        <v>83</v>
      </c>
      <c r="H1096" s="21" t="s">
        <v>196</v>
      </c>
      <c r="I1096" s="21" t="s">
        <v>2879</v>
      </c>
    </row>
    <row r="1097" spans="1:9" x14ac:dyDescent="0.25">
      <c r="A1097" s="21" t="s">
        <v>2895</v>
      </c>
      <c r="B1097">
        <v>76</v>
      </c>
      <c r="C1097" s="21" t="s">
        <v>140</v>
      </c>
      <c r="D1097" s="21" t="s">
        <v>67</v>
      </c>
      <c r="E1097">
        <v>3090</v>
      </c>
      <c r="F1097">
        <v>23</v>
      </c>
      <c r="G1097" s="21" t="s">
        <v>30</v>
      </c>
      <c r="H1097" s="21" t="s">
        <v>109</v>
      </c>
      <c r="I1097" s="21" t="s">
        <v>2879</v>
      </c>
    </row>
    <row r="1098" spans="1:9" x14ac:dyDescent="0.25">
      <c r="A1098" s="21" t="s">
        <v>2896</v>
      </c>
      <c r="B1098">
        <v>31</v>
      </c>
      <c r="C1098" s="21" t="s">
        <v>89</v>
      </c>
      <c r="D1098" s="21" t="s">
        <v>24</v>
      </c>
      <c r="E1098">
        <v>1980</v>
      </c>
      <c r="F1098">
        <v>23</v>
      </c>
      <c r="G1098" s="21" t="s">
        <v>12</v>
      </c>
      <c r="H1098" s="21" t="s">
        <v>80</v>
      </c>
      <c r="I1098" s="21" t="s">
        <v>2879</v>
      </c>
    </row>
    <row r="1099" spans="1:9" x14ac:dyDescent="0.25">
      <c r="A1099" s="21" t="s">
        <v>2897</v>
      </c>
      <c r="B1099">
        <v>52</v>
      </c>
      <c r="C1099" s="21" t="s">
        <v>15</v>
      </c>
      <c r="D1099" s="21" t="s">
        <v>44</v>
      </c>
      <c r="E1099">
        <v>2340</v>
      </c>
      <c r="F1099">
        <v>23</v>
      </c>
      <c r="G1099" s="21" t="s">
        <v>30</v>
      </c>
      <c r="H1099" s="21" t="s">
        <v>683</v>
      </c>
      <c r="I1099" s="21" t="s">
        <v>2879</v>
      </c>
    </row>
    <row r="1100" spans="1:9" x14ac:dyDescent="0.25">
      <c r="A1100" s="21" t="s">
        <v>2898</v>
      </c>
      <c r="B1100">
        <v>1</v>
      </c>
      <c r="C1100" s="21" t="s">
        <v>10</v>
      </c>
      <c r="D1100" s="21" t="s">
        <v>54</v>
      </c>
      <c r="E1100">
        <v>1820</v>
      </c>
      <c r="F1100">
        <v>22</v>
      </c>
      <c r="G1100" s="21" t="s">
        <v>25</v>
      </c>
      <c r="H1100" s="21" t="s">
        <v>3251</v>
      </c>
      <c r="I1100" s="21" t="s">
        <v>2879</v>
      </c>
    </row>
    <row r="1101" spans="1:9" x14ac:dyDescent="0.25">
      <c r="A1101" s="21" t="s">
        <v>2899</v>
      </c>
      <c r="C1101" s="21" t="s">
        <v>124</v>
      </c>
      <c r="D1101" s="21" t="s">
        <v>125</v>
      </c>
      <c r="E1101">
        <v>1850</v>
      </c>
      <c r="F1101">
        <v>24</v>
      </c>
      <c r="G1101" s="21" t="s">
        <v>25</v>
      </c>
      <c r="H1101" s="21" t="s">
        <v>226</v>
      </c>
      <c r="I1101" s="21" t="s">
        <v>2879</v>
      </c>
    </row>
    <row r="1102" spans="1:9" x14ac:dyDescent="0.25">
      <c r="A1102" s="21" t="s">
        <v>2900</v>
      </c>
      <c r="B1102">
        <v>46</v>
      </c>
      <c r="C1102" s="21" t="s">
        <v>15</v>
      </c>
      <c r="D1102" s="21" t="s">
        <v>24</v>
      </c>
      <c r="E1102">
        <v>2250</v>
      </c>
      <c r="F1102">
        <v>24</v>
      </c>
      <c r="G1102" s="21" t="s">
        <v>83</v>
      </c>
      <c r="H1102" s="21" t="s">
        <v>176</v>
      </c>
      <c r="I1102" s="21" t="s">
        <v>2879</v>
      </c>
    </row>
    <row r="1103" spans="1:9" x14ac:dyDescent="0.25">
      <c r="A1103" s="21" t="s">
        <v>2901</v>
      </c>
      <c r="B1103">
        <v>26</v>
      </c>
      <c r="C1103" s="21" t="s">
        <v>48</v>
      </c>
      <c r="D1103" s="21" t="s">
        <v>125</v>
      </c>
      <c r="E1103">
        <v>1850</v>
      </c>
      <c r="F1103">
        <v>27</v>
      </c>
      <c r="G1103" s="21" t="s">
        <v>38</v>
      </c>
      <c r="H1103" s="21" t="s">
        <v>385</v>
      </c>
      <c r="I1103" s="21" t="s">
        <v>2879</v>
      </c>
    </row>
    <row r="1104" spans="1:9" x14ac:dyDescent="0.25">
      <c r="A1104" s="21" t="s">
        <v>2902</v>
      </c>
      <c r="B1104">
        <v>86</v>
      </c>
      <c r="C1104" s="21" t="s">
        <v>10</v>
      </c>
      <c r="D1104" s="21" t="s">
        <v>11</v>
      </c>
      <c r="E1104">
        <v>1950</v>
      </c>
      <c r="F1104">
        <v>29</v>
      </c>
      <c r="G1104" s="21" t="s">
        <v>100</v>
      </c>
      <c r="H1104" s="21" t="s">
        <v>68</v>
      </c>
      <c r="I1104" s="21" t="s">
        <v>2879</v>
      </c>
    </row>
    <row r="1105" spans="1:9" x14ac:dyDescent="0.25">
      <c r="A1105" s="21" t="s">
        <v>2903</v>
      </c>
      <c r="B1105">
        <v>84</v>
      </c>
      <c r="C1105" s="21" t="s">
        <v>10</v>
      </c>
      <c r="D1105" s="21" t="s">
        <v>125</v>
      </c>
      <c r="E1105">
        <v>1950</v>
      </c>
      <c r="F1105">
        <v>24</v>
      </c>
      <c r="G1105" s="21" t="s">
        <v>25</v>
      </c>
      <c r="H1105" s="21" t="s">
        <v>895</v>
      </c>
      <c r="I1105" s="21" t="s">
        <v>2879</v>
      </c>
    </row>
    <row r="1106" spans="1:9" x14ac:dyDescent="0.25">
      <c r="A1106" s="21" t="s">
        <v>2904</v>
      </c>
      <c r="B1106">
        <v>22</v>
      </c>
      <c r="C1106" s="21" t="s">
        <v>89</v>
      </c>
      <c r="D1106" s="21" t="s">
        <v>54</v>
      </c>
      <c r="E1106">
        <v>2000</v>
      </c>
      <c r="F1106">
        <v>23</v>
      </c>
      <c r="G1106" s="21" t="s">
        <v>30</v>
      </c>
      <c r="H1106" s="21" t="s">
        <v>304</v>
      </c>
      <c r="I1106" s="21" t="s">
        <v>2879</v>
      </c>
    </row>
    <row r="1107" spans="1:9" x14ac:dyDescent="0.25">
      <c r="A1107" s="21" t="s">
        <v>2905</v>
      </c>
      <c r="B1107">
        <v>29</v>
      </c>
      <c r="C1107" s="21" t="s">
        <v>48</v>
      </c>
      <c r="D1107" s="21" t="s">
        <v>54</v>
      </c>
      <c r="E1107">
        <v>1980</v>
      </c>
      <c r="F1107">
        <v>27</v>
      </c>
      <c r="G1107" s="21" t="s">
        <v>100</v>
      </c>
      <c r="H1107" s="21" t="s">
        <v>357</v>
      </c>
      <c r="I1107" s="21" t="s">
        <v>2879</v>
      </c>
    </row>
    <row r="1108" spans="1:9" x14ac:dyDescent="0.25">
      <c r="A1108" s="21" t="s">
        <v>2906</v>
      </c>
      <c r="B1108">
        <v>18</v>
      </c>
      <c r="C1108" s="21" t="s">
        <v>57</v>
      </c>
      <c r="D1108" s="21" t="s">
        <v>35</v>
      </c>
      <c r="E1108">
        <v>2230</v>
      </c>
      <c r="F1108">
        <v>24</v>
      </c>
      <c r="G1108" s="21" t="s">
        <v>12</v>
      </c>
      <c r="H1108" s="21" t="s">
        <v>398</v>
      </c>
      <c r="I1108" s="21" t="s">
        <v>2879</v>
      </c>
    </row>
    <row r="1109" spans="1:9" x14ac:dyDescent="0.25">
      <c r="A1109" s="21" t="s">
        <v>2907</v>
      </c>
      <c r="B1109">
        <v>48</v>
      </c>
      <c r="C1109" s="21" t="s">
        <v>89</v>
      </c>
      <c r="D1109" s="21" t="s">
        <v>52</v>
      </c>
      <c r="E1109">
        <v>2150</v>
      </c>
      <c r="F1109">
        <v>25</v>
      </c>
      <c r="G1109" s="21" t="s">
        <v>25</v>
      </c>
      <c r="H1109" s="21" t="s">
        <v>145</v>
      </c>
      <c r="I1109" s="21" t="s">
        <v>2879</v>
      </c>
    </row>
    <row r="1110" spans="1:9" x14ac:dyDescent="0.25">
      <c r="A1110" s="21" t="s">
        <v>2908</v>
      </c>
      <c r="B1110">
        <v>24</v>
      </c>
      <c r="C1110" s="21" t="s">
        <v>51</v>
      </c>
      <c r="D1110" s="21" t="s">
        <v>24</v>
      </c>
      <c r="E1110">
        <v>2200</v>
      </c>
      <c r="F1110">
        <v>24</v>
      </c>
      <c r="G1110" s="21" t="s">
        <v>12</v>
      </c>
      <c r="H1110" s="21" t="s">
        <v>627</v>
      </c>
      <c r="I1110" s="21" t="s">
        <v>2879</v>
      </c>
    </row>
    <row r="1111" spans="1:9" x14ac:dyDescent="0.25">
      <c r="A1111" s="21" t="s">
        <v>2909</v>
      </c>
      <c r="C1111" s="21" t="s">
        <v>114</v>
      </c>
      <c r="D1111" s="21" t="s">
        <v>24</v>
      </c>
      <c r="E1111">
        <v>3110</v>
      </c>
      <c r="F1111">
        <v>29</v>
      </c>
      <c r="G1111" s="21" t="s">
        <v>38</v>
      </c>
      <c r="H1111" s="21" t="s">
        <v>145</v>
      </c>
      <c r="I1111" s="21" t="s">
        <v>2879</v>
      </c>
    </row>
    <row r="1112" spans="1:9" x14ac:dyDescent="0.25">
      <c r="A1112" s="21" t="s">
        <v>2910</v>
      </c>
      <c r="B1112">
        <v>13</v>
      </c>
      <c r="C1112" s="21" t="s">
        <v>10</v>
      </c>
      <c r="D1112" s="21" t="s">
        <v>24</v>
      </c>
      <c r="E1112">
        <v>2150</v>
      </c>
      <c r="F1112">
        <v>25</v>
      </c>
      <c r="G1112" s="21" t="s">
        <v>30</v>
      </c>
      <c r="H1112" s="21" t="s">
        <v>106</v>
      </c>
      <c r="I1112" s="21" t="s">
        <v>2879</v>
      </c>
    </row>
    <row r="1113" spans="1:9" x14ac:dyDescent="0.25">
      <c r="A1113" s="21" t="s">
        <v>2911</v>
      </c>
      <c r="C1113" s="21" t="s">
        <v>15</v>
      </c>
      <c r="D1113" s="21" t="s">
        <v>11</v>
      </c>
      <c r="E1113">
        <v>2450</v>
      </c>
      <c r="F1113">
        <v>24</v>
      </c>
      <c r="G1113" s="21" t="s">
        <v>83</v>
      </c>
      <c r="H1113" s="21" t="s">
        <v>80</v>
      </c>
      <c r="I1113" s="21" t="s">
        <v>2879</v>
      </c>
    </row>
    <row r="1114" spans="1:9" x14ac:dyDescent="0.25">
      <c r="A1114" s="21" t="s">
        <v>2912</v>
      </c>
      <c r="B1114">
        <v>4</v>
      </c>
      <c r="C1114" s="21" t="s">
        <v>70</v>
      </c>
      <c r="D1114" s="21" t="s">
        <v>52</v>
      </c>
      <c r="E1114">
        <v>2100</v>
      </c>
      <c r="F1114">
        <v>29</v>
      </c>
      <c r="G1114" s="21" t="s">
        <v>45</v>
      </c>
      <c r="H1114" s="21" t="s">
        <v>1341</v>
      </c>
      <c r="I1114" s="21" t="s">
        <v>2879</v>
      </c>
    </row>
    <row r="1115" spans="1:9" x14ac:dyDescent="0.25">
      <c r="A1115" s="21" t="s">
        <v>2913</v>
      </c>
      <c r="C1115" s="21" t="s">
        <v>57</v>
      </c>
      <c r="D1115" s="21" t="s">
        <v>141</v>
      </c>
      <c r="E1115">
        <v>2400</v>
      </c>
      <c r="F1115">
        <v>23</v>
      </c>
      <c r="G1115" s="21" t="s">
        <v>25</v>
      </c>
      <c r="H1115" s="21" t="s">
        <v>13</v>
      </c>
      <c r="I1115" s="21" t="s">
        <v>2879</v>
      </c>
    </row>
    <row r="1116" spans="1:9" x14ac:dyDescent="0.25">
      <c r="A1116" s="21" t="s">
        <v>2914</v>
      </c>
      <c r="B1116">
        <v>55</v>
      </c>
      <c r="C1116" s="21" t="s">
        <v>15</v>
      </c>
      <c r="D1116" s="21" t="s">
        <v>52</v>
      </c>
      <c r="E1116">
        <v>2400</v>
      </c>
      <c r="F1116">
        <v>25</v>
      </c>
      <c r="G1116" s="21" t="s">
        <v>16</v>
      </c>
      <c r="H1116" s="21" t="s">
        <v>73</v>
      </c>
      <c r="I1116" s="21" t="s">
        <v>2879</v>
      </c>
    </row>
    <row r="1117" spans="1:9" x14ac:dyDescent="0.25">
      <c r="A1117" s="21" t="s">
        <v>2915</v>
      </c>
      <c r="B1117">
        <v>34</v>
      </c>
      <c r="C1117" s="21" t="s">
        <v>48</v>
      </c>
      <c r="D1117" s="21" t="s">
        <v>52</v>
      </c>
      <c r="E1117">
        <v>2050</v>
      </c>
      <c r="F1117">
        <v>24</v>
      </c>
      <c r="G1117" s="21" t="s">
        <v>25</v>
      </c>
      <c r="H1117" s="21" t="s">
        <v>130</v>
      </c>
      <c r="I1117" s="21" t="s">
        <v>2879</v>
      </c>
    </row>
    <row r="1118" spans="1:9" x14ac:dyDescent="0.25">
      <c r="A1118" s="21" t="s">
        <v>2916</v>
      </c>
      <c r="B1118">
        <v>14</v>
      </c>
      <c r="C1118" s="21" t="s">
        <v>70</v>
      </c>
      <c r="D1118" s="21" t="s">
        <v>52</v>
      </c>
      <c r="E1118">
        <v>2200</v>
      </c>
      <c r="F1118">
        <v>21</v>
      </c>
      <c r="G1118" s="21" t="s">
        <v>25</v>
      </c>
      <c r="H1118" s="21" t="s">
        <v>73</v>
      </c>
      <c r="I1118" s="21" t="s">
        <v>2879</v>
      </c>
    </row>
    <row r="1119" spans="1:9" x14ac:dyDescent="0.25">
      <c r="A1119" s="21" t="s">
        <v>2917</v>
      </c>
      <c r="B1119">
        <v>47</v>
      </c>
      <c r="C1119" s="21" t="s">
        <v>15</v>
      </c>
      <c r="D1119" s="21" t="s">
        <v>11</v>
      </c>
      <c r="E1119">
        <v>2200</v>
      </c>
      <c r="F1119">
        <v>24</v>
      </c>
      <c r="G1119" s="21" t="s">
        <v>12</v>
      </c>
      <c r="H1119" s="21" t="s">
        <v>98</v>
      </c>
      <c r="I1119" s="21" t="s">
        <v>2879</v>
      </c>
    </row>
    <row r="1120" spans="1:9" x14ac:dyDescent="0.25">
      <c r="A1120" s="21" t="s">
        <v>2918</v>
      </c>
      <c r="B1120">
        <v>60</v>
      </c>
      <c r="C1120" s="21" t="s">
        <v>184</v>
      </c>
      <c r="D1120" s="21" t="s">
        <v>44</v>
      </c>
      <c r="E1120">
        <v>3100</v>
      </c>
      <c r="F1120">
        <v>24</v>
      </c>
      <c r="G1120" s="21" t="s">
        <v>12</v>
      </c>
      <c r="H1120" s="21" t="s">
        <v>33</v>
      </c>
      <c r="I1120" s="21" t="s">
        <v>2879</v>
      </c>
    </row>
    <row r="1121" spans="1:9" x14ac:dyDescent="0.25">
      <c r="A1121" s="21" t="s">
        <v>2919</v>
      </c>
      <c r="B1121">
        <v>3</v>
      </c>
      <c r="C1121" s="21" t="s">
        <v>48</v>
      </c>
      <c r="D1121" s="21" t="s">
        <v>11</v>
      </c>
      <c r="E1121">
        <v>1890</v>
      </c>
      <c r="F1121">
        <v>29</v>
      </c>
      <c r="G1121" s="21" t="s">
        <v>100</v>
      </c>
      <c r="H1121" s="21" t="s">
        <v>320</v>
      </c>
      <c r="I1121" s="21" t="s">
        <v>2879</v>
      </c>
    </row>
    <row r="1122" spans="1:9" x14ac:dyDescent="0.25">
      <c r="A1122" s="21" t="s">
        <v>2920</v>
      </c>
      <c r="B1122">
        <v>36</v>
      </c>
      <c r="C1122" s="21" t="s">
        <v>48</v>
      </c>
      <c r="D1122" s="21" t="s">
        <v>135</v>
      </c>
      <c r="E1122">
        <v>1900</v>
      </c>
      <c r="F1122">
        <v>26</v>
      </c>
      <c r="G1122" s="21" t="s">
        <v>45</v>
      </c>
      <c r="H1122" s="21" t="s">
        <v>2921</v>
      </c>
      <c r="I1122" s="21" t="s">
        <v>2879</v>
      </c>
    </row>
    <row r="1123" spans="1:9" x14ac:dyDescent="0.25">
      <c r="A1123" s="21" t="s">
        <v>2922</v>
      </c>
      <c r="B1123">
        <v>12</v>
      </c>
      <c r="C1123" s="21" t="s">
        <v>70</v>
      </c>
      <c r="D1123" s="21" t="s">
        <v>20</v>
      </c>
      <c r="E1123">
        <v>2500</v>
      </c>
      <c r="F1123">
        <v>24</v>
      </c>
      <c r="G1123" s="21" t="s">
        <v>25</v>
      </c>
      <c r="H1123" s="21" t="s">
        <v>2923</v>
      </c>
      <c r="I1123" s="21" t="s">
        <v>2879</v>
      </c>
    </row>
    <row r="1124" spans="1:9" x14ac:dyDescent="0.25">
      <c r="A1124" s="21" t="s">
        <v>2924</v>
      </c>
      <c r="B1124">
        <v>69</v>
      </c>
      <c r="C1124" s="21" t="s">
        <v>184</v>
      </c>
      <c r="D1124" s="21" t="s">
        <v>35</v>
      </c>
      <c r="E1124">
        <v>3350</v>
      </c>
      <c r="F1124">
        <v>31</v>
      </c>
      <c r="G1124" s="21" t="s">
        <v>100</v>
      </c>
      <c r="H1124" s="21" t="s">
        <v>439</v>
      </c>
      <c r="I1124" s="21" t="s">
        <v>2879</v>
      </c>
    </row>
    <row r="1125" spans="1:9" x14ac:dyDescent="0.25">
      <c r="A1125" s="21" t="s">
        <v>2925</v>
      </c>
      <c r="B1125">
        <v>74</v>
      </c>
      <c r="C1125" s="21" t="s">
        <v>277</v>
      </c>
      <c r="D1125" s="21" t="s">
        <v>44</v>
      </c>
      <c r="E1125">
        <v>3120</v>
      </c>
      <c r="F1125">
        <v>23</v>
      </c>
      <c r="G1125" s="21" t="s">
        <v>83</v>
      </c>
      <c r="H1125" s="21" t="s">
        <v>721</v>
      </c>
      <c r="I1125" s="21" t="s">
        <v>2879</v>
      </c>
    </row>
    <row r="1126" spans="1:9" x14ac:dyDescent="0.25">
      <c r="A1126" s="21" t="s">
        <v>2926</v>
      </c>
      <c r="B1126">
        <v>72</v>
      </c>
      <c r="C1126" s="21" t="s">
        <v>140</v>
      </c>
      <c r="D1126" s="21" t="s">
        <v>44</v>
      </c>
      <c r="E1126">
        <v>3020</v>
      </c>
      <c r="F1126">
        <v>30</v>
      </c>
      <c r="G1126" s="21" t="s">
        <v>64</v>
      </c>
      <c r="H1126" s="21" t="s">
        <v>330</v>
      </c>
      <c r="I1126" s="21" t="s">
        <v>2879</v>
      </c>
    </row>
    <row r="1127" spans="1:9" x14ac:dyDescent="0.25">
      <c r="A1127" s="21" t="s">
        <v>2927</v>
      </c>
      <c r="B1127">
        <v>78</v>
      </c>
      <c r="C1127" s="21" t="s">
        <v>140</v>
      </c>
      <c r="D1127" s="21" t="s">
        <v>141</v>
      </c>
      <c r="E1127">
        <v>3270</v>
      </c>
      <c r="F1127">
        <v>31</v>
      </c>
      <c r="G1127" s="21" t="s">
        <v>21</v>
      </c>
      <c r="H1127" s="21" t="s">
        <v>189</v>
      </c>
      <c r="I1127" s="21" t="s">
        <v>2879</v>
      </c>
    </row>
    <row r="1128" spans="1:9" x14ac:dyDescent="0.25">
      <c r="A1128" s="21" t="s">
        <v>2928</v>
      </c>
      <c r="B1128">
        <v>98</v>
      </c>
      <c r="C1128" s="21" t="s">
        <v>114</v>
      </c>
      <c r="D1128" s="21" t="s">
        <v>35</v>
      </c>
      <c r="E1128">
        <v>3120</v>
      </c>
      <c r="F1128">
        <v>24</v>
      </c>
      <c r="G1128" s="21" t="s">
        <v>25</v>
      </c>
      <c r="H1128" s="21" t="s">
        <v>233</v>
      </c>
      <c r="I1128" s="21" t="s">
        <v>2879</v>
      </c>
    </row>
    <row r="1129" spans="1:9" x14ac:dyDescent="0.25">
      <c r="A1129" s="21" t="s">
        <v>2929</v>
      </c>
      <c r="B1129">
        <v>51</v>
      </c>
      <c r="C1129" s="21" t="s">
        <v>15</v>
      </c>
      <c r="D1129" s="21" t="s">
        <v>24</v>
      </c>
      <c r="E1129">
        <v>2400</v>
      </c>
      <c r="F1129">
        <v>28</v>
      </c>
      <c r="G1129" s="21" t="s">
        <v>21</v>
      </c>
      <c r="H1129" s="21" t="s">
        <v>662</v>
      </c>
      <c r="I1129" s="21" t="s">
        <v>2879</v>
      </c>
    </row>
    <row r="1130" spans="1:9" x14ac:dyDescent="0.25">
      <c r="A1130" s="21" t="s">
        <v>2930</v>
      </c>
      <c r="B1130">
        <v>20</v>
      </c>
      <c r="C1130" s="21" t="s">
        <v>89</v>
      </c>
      <c r="D1130" s="21" t="s">
        <v>135</v>
      </c>
      <c r="E1130">
        <v>1960</v>
      </c>
      <c r="F1130">
        <v>28</v>
      </c>
      <c r="G1130" s="21" t="s">
        <v>21</v>
      </c>
      <c r="H1130" s="21" t="s">
        <v>627</v>
      </c>
      <c r="I1130" s="21" t="s">
        <v>2879</v>
      </c>
    </row>
    <row r="1131" spans="1:9" x14ac:dyDescent="0.25">
      <c r="A1131" s="21" t="s">
        <v>2931</v>
      </c>
      <c r="B1131">
        <v>83</v>
      </c>
      <c r="C1131" s="21" t="s">
        <v>10</v>
      </c>
      <c r="D1131" s="21" t="s">
        <v>54</v>
      </c>
      <c r="E1131">
        <v>1980</v>
      </c>
      <c r="G1131" s="21" t="s">
        <v>25</v>
      </c>
      <c r="H1131" s="21" t="s">
        <v>132</v>
      </c>
      <c r="I1131" s="21" t="s">
        <v>2879</v>
      </c>
    </row>
    <row r="1132" spans="1:9" x14ac:dyDescent="0.25">
      <c r="A1132" s="21" t="s">
        <v>2932</v>
      </c>
      <c r="B1132">
        <v>23</v>
      </c>
      <c r="C1132" s="21" t="s">
        <v>51</v>
      </c>
      <c r="D1132" s="21" t="s">
        <v>125</v>
      </c>
      <c r="E1132">
        <v>1950</v>
      </c>
      <c r="F1132">
        <v>28</v>
      </c>
      <c r="G1132" s="21" t="s">
        <v>38</v>
      </c>
      <c r="H1132" s="21" t="s">
        <v>1611</v>
      </c>
      <c r="I1132" s="21" t="s">
        <v>2879</v>
      </c>
    </row>
    <row r="1133" spans="1:9" x14ac:dyDescent="0.25">
      <c r="A1133" s="21" t="s">
        <v>2933</v>
      </c>
      <c r="B1133">
        <v>17</v>
      </c>
      <c r="C1133" s="21" t="s">
        <v>10</v>
      </c>
      <c r="D1133" s="21" t="s">
        <v>11</v>
      </c>
      <c r="E1133">
        <v>2100</v>
      </c>
      <c r="F1133">
        <v>26</v>
      </c>
      <c r="G1133" s="21" t="s">
        <v>16</v>
      </c>
      <c r="H1133" s="21" t="s">
        <v>36</v>
      </c>
      <c r="I1133" s="21" t="s">
        <v>2879</v>
      </c>
    </row>
    <row r="1134" spans="1:9" x14ac:dyDescent="0.25">
      <c r="A1134" s="21" t="s">
        <v>2934</v>
      </c>
      <c r="B1134">
        <v>19</v>
      </c>
      <c r="C1134" s="21" t="s">
        <v>10</v>
      </c>
      <c r="D1134" s="21" t="s">
        <v>54</v>
      </c>
      <c r="E1134">
        <v>1910</v>
      </c>
      <c r="F1134">
        <v>29</v>
      </c>
      <c r="G1134" s="21" t="s">
        <v>83</v>
      </c>
      <c r="H1134" s="21" t="s">
        <v>328</v>
      </c>
      <c r="I1134" s="21" t="s">
        <v>2879</v>
      </c>
    </row>
    <row r="1135" spans="1:9" x14ac:dyDescent="0.25">
      <c r="A1135" s="21" t="s">
        <v>2935</v>
      </c>
      <c r="B1135">
        <v>15</v>
      </c>
      <c r="C1135" s="21" t="s">
        <v>10</v>
      </c>
      <c r="D1135" s="21" t="s">
        <v>11</v>
      </c>
      <c r="E1135">
        <v>1900</v>
      </c>
      <c r="F1135">
        <v>23</v>
      </c>
      <c r="G1135" s="21" t="s">
        <v>30</v>
      </c>
      <c r="H1135" s="21" t="s">
        <v>204</v>
      </c>
      <c r="I1135" s="21" t="s">
        <v>2879</v>
      </c>
    </row>
    <row r="1136" spans="1:9" x14ac:dyDescent="0.25">
      <c r="A1136" s="21" t="s">
        <v>2936</v>
      </c>
      <c r="B1136">
        <v>67</v>
      </c>
      <c r="C1136" s="21" t="s">
        <v>140</v>
      </c>
      <c r="D1136" s="21" t="s">
        <v>20</v>
      </c>
      <c r="E1136">
        <v>3200</v>
      </c>
      <c r="F1136">
        <v>25</v>
      </c>
      <c r="G1136" s="21" t="s">
        <v>83</v>
      </c>
      <c r="H1136" s="21" t="s">
        <v>278</v>
      </c>
      <c r="I1136" s="21" t="s">
        <v>2879</v>
      </c>
    </row>
    <row r="1137" spans="1:9" x14ac:dyDescent="0.25">
      <c r="A1137" s="21" t="s">
        <v>3270</v>
      </c>
      <c r="B1137">
        <v>37</v>
      </c>
      <c r="C1137" s="21" t="s">
        <v>48</v>
      </c>
      <c r="D1137" s="21" t="s">
        <v>940</v>
      </c>
      <c r="G1137" s="21" t="s">
        <v>83</v>
      </c>
      <c r="H1137" s="21" t="s">
        <v>3271</v>
      </c>
      <c r="I1137" s="21" t="s">
        <v>2879</v>
      </c>
    </row>
    <row r="1138" spans="1:9" x14ac:dyDescent="0.25">
      <c r="A1138" s="21" t="s">
        <v>2937</v>
      </c>
      <c r="B1138">
        <v>68</v>
      </c>
      <c r="C1138" s="21" t="s">
        <v>277</v>
      </c>
      <c r="D1138" s="21" t="s">
        <v>67</v>
      </c>
      <c r="E1138">
        <v>3100</v>
      </c>
      <c r="F1138">
        <v>30</v>
      </c>
      <c r="G1138" s="21" t="s">
        <v>64</v>
      </c>
      <c r="H1138" s="21" t="s">
        <v>36</v>
      </c>
      <c r="I1138" s="21" t="s">
        <v>2879</v>
      </c>
    </row>
    <row r="1139" spans="1:9" x14ac:dyDescent="0.25">
      <c r="A1139" s="21" t="s">
        <v>2938</v>
      </c>
      <c r="B1139">
        <v>59</v>
      </c>
      <c r="C1139" s="21" t="s">
        <v>15</v>
      </c>
      <c r="D1139" s="21" t="s">
        <v>44</v>
      </c>
      <c r="E1139">
        <v>2250</v>
      </c>
      <c r="F1139">
        <v>23</v>
      </c>
      <c r="G1139" s="21" t="s">
        <v>25</v>
      </c>
      <c r="H1139" s="21" t="s">
        <v>2193</v>
      </c>
      <c r="I1139" s="21" t="s">
        <v>2879</v>
      </c>
    </row>
    <row r="1140" spans="1:9" x14ac:dyDescent="0.25">
      <c r="A1140" s="21" t="s">
        <v>2939</v>
      </c>
      <c r="B1140">
        <v>97</v>
      </c>
      <c r="C1140" s="21" t="s">
        <v>319</v>
      </c>
      <c r="D1140" s="21" t="s">
        <v>67</v>
      </c>
      <c r="E1140">
        <v>2650</v>
      </c>
      <c r="F1140">
        <v>30</v>
      </c>
      <c r="G1140" s="21" t="s">
        <v>45</v>
      </c>
      <c r="H1140" s="21" t="s">
        <v>940</v>
      </c>
      <c r="I1140" s="21" t="s">
        <v>2879</v>
      </c>
    </row>
    <row r="1141" spans="1:9" x14ac:dyDescent="0.25">
      <c r="A1141" s="21" t="s">
        <v>2940</v>
      </c>
      <c r="B1141">
        <v>91</v>
      </c>
      <c r="C1141" s="21" t="s">
        <v>319</v>
      </c>
      <c r="D1141" s="21" t="s">
        <v>35</v>
      </c>
      <c r="E1141">
        <v>2550</v>
      </c>
      <c r="F1141">
        <v>23</v>
      </c>
      <c r="G1141" s="21" t="s">
        <v>25</v>
      </c>
      <c r="H1141" s="21" t="s">
        <v>55</v>
      </c>
      <c r="I1141" s="21" t="s">
        <v>2879</v>
      </c>
    </row>
    <row r="1142" spans="1:9" x14ac:dyDescent="0.25">
      <c r="A1142" s="21" t="s">
        <v>2941</v>
      </c>
      <c r="B1142">
        <v>32</v>
      </c>
      <c r="C1142" s="21" t="s">
        <v>51</v>
      </c>
      <c r="D1142" s="21" t="s">
        <v>86</v>
      </c>
      <c r="E1142">
        <v>1950</v>
      </c>
      <c r="F1142">
        <v>22</v>
      </c>
      <c r="G1142" s="21" t="s">
        <v>30</v>
      </c>
      <c r="H1142" s="21" t="s">
        <v>504</v>
      </c>
      <c r="I1142" s="21" t="s">
        <v>2879</v>
      </c>
    </row>
    <row r="1143" spans="1:9" x14ac:dyDescent="0.25">
      <c r="A1143" s="21" t="s">
        <v>2942</v>
      </c>
      <c r="B1143">
        <v>75</v>
      </c>
      <c r="C1143" s="21" t="s">
        <v>277</v>
      </c>
      <c r="D1143" s="21" t="s">
        <v>35</v>
      </c>
      <c r="E1143">
        <v>3240</v>
      </c>
      <c r="F1143">
        <v>23</v>
      </c>
      <c r="G1143" s="21" t="s">
        <v>25</v>
      </c>
      <c r="H1143" s="21" t="s">
        <v>352</v>
      </c>
      <c r="I1143" s="21" t="s">
        <v>2879</v>
      </c>
    </row>
    <row r="1144" spans="1:9" x14ac:dyDescent="0.25">
      <c r="A1144" s="21" t="s">
        <v>2943</v>
      </c>
      <c r="B1144">
        <v>94</v>
      </c>
      <c r="C1144" s="21" t="s">
        <v>114</v>
      </c>
      <c r="D1144" s="21" t="s">
        <v>44</v>
      </c>
      <c r="E1144">
        <v>3200</v>
      </c>
      <c r="F1144">
        <v>25</v>
      </c>
      <c r="G1144" s="21" t="s">
        <v>45</v>
      </c>
      <c r="H1144" s="21" t="s">
        <v>233</v>
      </c>
      <c r="I1144" s="21" t="s">
        <v>2879</v>
      </c>
    </row>
    <row r="1145" spans="1:9" x14ac:dyDescent="0.25">
      <c r="A1145" s="21" t="s">
        <v>2944</v>
      </c>
      <c r="B1145">
        <v>39</v>
      </c>
      <c r="C1145" s="21" t="s">
        <v>89</v>
      </c>
      <c r="D1145" s="21" t="s">
        <v>54</v>
      </c>
      <c r="E1145">
        <v>2000</v>
      </c>
      <c r="F1145">
        <v>25</v>
      </c>
      <c r="G1145" s="21" t="s">
        <v>12</v>
      </c>
      <c r="H1145" s="21" t="s">
        <v>1577</v>
      </c>
      <c r="I1145" s="21" t="s">
        <v>2879</v>
      </c>
    </row>
    <row r="1146" spans="1:9" x14ac:dyDescent="0.25">
      <c r="A1146" s="21" t="s">
        <v>2945</v>
      </c>
      <c r="B1146">
        <v>80</v>
      </c>
      <c r="C1146" s="21" t="s">
        <v>57</v>
      </c>
      <c r="D1146" s="21" t="s">
        <v>29</v>
      </c>
      <c r="E1146">
        <v>2600</v>
      </c>
      <c r="F1146">
        <v>26</v>
      </c>
      <c r="G1146" s="21" t="s">
        <v>30</v>
      </c>
      <c r="H1146" s="21" t="s">
        <v>2946</v>
      </c>
      <c r="I1146" s="21" t="s">
        <v>2879</v>
      </c>
    </row>
    <row r="1147" spans="1:9" x14ac:dyDescent="0.25">
      <c r="A1147" s="21" t="s">
        <v>2947</v>
      </c>
      <c r="B1147">
        <v>8</v>
      </c>
      <c r="C1147" s="21" t="s">
        <v>51</v>
      </c>
      <c r="D1147" s="21" t="s">
        <v>52</v>
      </c>
      <c r="E1147">
        <v>2280</v>
      </c>
      <c r="F1147">
        <v>23</v>
      </c>
      <c r="G1147" s="21" t="s">
        <v>25</v>
      </c>
      <c r="H1147" s="21" t="s">
        <v>233</v>
      </c>
      <c r="I1147" s="21" t="s">
        <v>2879</v>
      </c>
    </row>
    <row r="1148" spans="1:9" x14ac:dyDescent="0.25">
      <c r="A1148" s="21" t="s">
        <v>2948</v>
      </c>
      <c r="C1148" s="21" t="s">
        <v>277</v>
      </c>
      <c r="D1148" s="21" t="s">
        <v>44</v>
      </c>
      <c r="E1148">
        <v>3240</v>
      </c>
      <c r="F1148">
        <v>22</v>
      </c>
      <c r="G1148" s="21" t="s">
        <v>25</v>
      </c>
      <c r="H1148" s="21" t="s">
        <v>187</v>
      </c>
      <c r="I1148" s="21" t="s">
        <v>2879</v>
      </c>
    </row>
    <row r="1149" spans="1:9" x14ac:dyDescent="0.25">
      <c r="A1149" s="21" t="s">
        <v>2949</v>
      </c>
      <c r="B1149">
        <v>88</v>
      </c>
      <c r="C1149" s="21" t="s">
        <v>57</v>
      </c>
      <c r="D1149" s="21" t="s">
        <v>29</v>
      </c>
      <c r="E1149">
        <v>2250</v>
      </c>
      <c r="F1149">
        <v>24</v>
      </c>
      <c r="G1149" s="21" t="s">
        <v>25</v>
      </c>
      <c r="H1149" s="21" t="s">
        <v>2282</v>
      </c>
      <c r="I1149" s="21" t="s">
        <v>2879</v>
      </c>
    </row>
    <row r="1150" spans="1:9" x14ac:dyDescent="0.25">
      <c r="A1150" s="21" t="s">
        <v>2950</v>
      </c>
      <c r="B1150">
        <v>57</v>
      </c>
      <c r="C1150" s="21" t="s">
        <v>319</v>
      </c>
      <c r="D1150" s="21" t="s">
        <v>44</v>
      </c>
      <c r="E1150">
        <v>2730</v>
      </c>
      <c r="F1150">
        <v>27</v>
      </c>
      <c r="G1150" s="21" t="s">
        <v>30</v>
      </c>
      <c r="H1150" s="21" t="s">
        <v>1341</v>
      </c>
      <c r="I1150" s="21" t="s">
        <v>2879</v>
      </c>
    </row>
    <row r="1151" spans="1:9" x14ac:dyDescent="0.25">
      <c r="A1151" s="21" t="s">
        <v>2951</v>
      </c>
      <c r="B1151">
        <v>73</v>
      </c>
      <c r="C1151" s="21" t="s">
        <v>184</v>
      </c>
      <c r="D1151" s="21" t="s">
        <v>35</v>
      </c>
      <c r="E1151">
        <v>3120</v>
      </c>
      <c r="F1151">
        <v>28</v>
      </c>
      <c r="G1151" s="21" t="s">
        <v>38</v>
      </c>
      <c r="H1151" s="21" t="s">
        <v>456</v>
      </c>
      <c r="I1151" s="21" t="s">
        <v>2879</v>
      </c>
    </row>
    <row r="1152" spans="1:9" x14ac:dyDescent="0.25">
      <c r="A1152" s="21" t="s">
        <v>2952</v>
      </c>
      <c r="B1152">
        <v>10</v>
      </c>
      <c r="C1152" s="21" t="s">
        <v>10</v>
      </c>
      <c r="D1152" s="21" t="s">
        <v>54</v>
      </c>
      <c r="E1152">
        <v>1950</v>
      </c>
      <c r="F1152">
        <v>25</v>
      </c>
      <c r="G1152" s="21" t="s">
        <v>38</v>
      </c>
      <c r="H1152" s="21" t="s">
        <v>36</v>
      </c>
      <c r="I1152" s="21" t="s">
        <v>2879</v>
      </c>
    </row>
    <row r="1153" spans="1:9" x14ac:dyDescent="0.25">
      <c r="A1153" s="21" t="s">
        <v>2953</v>
      </c>
      <c r="B1153">
        <v>71</v>
      </c>
      <c r="C1153" s="21" t="s">
        <v>277</v>
      </c>
      <c r="D1153" s="21" t="s">
        <v>35</v>
      </c>
      <c r="E1153">
        <v>3000</v>
      </c>
      <c r="F1153">
        <v>28</v>
      </c>
      <c r="G1153" s="21" t="s">
        <v>100</v>
      </c>
      <c r="H1153" s="21" t="s">
        <v>311</v>
      </c>
      <c r="I1153" s="21" t="s">
        <v>2879</v>
      </c>
    </row>
    <row r="1154" spans="1:9" x14ac:dyDescent="0.25">
      <c r="A1154" s="21" t="s">
        <v>2954</v>
      </c>
      <c r="B1154">
        <v>89</v>
      </c>
      <c r="C1154" s="21" t="s">
        <v>10</v>
      </c>
      <c r="D1154" s="21" t="s">
        <v>29</v>
      </c>
      <c r="E1154">
        <v>2200</v>
      </c>
      <c r="F1154">
        <v>26</v>
      </c>
      <c r="G1154" s="21" t="s">
        <v>45</v>
      </c>
      <c r="H1154" s="21" t="s">
        <v>233</v>
      </c>
      <c r="I1154" s="21" t="s">
        <v>2879</v>
      </c>
    </row>
    <row r="1155" spans="1:9" x14ac:dyDescent="0.25">
      <c r="A1155" s="21" t="s">
        <v>2955</v>
      </c>
      <c r="B1155">
        <v>6</v>
      </c>
      <c r="C1155" s="21" t="s">
        <v>76</v>
      </c>
      <c r="D1155" s="21" t="s">
        <v>54</v>
      </c>
      <c r="E1155">
        <v>2130</v>
      </c>
      <c r="F1155">
        <v>26</v>
      </c>
      <c r="G1155" s="21" t="s">
        <v>16</v>
      </c>
      <c r="H1155" s="21" t="s">
        <v>357</v>
      </c>
      <c r="I1155" s="21" t="s">
        <v>2879</v>
      </c>
    </row>
    <row r="1156" spans="1:9" x14ac:dyDescent="0.25">
      <c r="A1156" s="21" t="s">
        <v>2956</v>
      </c>
      <c r="B1156">
        <v>96</v>
      </c>
      <c r="C1156" s="21" t="s">
        <v>319</v>
      </c>
      <c r="D1156" s="21" t="s">
        <v>35</v>
      </c>
      <c r="E1156">
        <v>2650</v>
      </c>
      <c r="F1156">
        <v>24</v>
      </c>
      <c r="G1156" s="21" t="s">
        <v>12</v>
      </c>
      <c r="H1156" s="21" t="s">
        <v>106</v>
      </c>
      <c r="I1156" s="21" t="s">
        <v>2879</v>
      </c>
    </row>
    <row r="1157" spans="1:9" x14ac:dyDescent="0.25">
      <c r="A1157" s="21" t="s">
        <v>2957</v>
      </c>
      <c r="B1157">
        <v>25</v>
      </c>
      <c r="C1157" s="21" t="s">
        <v>48</v>
      </c>
      <c r="D1157" s="21" t="s">
        <v>44</v>
      </c>
      <c r="E1157">
        <v>2000</v>
      </c>
      <c r="F1157">
        <v>24</v>
      </c>
      <c r="G1157" s="21" t="s">
        <v>30</v>
      </c>
      <c r="H1157" s="21" t="s">
        <v>168</v>
      </c>
      <c r="I1157" s="21" t="s">
        <v>2879</v>
      </c>
    </row>
    <row r="1158" spans="1:9" x14ac:dyDescent="0.25">
      <c r="A1158" s="21" t="s">
        <v>3272</v>
      </c>
      <c r="B1158">
        <v>40</v>
      </c>
      <c r="C1158" s="21" t="s">
        <v>48</v>
      </c>
      <c r="D1158" s="21" t="s">
        <v>52</v>
      </c>
      <c r="E1158">
        <v>1880</v>
      </c>
      <c r="F1158">
        <v>27</v>
      </c>
      <c r="G1158" s="21" t="s">
        <v>83</v>
      </c>
      <c r="H1158" s="21" t="s">
        <v>98</v>
      </c>
      <c r="I1158" s="21" t="s">
        <v>2879</v>
      </c>
    </row>
    <row r="1159" spans="1:9" x14ac:dyDescent="0.25">
      <c r="A1159" s="21" t="s">
        <v>2958</v>
      </c>
      <c r="B1159">
        <v>90</v>
      </c>
      <c r="C1159" s="21" t="s">
        <v>319</v>
      </c>
      <c r="D1159" s="21" t="s">
        <v>67</v>
      </c>
      <c r="E1159">
        <v>2620</v>
      </c>
      <c r="F1159">
        <v>25</v>
      </c>
      <c r="G1159" s="21" t="s">
        <v>16</v>
      </c>
      <c r="H1159" s="21" t="s">
        <v>558</v>
      </c>
      <c r="I1159" s="21" t="s">
        <v>2879</v>
      </c>
    </row>
    <row r="1160" spans="1:9" x14ac:dyDescent="0.25">
      <c r="A1160" s="21" t="s">
        <v>2959</v>
      </c>
      <c r="B1160">
        <v>82</v>
      </c>
      <c r="C1160" s="21" t="s">
        <v>57</v>
      </c>
      <c r="D1160" s="21" t="s">
        <v>67</v>
      </c>
      <c r="E1160">
        <v>2500</v>
      </c>
      <c r="F1160">
        <v>31</v>
      </c>
      <c r="G1160" s="21" t="s">
        <v>21</v>
      </c>
      <c r="H1160" s="21" t="s">
        <v>357</v>
      </c>
      <c r="I1160" s="21" t="s">
        <v>2879</v>
      </c>
    </row>
    <row r="1161" spans="1:9" x14ac:dyDescent="0.25">
      <c r="A1161" s="21" t="s">
        <v>2960</v>
      </c>
      <c r="B1161">
        <v>58</v>
      </c>
      <c r="C1161" s="21" t="s">
        <v>319</v>
      </c>
      <c r="D1161" s="21" t="s">
        <v>24</v>
      </c>
      <c r="E1161">
        <v>2380</v>
      </c>
      <c r="F1161">
        <v>24</v>
      </c>
      <c r="G1161" s="21" t="s">
        <v>30</v>
      </c>
      <c r="H1161" s="21" t="s">
        <v>3251</v>
      </c>
      <c r="I1161" s="21" t="s">
        <v>2879</v>
      </c>
    </row>
    <row r="1162" spans="1:9" x14ac:dyDescent="0.25">
      <c r="A1162" s="21" t="s">
        <v>2961</v>
      </c>
      <c r="B1162">
        <v>95</v>
      </c>
      <c r="C1162" s="21" t="s">
        <v>319</v>
      </c>
      <c r="D1162" s="21" t="s">
        <v>29</v>
      </c>
      <c r="E1162">
        <v>2540</v>
      </c>
      <c r="F1162">
        <v>25</v>
      </c>
      <c r="G1162" s="21" t="s">
        <v>12</v>
      </c>
      <c r="H1162" s="21" t="s">
        <v>165</v>
      </c>
      <c r="I1162" s="21" t="s">
        <v>2879</v>
      </c>
    </row>
    <row r="1163" spans="1:9" x14ac:dyDescent="0.25">
      <c r="A1163" s="21" t="s">
        <v>2962</v>
      </c>
      <c r="B1163">
        <v>61</v>
      </c>
      <c r="C1163" s="21" t="s">
        <v>184</v>
      </c>
      <c r="D1163" s="21" t="s">
        <v>29</v>
      </c>
      <c r="E1163">
        <v>3080</v>
      </c>
      <c r="F1163">
        <v>28</v>
      </c>
      <c r="G1163" s="21" t="s">
        <v>30</v>
      </c>
      <c r="H1163" s="21" t="s">
        <v>683</v>
      </c>
      <c r="I1163" s="21" t="s">
        <v>2879</v>
      </c>
    </row>
    <row r="1164" spans="1:9" x14ac:dyDescent="0.25">
      <c r="A1164" s="21" t="s">
        <v>2963</v>
      </c>
      <c r="B1164">
        <v>85</v>
      </c>
      <c r="C1164" s="21" t="s">
        <v>57</v>
      </c>
      <c r="D1164" s="21" t="s">
        <v>67</v>
      </c>
      <c r="E1164">
        <v>2400</v>
      </c>
      <c r="F1164">
        <v>22</v>
      </c>
      <c r="G1164" s="21" t="s">
        <v>25</v>
      </c>
      <c r="H1164" s="21" t="s">
        <v>1074</v>
      </c>
      <c r="I1164" s="21" t="s">
        <v>2879</v>
      </c>
    </row>
    <row r="1165" spans="1:9" x14ac:dyDescent="0.25">
      <c r="A1165" s="21" t="s">
        <v>2964</v>
      </c>
      <c r="B1165">
        <v>53</v>
      </c>
      <c r="C1165" s="21" t="s">
        <v>277</v>
      </c>
      <c r="D1165" s="21" t="s">
        <v>44</v>
      </c>
      <c r="E1165">
        <v>3200</v>
      </c>
      <c r="F1165">
        <v>29</v>
      </c>
      <c r="G1165" s="21" t="s">
        <v>64</v>
      </c>
      <c r="H1165" s="21" t="s">
        <v>267</v>
      </c>
      <c r="I1165" s="21" t="s">
        <v>2879</v>
      </c>
    </row>
    <row r="1166" spans="1:9" x14ac:dyDescent="0.25">
      <c r="A1166" s="21" t="s">
        <v>2965</v>
      </c>
      <c r="C1166" s="21" t="s">
        <v>15</v>
      </c>
      <c r="D1166" s="21" t="s">
        <v>52</v>
      </c>
      <c r="E1166">
        <v>2400</v>
      </c>
      <c r="G1166" s="21" t="s">
        <v>25</v>
      </c>
      <c r="H1166" s="21" t="s">
        <v>786</v>
      </c>
      <c r="I1166" s="21" t="s">
        <v>2879</v>
      </c>
    </row>
    <row r="1167" spans="1:9" x14ac:dyDescent="0.25">
      <c r="A1167" s="21" t="s">
        <v>2966</v>
      </c>
      <c r="B1167">
        <v>5</v>
      </c>
      <c r="C1167" s="21" t="s">
        <v>193</v>
      </c>
      <c r="D1167" s="21" t="s">
        <v>52</v>
      </c>
      <c r="E1167">
        <v>2200</v>
      </c>
      <c r="F1167">
        <v>32</v>
      </c>
      <c r="G1167" s="21" t="s">
        <v>64</v>
      </c>
      <c r="H1167" s="21" t="s">
        <v>187</v>
      </c>
      <c r="I1167" s="21" t="s">
        <v>2879</v>
      </c>
    </row>
    <row r="1168" spans="1:9" x14ac:dyDescent="0.25">
      <c r="A1168" s="21" t="s">
        <v>2967</v>
      </c>
      <c r="B1168">
        <v>11</v>
      </c>
      <c r="C1168" s="21" t="s">
        <v>70</v>
      </c>
      <c r="D1168" s="21" t="s">
        <v>29</v>
      </c>
      <c r="E1168">
        <v>2370</v>
      </c>
      <c r="F1168">
        <v>29</v>
      </c>
      <c r="G1168" s="21" t="s">
        <v>100</v>
      </c>
      <c r="H1168" s="21" t="s">
        <v>122</v>
      </c>
      <c r="I1168" s="21" t="s">
        <v>2879</v>
      </c>
    </row>
    <row r="1169" spans="1:9" x14ac:dyDescent="0.25">
      <c r="A1169" s="21" t="s">
        <v>2968</v>
      </c>
      <c r="B1169">
        <v>50</v>
      </c>
      <c r="C1169" s="21" t="s">
        <v>15</v>
      </c>
      <c r="D1169" s="21" t="s">
        <v>11</v>
      </c>
      <c r="E1169">
        <v>2280</v>
      </c>
      <c r="F1169">
        <v>23</v>
      </c>
      <c r="G1169" s="21" t="s">
        <v>25</v>
      </c>
      <c r="H1169" s="21" t="s">
        <v>31</v>
      </c>
      <c r="I1169" s="21" t="s">
        <v>2879</v>
      </c>
    </row>
    <row r="1170" spans="1:9" x14ac:dyDescent="0.25">
      <c r="A1170" s="21" t="s">
        <v>2969</v>
      </c>
      <c r="C1170" s="21" t="s">
        <v>51</v>
      </c>
      <c r="D1170" s="21" t="s">
        <v>11</v>
      </c>
      <c r="E1170">
        <v>2170</v>
      </c>
      <c r="F1170">
        <v>28</v>
      </c>
      <c r="G1170" s="21" t="s">
        <v>38</v>
      </c>
      <c r="H1170" s="21" t="s">
        <v>80</v>
      </c>
      <c r="I1170" s="21" t="s">
        <v>2879</v>
      </c>
    </row>
    <row r="1171" spans="1:9" x14ac:dyDescent="0.25">
      <c r="A1171" s="21" t="s">
        <v>2970</v>
      </c>
      <c r="B1171">
        <v>92</v>
      </c>
      <c r="C1171" s="21" t="s">
        <v>319</v>
      </c>
      <c r="D1171" s="21" t="s">
        <v>44</v>
      </c>
      <c r="E1171">
        <v>2850</v>
      </c>
      <c r="F1171">
        <v>26</v>
      </c>
      <c r="G1171" s="21" t="s">
        <v>30</v>
      </c>
      <c r="H1171" s="21" t="s">
        <v>1047</v>
      </c>
      <c r="I1171" s="21" t="s">
        <v>2879</v>
      </c>
    </row>
    <row r="1172" spans="1:9" x14ac:dyDescent="0.25">
      <c r="A1172" s="21" t="s">
        <v>2971</v>
      </c>
      <c r="B1172">
        <v>99</v>
      </c>
      <c r="C1172" s="21" t="s">
        <v>319</v>
      </c>
      <c r="D1172" s="21" t="s">
        <v>29</v>
      </c>
      <c r="E1172">
        <v>2640</v>
      </c>
      <c r="F1172">
        <v>23</v>
      </c>
      <c r="G1172" s="21" t="s">
        <v>12</v>
      </c>
      <c r="H1172" s="21" t="s">
        <v>36</v>
      </c>
      <c r="I1172" s="21" t="s">
        <v>2879</v>
      </c>
    </row>
    <row r="1173" spans="1:9" x14ac:dyDescent="0.25">
      <c r="A1173" s="21" t="s">
        <v>2606</v>
      </c>
      <c r="B1173">
        <v>60</v>
      </c>
      <c r="C1173" s="21" t="s">
        <v>140</v>
      </c>
      <c r="D1173" s="21" t="s">
        <v>20</v>
      </c>
      <c r="E1173">
        <v>320</v>
      </c>
      <c r="F1173">
        <v>24</v>
      </c>
      <c r="G1173" s="21" t="s">
        <v>83</v>
      </c>
      <c r="H1173" s="21" t="s">
        <v>2607</v>
      </c>
      <c r="I1173" s="21" t="s">
        <v>2605</v>
      </c>
    </row>
    <row r="1174" spans="1:9" x14ac:dyDescent="0.25">
      <c r="A1174" s="21" t="s">
        <v>2608</v>
      </c>
      <c r="B1174">
        <v>5</v>
      </c>
      <c r="C1174" s="21" t="s">
        <v>193</v>
      </c>
      <c r="D1174" s="21" t="s">
        <v>44</v>
      </c>
      <c r="E1174">
        <v>202</v>
      </c>
      <c r="F1174">
        <v>33</v>
      </c>
      <c r="G1174" s="21" t="s">
        <v>254</v>
      </c>
      <c r="H1174" s="21" t="s">
        <v>226</v>
      </c>
      <c r="I1174" s="21" t="s">
        <v>2605</v>
      </c>
    </row>
    <row r="1175" spans="1:9" x14ac:dyDescent="0.25">
      <c r="A1175" s="21" t="s">
        <v>2609</v>
      </c>
      <c r="B1175">
        <v>92</v>
      </c>
      <c r="C1175" s="21" t="s">
        <v>319</v>
      </c>
      <c r="D1175" s="21" t="s">
        <v>35</v>
      </c>
      <c r="E1175">
        <v>255</v>
      </c>
      <c r="F1175">
        <v>25</v>
      </c>
      <c r="G1175" s="21" t="s">
        <v>45</v>
      </c>
      <c r="H1175" s="21" t="s">
        <v>1047</v>
      </c>
      <c r="I1175" s="21" t="s">
        <v>2605</v>
      </c>
    </row>
    <row r="1176" spans="1:9" x14ac:dyDescent="0.25">
      <c r="A1176" s="21" t="s">
        <v>2610</v>
      </c>
      <c r="B1176">
        <v>75</v>
      </c>
      <c r="C1176" s="21" t="s">
        <v>140</v>
      </c>
      <c r="D1176" s="21" t="s">
        <v>141</v>
      </c>
      <c r="E1176">
        <v>304</v>
      </c>
      <c r="F1176">
        <v>24</v>
      </c>
      <c r="G1176" s="21" t="s">
        <v>30</v>
      </c>
      <c r="H1176" s="21" t="s">
        <v>705</v>
      </c>
      <c r="I1176" s="21" t="s">
        <v>2605</v>
      </c>
    </row>
    <row r="1177" spans="1:9" x14ac:dyDescent="0.25">
      <c r="A1177" s="21" t="s">
        <v>2611</v>
      </c>
      <c r="B1177">
        <v>93</v>
      </c>
      <c r="C1177" s="21" t="s">
        <v>319</v>
      </c>
      <c r="D1177" s="21" t="s">
        <v>35</v>
      </c>
      <c r="E1177">
        <v>266</v>
      </c>
      <c r="F1177">
        <v>28</v>
      </c>
      <c r="G1177" s="21" t="s">
        <v>38</v>
      </c>
      <c r="H1177" s="21" t="s">
        <v>2282</v>
      </c>
      <c r="I1177" s="21" t="s">
        <v>2605</v>
      </c>
    </row>
    <row r="1178" spans="1:9" x14ac:dyDescent="0.25">
      <c r="A1178" s="21" t="s">
        <v>2612</v>
      </c>
      <c r="B1178">
        <v>41</v>
      </c>
      <c r="C1178" s="21" t="s">
        <v>89</v>
      </c>
      <c r="D1178" s="21" t="s">
        <v>44</v>
      </c>
      <c r="E1178">
        <v>205</v>
      </c>
      <c r="F1178">
        <v>23</v>
      </c>
      <c r="G1178" s="21" t="s">
        <v>25</v>
      </c>
      <c r="H1178" s="21" t="s">
        <v>2613</v>
      </c>
      <c r="I1178" s="21" t="s">
        <v>2605</v>
      </c>
    </row>
    <row r="1179" spans="1:9" x14ac:dyDescent="0.25">
      <c r="A1179" s="21" t="s">
        <v>2614</v>
      </c>
      <c r="B1179">
        <v>63</v>
      </c>
      <c r="C1179" s="21" t="s">
        <v>184</v>
      </c>
      <c r="D1179" s="21" t="s">
        <v>44</v>
      </c>
      <c r="E1179">
        <v>316</v>
      </c>
      <c r="F1179">
        <v>24</v>
      </c>
      <c r="G1179" s="21" t="s">
        <v>12</v>
      </c>
      <c r="H1179" s="21" t="s">
        <v>68</v>
      </c>
      <c r="I1179" s="21" t="s">
        <v>2605</v>
      </c>
    </row>
    <row r="1180" spans="1:9" x14ac:dyDescent="0.25">
      <c r="A1180" s="21" t="s">
        <v>2615</v>
      </c>
      <c r="B1180">
        <v>30</v>
      </c>
      <c r="C1180" s="21" t="s">
        <v>48</v>
      </c>
      <c r="D1180" s="21" t="s">
        <v>11</v>
      </c>
      <c r="E1180">
        <v>197</v>
      </c>
      <c r="F1180">
        <v>23</v>
      </c>
      <c r="G1180" s="21" t="s">
        <v>25</v>
      </c>
      <c r="H1180" s="21" t="s">
        <v>26</v>
      </c>
      <c r="I1180" s="21" t="s">
        <v>2605</v>
      </c>
    </row>
    <row r="1181" spans="1:9" x14ac:dyDescent="0.25">
      <c r="A1181" s="21" t="s">
        <v>2616</v>
      </c>
      <c r="B1181">
        <v>98</v>
      </c>
      <c r="C1181" s="21" t="s">
        <v>114</v>
      </c>
      <c r="D1181" s="21" t="s">
        <v>35</v>
      </c>
      <c r="E1181">
        <v>360</v>
      </c>
      <c r="F1181">
        <v>23</v>
      </c>
      <c r="G1181" s="21" t="s">
        <v>30</v>
      </c>
      <c r="H1181" s="21" t="s">
        <v>683</v>
      </c>
      <c r="I1181" s="21" t="s">
        <v>2605</v>
      </c>
    </row>
    <row r="1182" spans="1:9" x14ac:dyDescent="0.25">
      <c r="A1182" s="21" t="s">
        <v>2617</v>
      </c>
      <c r="B1182">
        <v>51</v>
      </c>
      <c r="C1182" s="21" t="s">
        <v>15</v>
      </c>
      <c r="D1182" s="21" t="s">
        <v>52</v>
      </c>
      <c r="E1182">
        <v>236</v>
      </c>
      <c r="F1182">
        <v>29</v>
      </c>
      <c r="G1182" s="21" t="s">
        <v>45</v>
      </c>
      <c r="H1182" s="21" t="s">
        <v>187</v>
      </c>
      <c r="I1182" s="21" t="s">
        <v>2605</v>
      </c>
    </row>
    <row r="1183" spans="1:9" x14ac:dyDescent="0.25">
      <c r="A1183" s="21" t="s">
        <v>2618</v>
      </c>
      <c r="B1183">
        <v>94</v>
      </c>
      <c r="C1183" s="21" t="s">
        <v>114</v>
      </c>
      <c r="D1183" s="21" t="s">
        <v>44</v>
      </c>
      <c r="E1183">
        <v>300</v>
      </c>
      <c r="F1183">
        <v>25</v>
      </c>
      <c r="G1183" s="21" t="s">
        <v>30</v>
      </c>
      <c r="H1183" s="21" t="s">
        <v>274</v>
      </c>
      <c r="I1183" s="21" t="s">
        <v>2605</v>
      </c>
    </row>
    <row r="1184" spans="1:9" x14ac:dyDescent="0.25">
      <c r="A1184" s="21" t="s">
        <v>1947</v>
      </c>
      <c r="B1184">
        <v>3</v>
      </c>
      <c r="C1184" s="21" t="s">
        <v>48</v>
      </c>
      <c r="D1184" s="21" t="s">
        <v>54</v>
      </c>
      <c r="E1184">
        <v>196</v>
      </c>
      <c r="F1184">
        <v>28</v>
      </c>
      <c r="G1184" s="21" t="s">
        <v>100</v>
      </c>
      <c r="H1184" s="21" t="s">
        <v>400</v>
      </c>
      <c r="I1184" s="21" t="s">
        <v>2605</v>
      </c>
    </row>
    <row r="1185" spans="1:9" x14ac:dyDescent="0.25">
      <c r="A1185" s="21" t="s">
        <v>2619</v>
      </c>
      <c r="B1185">
        <v>26</v>
      </c>
      <c r="C1185" s="21" t="s">
        <v>48</v>
      </c>
      <c r="D1185" s="21" t="s">
        <v>52</v>
      </c>
      <c r="E1185">
        <v>195</v>
      </c>
      <c r="F1185">
        <v>26</v>
      </c>
      <c r="G1185" s="21" t="s">
        <v>12</v>
      </c>
      <c r="H1185" s="21" t="s">
        <v>996</v>
      </c>
      <c r="I1185" s="21" t="s">
        <v>2605</v>
      </c>
    </row>
    <row r="1186" spans="1:9" x14ac:dyDescent="0.25">
      <c r="A1186" s="21" t="s">
        <v>2620</v>
      </c>
      <c r="B1186">
        <v>85</v>
      </c>
      <c r="C1186" s="21" t="s">
        <v>10</v>
      </c>
      <c r="D1186" s="21" t="s">
        <v>24</v>
      </c>
      <c r="E1186">
        <v>225</v>
      </c>
      <c r="F1186">
        <v>26</v>
      </c>
      <c r="G1186" s="21" t="s">
        <v>38</v>
      </c>
      <c r="H1186" s="21" t="s">
        <v>36</v>
      </c>
      <c r="I1186" s="21" t="s">
        <v>2605</v>
      </c>
    </row>
    <row r="1187" spans="1:9" x14ac:dyDescent="0.25">
      <c r="A1187" s="21" t="s">
        <v>2621</v>
      </c>
      <c r="B1187">
        <v>59</v>
      </c>
      <c r="C1187" s="21" t="s">
        <v>114</v>
      </c>
      <c r="D1187" s="21" t="s">
        <v>35</v>
      </c>
      <c r="E1187">
        <v>254</v>
      </c>
      <c r="G1187" s="21" t="s">
        <v>25</v>
      </c>
      <c r="H1187" s="21" t="s">
        <v>3254</v>
      </c>
      <c r="I1187" s="21" t="s">
        <v>2605</v>
      </c>
    </row>
    <row r="1188" spans="1:9" x14ac:dyDescent="0.25">
      <c r="A1188" s="21" t="s">
        <v>2622</v>
      </c>
      <c r="B1188">
        <v>89</v>
      </c>
      <c r="C1188" s="21" t="s">
        <v>57</v>
      </c>
      <c r="D1188" s="21" t="s">
        <v>20</v>
      </c>
      <c r="E1188">
        <v>255</v>
      </c>
      <c r="F1188">
        <v>26</v>
      </c>
      <c r="G1188" s="21" t="s">
        <v>83</v>
      </c>
      <c r="H1188" s="21" t="s">
        <v>226</v>
      </c>
      <c r="I1188" s="21" t="s">
        <v>2605</v>
      </c>
    </row>
    <row r="1189" spans="1:9" x14ac:dyDescent="0.25">
      <c r="A1189" s="21" t="s">
        <v>2623</v>
      </c>
      <c r="B1189">
        <v>53</v>
      </c>
      <c r="C1189" s="21" t="s">
        <v>15</v>
      </c>
      <c r="D1189" s="21" t="s">
        <v>44</v>
      </c>
      <c r="E1189">
        <v>240</v>
      </c>
      <c r="F1189">
        <v>22</v>
      </c>
      <c r="G1189" s="21" t="s">
        <v>25</v>
      </c>
      <c r="H1189" s="21" t="s">
        <v>267</v>
      </c>
      <c r="I1189" s="21" t="s">
        <v>2605</v>
      </c>
    </row>
    <row r="1190" spans="1:9" x14ac:dyDescent="0.25">
      <c r="A1190" s="21" t="s">
        <v>2624</v>
      </c>
      <c r="B1190">
        <v>76</v>
      </c>
      <c r="C1190" s="21" t="s">
        <v>140</v>
      </c>
      <c r="D1190" s="21" t="s">
        <v>35</v>
      </c>
      <c r="E1190">
        <v>292</v>
      </c>
      <c r="F1190">
        <v>29</v>
      </c>
      <c r="G1190" s="21" t="s">
        <v>16</v>
      </c>
      <c r="H1190" s="21" t="s">
        <v>618</v>
      </c>
      <c r="I1190" s="21" t="s">
        <v>2605</v>
      </c>
    </row>
    <row r="1191" spans="1:9" x14ac:dyDescent="0.25">
      <c r="A1191" s="21" t="s">
        <v>2625</v>
      </c>
      <c r="B1191">
        <v>14</v>
      </c>
      <c r="C1191" s="21" t="s">
        <v>15</v>
      </c>
      <c r="D1191" s="21" t="s">
        <v>44</v>
      </c>
      <c r="E1191">
        <v>233</v>
      </c>
      <c r="F1191">
        <v>24</v>
      </c>
      <c r="G1191" s="21" t="s">
        <v>30</v>
      </c>
      <c r="H1191" s="21" t="s">
        <v>267</v>
      </c>
      <c r="I1191" s="21" t="s">
        <v>2605</v>
      </c>
    </row>
    <row r="1192" spans="1:9" x14ac:dyDescent="0.25">
      <c r="A1192" s="21" t="s">
        <v>2626</v>
      </c>
      <c r="B1192">
        <v>31</v>
      </c>
      <c r="C1192" s="21" t="s">
        <v>89</v>
      </c>
      <c r="D1192" s="21" t="s">
        <v>52</v>
      </c>
      <c r="E1192">
        <v>209</v>
      </c>
      <c r="F1192">
        <v>23</v>
      </c>
      <c r="G1192" s="21" t="s">
        <v>83</v>
      </c>
      <c r="H1192" s="21" t="s">
        <v>400</v>
      </c>
      <c r="I1192" s="21" t="s">
        <v>2605</v>
      </c>
    </row>
    <row r="1193" spans="1:9" x14ac:dyDescent="0.25">
      <c r="A1193" s="21" t="s">
        <v>2627</v>
      </c>
      <c r="B1193">
        <v>34</v>
      </c>
      <c r="C1193" s="21" t="s">
        <v>51</v>
      </c>
      <c r="D1193" s="21" t="s">
        <v>54</v>
      </c>
      <c r="E1193">
        <v>202</v>
      </c>
      <c r="G1193" s="21" t="s">
        <v>25</v>
      </c>
      <c r="H1193" s="21" t="s">
        <v>251</v>
      </c>
      <c r="I1193" s="21" t="s">
        <v>2605</v>
      </c>
    </row>
    <row r="1194" spans="1:9" x14ac:dyDescent="0.25">
      <c r="A1194" s="21" t="s">
        <v>2628</v>
      </c>
      <c r="B1194">
        <v>7</v>
      </c>
      <c r="C1194" s="21" t="s">
        <v>48</v>
      </c>
      <c r="D1194" s="21" t="s">
        <v>24</v>
      </c>
      <c r="E1194">
        <v>195</v>
      </c>
      <c r="F1194">
        <v>23</v>
      </c>
      <c r="G1194" s="21" t="s">
        <v>12</v>
      </c>
      <c r="H1194" s="21" t="s">
        <v>233</v>
      </c>
      <c r="I1194" s="21" t="s">
        <v>2605</v>
      </c>
    </row>
    <row r="1195" spans="1:9" x14ac:dyDescent="0.25">
      <c r="A1195" s="21" t="s">
        <v>2629</v>
      </c>
      <c r="B1195">
        <v>17</v>
      </c>
      <c r="C1195" s="21" t="s">
        <v>70</v>
      </c>
      <c r="D1195" s="21" t="s">
        <v>44</v>
      </c>
      <c r="E1195">
        <v>209</v>
      </c>
      <c r="F1195">
        <v>25</v>
      </c>
      <c r="G1195" s="21" t="s">
        <v>30</v>
      </c>
      <c r="H1195" s="21" t="s">
        <v>288</v>
      </c>
      <c r="I1195" s="21" t="s">
        <v>2605</v>
      </c>
    </row>
    <row r="1196" spans="1:9" x14ac:dyDescent="0.25">
      <c r="A1196" s="21" t="s">
        <v>2630</v>
      </c>
      <c r="B1196">
        <v>23</v>
      </c>
      <c r="C1196" s="21" t="s">
        <v>51</v>
      </c>
      <c r="D1196" s="21" t="s">
        <v>11</v>
      </c>
      <c r="E1196">
        <v>215</v>
      </c>
      <c r="F1196">
        <v>24</v>
      </c>
      <c r="G1196" s="21" t="s">
        <v>12</v>
      </c>
      <c r="H1196" s="21" t="s">
        <v>115</v>
      </c>
      <c r="I1196" s="21" t="s">
        <v>2605</v>
      </c>
    </row>
    <row r="1197" spans="1:9" x14ac:dyDescent="0.25">
      <c r="A1197" s="21" t="s">
        <v>2631</v>
      </c>
      <c r="B1197">
        <v>19</v>
      </c>
      <c r="C1197" s="21" t="s">
        <v>10</v>
      </c>
      <c r="D1197" s="21" t="s">
        <v>52</v>
      </c>
      <c r="E1197">
        <v>220</v>
      </c>
      <c r="F1197">
        <v>24</v>
      </c>
      <c r="G1197" s="21" t="s">
        <v>25</v>
      </c>
      <c r="H1197" s="21" t="s">
        <v>516</v>
      </c>
      <c r="I1197" s="21" t="s">
        <v>2605</v>
      </c>
    </row>
    <row r="1198" spans="1:9" x14ac:dyDescent="0.25">
      <c r="A1198" s="21" t="s">
        <v>2632</v>
      </c>
      <c r="B1198">
        <v>21</v>
      </c>
      <c r="C1198" s="21" t="s">
        <v>51</v>
      </c>
      <c r="D1198" s="21" t="s">
        <v>11</v>
      </c>
      <c r="E1198">
        <v>228</v>
      </c>
      <c r="F1198">
        <v>27</v>
      </c>
      <c r="G1198" s="21" t="s">
        <v>100</v>
      </c>
      <c r="H1198" s="21" t="s">
        <v>36</v>
      </c>
      <c r="I1198" s="21" t="s">
        <v>2605</v>
      </c>
    </row>
    <row r="1199" spans="1:9" x14ac:dyDescent="0.25">
      <c r="A1199" s="21" t="s">
        <v>2633</v>
      </c>
      <c r="B1199">
        <v>64</v>
      </c>
      <c r="C1199" s="21" t="s">
        <v>184</v>
      </c>
      <c r="D1199" s="21" t="s">
        <v>44</v>
      </c>
      <c r="E1199">
        <v>297</v>
      </c>
      <c r="F1199">
        <v>25</v>
      </c>
      <c r="G1199" s="21" t="s">
        <v>25</v>
      </c>
      <c r="H1199" s="21" t="s">
        <v>204</v>
      </c>
      <c r="I1199" s="21" t="s">
        <v>2605</v>
      </c>
    </row>
    <row r="1200" spans="1:9" x14ac:dyDescent="0.25">
      <c r="A1200" s="21" t="s">
        <v>2634</v>
      </c>
      <c r="B1200">
        <v>58</v>
      </c>
      <c r="C1200" s="21" t="s">
        <v>114</v>
      </c>
      <c r="D1200" s="21" t="s">
        <v>44</v>
      </c>
      <c r="E1200">
        <v>292</v>
      </c>
      <c r="F1200">
        <v>23</v>
      </c>
      <c r="G1200" s="21" t="s">
        <v>83</v>
      </c>
      <c r="H1200" s="21" t="s">
        <v>22</v>
      </c>
      <c r="I1200" s="21" t="s">
        <v>2605</v>
      </c>
    </row>
    <row r="1201" spans="1:9" x14ac:dyDescent="0.25">
      <c r="A1201" s="21" t="s">
        <v>2635</v>
      </c>
      <c r="B1201">
        <v>68</v>
      </c>
      <c r="C1201" s="21" t="s">
        <v>277</v>
      </c>
      <c r="D1201" s="21" t="s">
        <v>29</v>
      </c>
      <c r="E1201">
        <v>311</v>
      </c>
      <c r="F1201">
        <v>24</v>
      </c>
      <c r="G1201" s="21" t="s">
        <v>30</v>
      </c>
      <c r="H1201" s="21" t="s">
        <v>556</v>
      </c>
      <c r="I1201" s="21" t="s">
        <v>2605</v>
      </c>
    </row>
    <row r="1202" spans="1:9" x14ac:dyDescent="0.25">
      <c r="A1202" s="21" t="s">
        <v>2636</v>
      </c>
      <c r="B1202">
        <v>81</v>
      </c>
      <c r="C1202" s="21" t="s">
        <v>10</v>
      </c>
      <c r="D1202" s="21" t="s">
        <v>44</v>
      </c>
      <c r="E1202">
        <v>220</v>
      </c>
      <c r="F1202">
        <v>24</v>
      </c>
      <c r="G1202" s="21" t="s">
        <v>30</v>
      </c>
      <c r="H1202" s="21" t="s">
        <v>165</v>
      </c>
      <c r="I1202" s="21" t="s">
        <v>2605</v>
      </c>
    </row>
    <row r="1203" spans="1:9" x14ac:dyDescent="0.25">
      <c r="A1203" s="21" t="s">
        <v>2637</v>
      </c>
      <c r="B1203">
        <v>48</v>
      </c>
      <c r="C1203" s="21" t="s">
        <v>57</v>
      </c>
      <c r="D1203" s="21" t="s">
        <v>29</v>
      </c>
      <c r="E1203">
        <v>244</v>
      </c>
      <c r="F1203">
        <v>23</v>
      </c>
      <c r="G1203" s="21" t="s">
        <v>25</v>
      </c>
      <c r="H1203" s="21" t="s">
        <v>68</v>
      </c>
      <c r="I1203" s="21" t="s">
        <v>2605</v>
      </c>
    </row>
    <row r="1204" spans="1:9" x14ac:dyDescent="0.25">
      <c r="A1204" s="21" t="s">
        <v>2638</v>
      </c>
      <c r="B1204">
        <v>56</v>
      </c>
      <c r="C1204" s="21" t="s">
        <v>319</v>
      </c>
      <c r="D1204" s="21" t="s">
        <v>44</v>
      </c>
      <c r="E1204">
        <v>261</v>
      </c>
      <c r="F1204">
        <v>27</v>
      </c>
      <c r="G1204" s="21" t="s">
        <v>21</v>
      </c>
      <c r="H1204" s="21" t="s">
        <v>251</v>
      </c>
      <c r="I1204" s="21" t="s">
        <v>2605</v>
      </c>
    </row>
    <row r="1205" spans="1:9" x14ac:dyDescent="0.25">
      <c r="A1205" s="21" t="s">
        <v>2639</v>
      </c>
      <c r="B1205">
        <v>14</v>
      </c>
      <c r="C1205" s="21" t="s">
        <v>10</v>
      </c>
      <c r="D1205" s="21" t="s">
        <v>52</v>
      </c>
      <c r="E1205">
        <v>205</v>
      </c>
      <c r="F1205">
        <v>23</v>
      </c>
      <c r="G1205" s="21" t="s">
        <v>25</v>
      </c>
      <c r="H1205" s="21" t="s">
        <v>138</v>
      </c>
      <c r="I1205" s="21" t="s">
        <v>2605</v>
      </c>
    </row>
    <row r="1206" spans="1:9" x14ac:dyDescent="0.25">
      <c r="A1206" s="21" t="s">
        <v>2640</v>
      </c>
      <c r="B1206">
        <v>96</v>
      </c>
      <c r="C1206" s="21" t="s">
        <v>114</v>
      </c>
      <c r="D1206" s="21" t="s">
        <v>24</v>
      </c>
      <c r="E1206">
        <v>302</v>
      </c>
      <c r="F1206">
        <v>25</v>
      </c>
      <c r="G1206" s="21" t="s">
        <v>12</v>
      </c>
      <c r="H1206" s="21" t="s">
        <v>187</v>
      </c>
      <c r="I1206" s="21" t="s">
        <v>2605</v>
      </c>
    </row>
    <row r="1207" spans="1:9" x14ac:dyDescent="0.25">
      <c r="A1207" s="21" t="s">
        <v>2641</v>
      </c>
      <c r="B1207">
        <v>13</v>
      </c>
      <c r="C1207" s="21" t="s">
        <v>10</v>
      </c>
      <c r="D1207" s="21" t="s">
        <v>52</v>
      </c>
      <c r="E1207">
        <v>198</v>
      </c>
      <c r="F1207">
        <v>26</v>
      </c>
      <c r="G1207" s="21" t="s">
        <v>45</v>
      </c>
      <c r="H1207" s="21" t="s">
        <v>389</v>
      </c>
      <c r="I1207" s="21" t="s">
        <v>2605</v>
      </c>
    </row>
    <row r="1208" spans="1:9" x14ac:dyDescent="0.25">
      <c r="A1208" s="21" t="s">
        <v>2642</v>
      </c>
      <c r="B1208">
        <v>1</v>
      </c>
      <c r="C1208" s="21" t="s">
        <v>76</v>
      </c>
      <c r="D1208" s="21" t="s">
        <v>54</v>
      </c>
      <c r="E1208">
        <v>217</v>
      </c>
      <c r="G1208" s="21" t="s">
        <v>25</v>
      </c>
      <c r="H1208" s="21" t="s">
        <v>101</v>
      </c>
      <c r="I1208" s="21" t="s">
        <v>2605</v>
      </c>
    </row>
    <row r="1209" spans="1:9" x14ac:dyDescent="0.25">
      <c r="A1209" s="21" t="s">
        <v>2643</v>
      </c>
      <c r="B1209">
        <v>57</v>
      </c>
      <c r="C1209" s="21" t="s">
        <v>15</v>
      </c>
      <c r="D1209" s="21" t="s">
        <v>44</v>
      </c>
      <c r="E1209">
        <v>243</v>
      </c>
      <c r="F1209">
        <v>26</v>
      </c>
      <c r="G1209" s="21" t="s">
        <v>16</v>
      </c>
      <c r="H1209" s="21" t="s">
        <v>556</v>
      </c>
      <c r="I1209" s="21" t="s">
        <v>2605</v>
      </c>
    </row>
    <row r="1210" spans="1:9" x14ac:dyDescent="0.25">
      <c r="A1210" s="21" t="s">
        <v>2644</v>
      </c>
      <c r="B1210">
        <v>99</v>
      </c>
      <c r="C1210" s="21" t="s">
        <v>319</v>
      </c>
      <c r="D1210" s="21" t="s">
        <v>29</v>
      </c>
      <c r="E1210">
        <v>268</v>
      </c>
      <c r="F1210">
        <v>24</v>
      </c>
      <c r="G1210" s="21" t="s">
        <v>30</v>
      </c>
      <c r="H1210" s="21" t="s">
        <v>117</v>
      </c>
      <c r="I1210" s="21" t="s">
        <v>2605</v>
      </c>
    </row>
    <row r="1211" spans="1:9" x14ac:dyDescent="0.25">
      <c r="A1211" s="21" t="s">
        <v>2645</v>
      </c>
      <c r="B1211">
        <v>29</v>
      </c>
      <c r="C1211" s="21" t="s">
        <v>48</v>
      </c>
      <c r="D1211" s="21" t="s">
        <v>44</v>
      </c>
      <c r="E1211">
        <v>190</v>
      </c>
      <c r="F1211">
        <v>32</v>
      </c>
      <c r="G1211" s="21" t="s">
        <v>100</v>
      </c>
      <c r="H1211" s="21" t="s">
        <v>249</v>
      </c>
      <c r="I1211" s="21" t="s">
        <v>2605</v>
      </c>
    </row>
    <row r="1212" spans="1:9" x14ac:dyDescent="0.25">
      <c r="A1212" s="21" t="s">
        <v>2646</v>
      </c>
      <c r="B1212">
        <v>15</v>
      </c>
      <c r="C1212" s="21" t="s">
        <v>70</v>
      </c>
      <c r="D1212" s="21" t="s">
        <v>52</v>
      </c>
      <c r="E1212">
        <v>220</v>
      </c>
      <c r="F1212">
        <v>27</v>
      </c>
      <c r="G1212" s="21" t="s">
        <v>16</v>
      </c>
      <c r="H1212" s="21" t="s">
        <v>143</v>
      </c>
      <c r="I1212" s="21" t="s">
        <v>2605</v>
      </c>
    </row>
    <row r="1213" spans="1:9" x14ac:dyDescent="0.25">
      <c r="A1213" s="21" t="s">
        <v>2647</v>
      </c>
      <c r="B1213">
        <v>43</v>
      </c>
      <c r="C1213" s="21" t="s">
        <v>15</v>
      </c>
      <c r="D1213" s="21" t="s">
        <v>44</v>
      </c>
      <c r="E1213">
        <v>240</v>
      </c>
      <c r="F1213">
        <v>24</v>
      </c>
      <c r="G1213" s="21" t="s">
        <v>25</v>
      </c>
      <c r="H1213" s="21" t="s">
        <v>152</v>
      </c>
      <c r="I1213" s="21" t="s">
        <v>2605</v>
      </c>
    </row>
    <row r="1214" spans="1:9" x14ac:dyDescent="0.25">
      <c r="A1214" s="21" t="s">
        <v>2648</v>
      </c>
      <c r="B1214">
        <v>50</v>
      </c>
      <c r="C1214" s="21" t="s">
        <v>15</v>
      </c>
      <c r="D1214" s="21" t="s">
        <v>11</v>
      </c>
      <c r="E1214">
        <v>234</v>
      </c>
      <c r="F1214">
        <v>24</v>
      </c>
      <c r="G1214" s="21" t="s">
        <v>25</v>
      </c>
      <c r="H1214" s="21" t="s">
        <v>130</v>
      </c>
      <c r="I1214" s="21" t="s">
        <v>2605</v>
      </c>
    </row>
    <row r="1215" spans="1:9" x14ac:dyDescent="0.25">
      <c r="A1215" s="21" t="s">
        <v>2649</v>
      </c>
      <c r="B1215">
        <v>49</v>
      </c>
      <c r="C1215" s="21" t="s">
        <v>57</v>
      </c>
      <c r="D1215" s="21" t="s">
        <v>35</v>
      </c>
      <c r="E1215">
        <v>254</v>
      </c>
      <c r="F1215">
        <v>23</v>
      </c>
      <c r="G1215" s="21" t="s">
        <v>25</v>
      </c>
      <c r="H1215" s="21" t="s">
        <v>138</v>
      </c>
      <c r="I1215" s="21" t="s">
        <v>2605</v>
      </c>
    </row>
    <row r="1216" spans="1:9" x14ac:dyDescent="0.25">
      <c r="A1216" s="21" t="s">
        <v>2650</v>
      </c>
      <c r="B1216">
        <v>72</v>
      </c>
      <c r="C1216" s="21" t="s">
        <v>114</v>
      </c>
      <c r="D1216" s="21" t="s">
        <v>44</v>
      </c>
      <c r="E1216">
        <v>308</v>
      </c>
      <c r="F1216">
        <v>24</v>
      </c>
      <c r="G1216" s="21" t="s">
        <v>16</v>
      </c>
      <c r="H1216" s="21" t="s">
        <v>3252</v>
      </c>
      <c r="I1216" s="21" t="s">
        <v>2605</v>
      </c>
    </row>
    <row r="1217" spans="1:9" x14ac:dyDescent="0.25">
      <c r="A1217" s="21" t="s">
        <v>2651</v>
      </c>
      <c r="B1217">
        <v>28</v>
      </c>
      <c r="C1217" s="21" t="s">
        <v>89</v>
      </c>
      <c r="D1217" s="21" t="s">
        <v>24</v>
      </c>
      <c r="E1217">
        <v>212</v>
      </c>
      <c r="F1217">
        <v>26</v>
      </c>
      <c r="G1217" s="21" t="s">
        <v>38</v>
      </c>
      <c r="H1217" s="21" t="s">
        <v>36</v>
      </c>
      <c r="I1217" s="21" t="s">
        <v>2605</v>
      </c>
    </row>
    <row r="1218" spans="1:9" x14ac:dyDescent="0.25">
      <c r="A1218" s="21" t="s">
        <v>2652</v>
      </c>
      <c r="B1218">
        <v>3</v>
      </c>
      <c r="C1218" s="21" t="s">
        <v>10</v>
      </c>
      <c r="D1218" s="21" t="s">
        <v>52</v>
      </c>
      <c r="E1218">
        <v>198</v>
      </c>
      <c r="G1218" s="21" t="s">
        <v>25</v>
      </c>
      <c r="H1218" s="21" t="s">
        <v>1725</v>
      </c>
      <c r="I1218" s="21" t="s">
        <v>2605</v>
      </c>
    </row>
    <row r="1219" spans="1:9" x14ac:dyDescent="0.25">
      <c r="A1219" s="21" t="s">
        <v>2653</v>
      </c>
      <c r="B1219">
        <v>47</v>
      </c>
      <c r="C1219" s="21" t="s">
        <v>15</v>
      </c>
      <c r="D1219" s="21" t="s">
        <v>24</v>
      </c>
      <c r="E1219">
        <v>224</v>
      </c>
      <c r="F1219">
        <v>24</v>
      </c>
      <c r="G1219" s="21" t="s">
        <v>25</v>
      </c>
      <c r="H1219" s="21" t="s">
        <v>398</v>
      </c>
      <c r="I1219" s="21" t="s">
        <v>2605</v>
      </c>
    </row>
    <row r="1220" spans="1:9" x14ac:dyDescent="0.25">
      <c r="A1220" s="21" t="s">
        <v>3273</v>
      </c>
      <c r="C1220" s="21" t="s">
        <v>15</v>
      </c>
      <c r="D1220" s="21" t="s">
        <v>24</v>
      </c>
      <c r="E1220">
        <v>241</v>
      </c>
      <c r="F1220">
        <v>25</v>
      </c>
      <c r="G1220" s="21" t="s">
        <v>16</v>
      </c>
      <c r="H1220" s="21" t="s">
        <v>109</v>
      </c>
      <c r="I1220" s="21" t="s">
        <v>2605</v>
      </c>
    </row>
    <row r="1221" spans="1:9" x14ac:dyDescent="0.25">
      <c r="A1221" s="21" t="s">
        <v>2654</v>
      </c>
      <c r="B1221">
        <v>62</v>
      </c>
      <c r="C1221" s="21" t="s">
        <v>184</v>
      </c>
      <c r="D1221" s="21" t="s">
        <v>44</v>
      </c>
      <c r="E1221">
        <v>301</v>
      </c>
      <c r="F1221">
        <v>24</v>
      </c>
      <c r="G1221" s="21" t="s">
        <v>83</v>
      </c>
      <c r="H1221" s="21" t="s">
        <v>320</v>
      </c>
      <c r="I1221" s="21" t="s">
        <v>2605</v>
      </c>
    </row>
    <row r="1222" spans="1:9" x14ac:dyDescent="0.25">
      <c r="A1222" s="21" t="s">
        <v>2655</v>
      </c>
      <c r="B1222">
        <v>1</v>
      </c>
      <c r="C1222" s="21" t="s">
        <v>48</v>
      </c>
      <c r="D1222" s="21" t="s">
        <v>52</v>
      </c>
      <c r="E1222">
        <v>192</v>
      </c>
      <c r="F1222">
        <v>22</v>
      </c>
      <c r="G1222" s="21" t="s">
        <v>30</v>
      </c>
      <c r="H1222" s="21" t="s">
        <v>683</v>
      </c>
      <c r="I1222" s="21" t="s">
        <v>2605</v>
      </c>
    </row>
    <row r="1223" spans="1:9" x14ac:dyDescent="0.25">
      <c r="A1223" s="21" t="s">
        <v>2656</v>
      </c>
      <c r="B1223">
        <v>27</v>
      </c>
      <c r="C1223" s="21" t="s">
        <v>89</v>
      </c>
      <c r="D1223" s="21" t="s">
        <v>35</v>
      </c>
      <c r="E1223">
        <v>215</v>
      </c>
      <c r="F1223">
        <v>28</v>
      </c>
      <c r="G1223" s="21" t="s">
        <v>21</v>
      </c>
      <c r="H1223" s="21" t="s">
        <v>136</v>
      </c>
      <c r="I1223" s="21" t="s">
        <v>2605</v>
      </c>
    </row>
    <row r="1224" spans="1:9" x14ac:dyDescent="0.25">
      <c r="A1224" s="21" t="s">
        <v>2657</v>
      </c>
      <c r="B1224">
        <v>88</v>
      </c>
      <c r="C1224" s="21" t="s">
        <v>10</v>
      </c>
      <c r="D1224" s="21" t="s">
        <v>24</v>
      </c>
      <c r="E1224">
        <v>200</v>
      </c>
      <c r="F1224">
        <v>23</v>
      </c>
      <c r="G1224" s="21" t="s">
        <v>12</v>
      </c>
      <c r="H1224" s="21" t="s">
        <v>187</v>
      </c>
      <c r="I1224" s="21" t="s">
        <v>2605</v>
      </c>
    </row>
    <row r="1225" spans="1:9" x14ac:dyDescent="0.25">
      <c r="A1225" s="21" t="s">
        <v>2658</v>
      </c>
      <c r="B1225">
        <v>90</v>
      </c>
      <c r="C1225" s="21" t="s">
        <v>319</v>
      </c>
      <c r="D1225" s="21" t="s">
        <v>44</v>
      </c>
      <c r="E1225">
        <v>265</v>
      </c>
      <c r="F1225">
        <v>30</v>
      </c>
      <c r="G1225" s="21" t="s">
        <v>64</v>
      </c>
      <c r="H1225" s="21" t="s">
        <v>330</v>
      </c>
      <c r="I1225" s="21" t="s">
        <v>2605</v>
      </c>
    </row>
    <row r="1226" spans="1:9" x14ac:dyDescent="0.25">
      <c r="A1226" s="21" t="s">
        <v>2659</v>
      </c>
      <c r="B1226">
        <v>2</v>
      </c>
      <c r="C1226" s="21" t="s">
        <v>48</v>
      </c>
      <c r="D1226" s="21" t="s">
        <v>125</v>
      </c>
      <c r="E1226">
        <v>195</v>
      </c>
      <c r="F1226">
        <v>26</v>
      </c>
      <c r="G1226" s="21" t="s">
        <v>38</v>
      </c>
      <c r="H1226" s="21" t="s">
        <v>98</v>
      </c>
      <c r="I1226" s="21" t="s">
        <v>2605</v>
      </c>
    </row>
    <row r="1227" spans="1:9" x14ac:dyDescent="0.25">
      <c r="A1227" s="21" t="s">
        <v>2660</v>
      </c>
      <c r="B1227">
        <v>65</v>
      </c>
      <c r="C1227" s="21" t="s">
        <v>184</v>
      </c>
      <c r="D1227" s="21" t="s">
        <v>44</v>
      </c>
      <c r="E1227">
        <v>296</v>
      </c>
      <c r="G1227" s="21" t="s">
        <v>25</v>
      </c>
      <c r="H1227" s="21" t="s">
        <v>204</v>
      </c>
      <c r="I1227" s="21" t="s">
        <v>2605</v>
      </c>
    </row>
    <row r="1228" spans="1:9" x14ac:dyDescent="0.25">
      <c r="A1228" s="21" t="s">
        <v>2661</v>
      </c>
      <c r="B1228">
        <v>70</v>
      </c>
      <c r="C1228" s="21" t="s">
        <v>277</v>
      </c>
      <c r="D1228" s="21" t="s">
        <v>35</v>
      </c>
      <c r="E1228">
        <v>315</v>
      </c>
      <c r="F1228">
        <v>31</v>
      </c>
      <c r="G1228" s="21" t="s">
        <v>64</v>
      </c>
      <c r="H1228" s="21" t="s">
        <v>31</v>
      </c>
      <c r="I1228" s="21" t="s">
        <v>2605</v>
      </c>
    </row>
    <row r="1229" spans="1:9" x14ac:dyDescent="0.25">
      <c r="A1229" s="21" t="s">
        <v>1306</v>
      </c>
      <c r="B1229">
        <v>66</v>
      </c>
      <c r="C1229" s="21" t="s">
        <v>277</v>
      </c>
      <c r="D1229" s="21" t="s">
        <v>29</v>
      </c>
      <c r="E1229">
        <v>308</v>
      </c>
      <c r="F1229">
        <v>24</v>
      </c>
      <c r="G1229" s="21" t="s">
        <v>16</v>
      </c>
      <c r="H1229" s="21" t="s">
        <v>3251</v>
      </c>
      <c r="I1229" s="21" t="s">
        <v>2605</v>
      </c>
    </row>
    <row r="1230" spans="1:9" x14ac:dyDescent="0.25">
      <c r="A1230" s="21" t="s">
        <v>2662</v>
      </c>
      <c r="B1230">
        <v>84</v>
      </c>
      <c r="C1230" s="21" t="s">
        <v>57</v>
      </c>
      <c r="D1230" s="21" t="s">
        <v>29</v>
      </c>
      <c r="E1230">
        <v>238</v>
      </c>
      <c r="F1230">
        <v>24</v>
      </c>
      <c r="G1230" s="21" t="s">
        <v>12</v>
      </c>
      <c r="H1230" s="21" t="s">
        <v>98</v>
      </c>
      <c r="I1230" s="21" t="s">
        <v>2605</v>
      </c>
    </row>
    <row r="1231" spans="1:9" x14ac:dyDescent="0.25">
      <c r="A1231" s="21" t="s">
        <v>2663</v>
      </c>
      <c r="B1231">
        <v>44</v>
      </c>
      <c r="C1231" s="21" t="s">
        <v>158</v>
      </c>
      <c r="D1231" s="21" t="s">
        <v>24</v>
      </c>
      <c r="E1231">
        <v>247</v>
      </c>
      <c r="F1231">
        <v>34</v>
      </c>
      <c r="G1231" s="21" t="s">
        <v>186</v>
      </c>
      <c r="H1231" s="21" t="s">
        <v>36</v>
      </c>
      <c r="I1231" s="21" t="s">
        <v>2605</v>
      </c>
    </row>
    <row r="1232" spans="1:9" x14ac:dyDescent="0.25">
      <c r="A1232" s="21" t="s">
        <v>2664</v>
      </c>
      <c r="B1232">
        <v>39</v>
      </c>
      <c r="C1232" s="21" t="s">
        <v>48</v>
      </c>
      <c r="D1232" s="21" t="s">
        <v>52</v>
      </c>
      <c r="E1232">
        <v>185</v>
      </c>
      <c r="F1232">
        <v>23</v>
      </c>
      <c r="G1232" s="21" t="s">
        <v>25</v>
      </c>
      <c r="H1232" s="21" t="s">
        <v>683</v>
      </c>
      <c r="I1232" s="21" t="s">
        <v>2605</v>
      </c>
    </row>
    <row r="1233" spans="1:9" x14ac:dyDescent="0.25">
      <c r="A1233" s="21" t="s">
        <v>2665</v>
      </c>
      <c r="B1233">
        <v>24</v>
      </c>
      <c r="C1233" s="21" t="s">
        <v>89</v>
      </c>
      <c r="D1233" s="21" t="s">
        <v>35</v>
      </c>
      <c r="E1233">
        <v>205</v>
      </c>
      <c r="F1233">
        <v>22</v>
      </c>
      <c r="G1233" s="21" t="s">
        <v>30</v>
      </c>
      <c r="H1233" s="21" t="s">
        <v>115</v>
      </c>
      <c r="I1233" s="21" t="s">
        <v>2605</v>
      </c>
    </row>
    <row r="1234" spans="1:9" x14ac:dyDescent="0.25">
      <c r="A1234" s="21" t="s">
        <v>2666</v>
      </c>
      <c r="B1234">
        <v>35</v>
      </c>
      <c r="C1234" s="21" t="s">
        <v>91</v>
      </c>
      <c r="D1234" s="21" t="s">
        <v>24</v>
      </c>
      <c r="E1234">
        <v>232</v>
      </c>
      <c r="F1234">
        <v>26</v>
      </c>
      <c r="G1234" s="21" t="s">
        <v>16</v>
      </c>
      <c r="H1234" s="21" t="s">
        <v>374</v>
      </c>
      <c r="I1234" s="21" t="s">
        <v>2605</v>
      </c>
    </row>
    <row r="1235" spans="1:9" x14ac:dyDescent="0.25">
      <c r="A1235" s="21" t="s">
        <v>2667</v>
      </c>
      <c r="B1235">
        <v>97</v>
      </c>
      <c r="C1235" s="21" t="s">
        <v>114</v>
      </c>
      <c r="D1235" s="21" t="s">
        <v>24</v>
      </c>
      <c r="E1235">
        <v>280</v>
      </c>
      <c r="F1235">
        <v>23</v>
      </c>
      <c r="G1235" s="21" t="s">
        <v>30</v>
      </c>
      <c r="H1235" s="21" t="s">
        <v>39</v>
      </c>
      <c r="I1235" s="21" t="s">
        <v>2605</v>
      </c>
    </row>
    <row r="1236" spans="1:9" x14ac:dyDescent="0.25">
      <c r="A1236" s="21" t="s">
        <v>2668</v>
      </c>
      <c r="B1236">
        <v>11</v>
      </c>
      <c r="C1236" s="21" t="s">
        <v>15</v>
      </c>
      <c r="D1236" s="21" t="s">
        <v>44</v>
      </c>
      <c r="E1236">
        <v>245</v>
      </c>
      <c r="F1236">
        <v>23</v>
      </c>
      <c r="G1236" s="21" t="s">
        <v>30</v>
      </c>
      <c r="H1236" s="21" t="s">
        <v>3251</v>
      </c>
      <c r="I1236" s="21" t="s">
        <v>2605</v>
      </c>
    </row>
    <row r="1237" spans="1:9" x14ac:dyDescent="0.25">
      <c r="A1237" s="21" t="s">
        <v>2669</v>
      </c>
      <c r="B1237">
        <v>20</v>
      </c>
      <c r="C1237" s="21" t="s">
        <v>51</v>
      </c>
      <c r="D1237" s="21" t="s">
        <v>11</v>
      </c>
      <c r="E1237">
        <v>209</v>
      </c>
      <c r="F1237">
        <v>25</v>
      </c>
      <c r="G1237" s="21" t="s">
        <v>16</v>
      </c>
      <c r="H1237" s="21" t="s">
        <v>627</v>
      </c>
      <c r="I1237" s="21" t="s">
        <v>2605</v>
      </c>
    </row>
    <row r="1238" spans="1:9" x14ac:dyDescent="0.25">
      <c r="A1238" s="21" t="s">
        <v>2670</v>
      </c>
      <c r="B1238">
        <v>4</v>
      </c>
      <c r="C1238" s="21" t="s">
        <v>70</v>
      </c>
      <c r="D1238" s="21" t="s">
        <v>24</v>
      </c>
      <c r="E1238">
        <v>238</v>
      </c>
      <c r="F1238">
        <v>29</v>
      </c>
      <c r="G1238" s="21" t="s">
        <v>100</v>
      </c>
      <c r="H1238" s="21" t="s">
        <v>558</v>
      </c>
      <c r="I1238" s="21" t="s">
        <v>2605</v>
      </c>
    </row>
    <row r="1239" spans="1:9" x14ac:dyDescent="0.25">
      <c r="A1239" s="21" t="s">
        <v>2671</v>
      </c>
      <c r="B1239">
        <v>46</v>
      </c>
      <c r="C1239" s="21" t="s">
        <v>91</v>
      </c>
      <c r="D1239" s="21" t="s">
        <v>11</v>
      </c>
      <c r="E1239">
        <v>237</v>
      </c>
      <c r="F1239">
        <v>25</v>
      </c>
      <c r="G1239" s="21" t="s">
        <v>83</v>
      </c>
      <c r="H1239" s="21" t="s">
        <v>145</v>
      </c>
      <c r="I1239" s="21" t="s">
        <v>2605</v>
      </c>
    </row>
    <row r="1240" spans="1:9" x14ac:dyDescent="0.25">
      <c r="A1240" s="21" t="s">
        <v>2672</v>
      </c>
      <c r="B1240">
        <v>95</v>
      </c>
      <c r="C1240" s="21" t="s">
        <v>114</v>
      </c>
      <c r="D1240" s="21" t="s">
        <v>29</v>
      </c>
      <c r="E1240">
        <v>321</v>
      </c>
      <c r="F1240">
        <v>23</v>
      </c>
      <c r="G1240" s="21" t="s">
        <v>25</v>
      </c>
      <c r="H1240" s="21" t="s">
        <v>80</v>
      </c>
      <c r="I1240" s="21" t="s">
        <v>2605</v>
      </c>
    </row>
    <row r="1241" spans="1:9" x14ac:dyDescent="0.25">
      <c r="A1241" s="21" t="s">
        <v>2673</v>
      </c>
      <c r="B1241">
        <v>6</v>
      </c>
      <c r="C1241" s="21" t="s">
        <v>10</v>
      </c>
      <c r="D1241" s="21" t="s">
        <v>52</v>
      </c>
      <c r="E1241">
        <v>186</v>
      </c>
      <c r="G1241" s="21" t="s">
        <v>25</v>
      </c>
      <c r="H1241" s="21" t="s">
        <v>282</v>
      </c>
      <c r="I1241" s="21" t="s">
        <v>2605</v>
      </c>
    </row>
    <row r="1242" spans="1:9" x14ac:dyDescent="0.25">
      <c r="A1242" s="21" t="s">
        <v>2674</v>
      </c>
      <c r="B1242">
        <v>10</v>
      </c>
      <c r="C1242" s="21" t="s">
        <v>70</v>
      </c>
      <c r="D1242" s="21" t="s">
        <v>44</v>
      </c>
      <c r="E1242">
        <v>225</v>
      </c>
      <c r="F1242">
        <v>28</v>
      </c>
      <c r="G1242" s="21" t="s">
        <v>45</v>
      </c>
      <c r="H1242" s="21" t="s">
        <v>442</v>
      </c>
      <c r="I1242" s="21" t="s">
        <v>2605</v>
      </c>
    </row>
    <row r="1243" spans="1:9" x14ac:dyDescent="0.25">
      <c r="A1243" s="21" t="s">
        <v>2675</v>
      </c>
      <c r="B1243">
        <v>86</v>
      </c>
      <c r="C1243" s="21" t="s">
        <v>57</v>
      </c>
      <c r="D1243" s="21" t="s">
        <v>29</v>
      </c>
      <c r="E1243">
        <v>244</v>
      </c>
      <c r="F1243">
        <v>26</v>
      </c>
      <c r="G1243" s="21" t="s">
        <v>45</v>
      </c>
      <c r="H1243" s="21" t="s">
        <v>165</v>
      </c>
      <c r="I1243" s="21" t="s">
        <v>2605</v>
      </c>
    </row>
    <row r="1244" spans="1:9" x14ac:dyDescent="0.25">
      <c r="A1244" s="21" t="s">
        <v>2676</v>
      </c>
      <c r="B1244">
        <v>32</v>
      </c>
      <c r="C1244" s="21" t="s">
        <v>51</v>
      </c>
      <c r="D1244" s="21" t="s">
        <v>135</v>
      </c>
      <c r="E1244">
        <v>194</v>
      </c>
      <c r="G1244" s="21" t="s">
        <v>25</v>
      </c>
      <c r="H1244" s="21" t="s">
        <v>112</v>
      </c>
      <c r="I1244" s="21" t="s">
        <v>2605</v>
      </c>
    </row>
    <row r="1245" spans="1:9" x14ac:dyDescent="0.25">
      <c r="A1245" s="21" t="s">
        <v>2677</v>
      </c>
      <c r="B1245">
        <v>61</v>
      </c>
      <c r="C1245" s="21" t="s">
        <v>140</v>
      </c>
      <c r="D1245" s="21" t="s">
        <v>29</v>
      </c>
      <c r="E1245">
        <v>303</v>
      </c>
      <c r="F1245">
        <v>24</v>
      </c>
      <c r="G1245" s="21" t="s">
        <v>25</v>
      </c>
      <c r="H1245" s="21" t="s">
        <v>1409</v>
      </c>
      <c r="I1245" s="21" t="s">
        <v>2605</v>
      </c>
    </row>
    <row r="1246" spans="1:9" x14ac:dyDescent="0.25">
      <c r="A1246" s="21" t="s">
        <v>2290</v>
      </c>
      <c r="B1246">
        <v>80</v>
      </c>
      <c r="C1246" s="21" t="s">
        <v>10</v>
      </c>
      <c r="D1246" s="21" t="s">
        <v>24</v>
      </c>
      <c r="E1246">
        <v>220</v>
      </c>
      <c r="F1246">
        <v>23</v>
      </c>
      <c r="G1246" s="21" t="s">
        <v>83</v>
      </c>
      <c r="H1246" s="21" t="s">
        <v>117</v>
      </c>
      <c r="I1246" s="21" t="s">
        <v>2605</v>
      </c>
    </row>
    <row r="1247" spans="1:9" x14ac:dyDescent="0.25">
      <c r="A1247" s="21" t="s">
        <v>2678</v>
      </c>
      <c r="B1247">
        <v>73</v>
      </c>
      <c r="C1247" s="21" t="s">
        <v>28</v>
      </c>
      <c r="D1247" s="21" t="s">
        <v>67</v>
      </c>
      <c r="E1247">
        <v>332</v>
      </c>
      <c r="F1247">
        <v>21</v>
      </c>
      <c r="G1247" s="21" t="s">
        <v>25</v>
      </c>
      <c r="H1247" s="21" t="s">
        <v>352</v>
      </c>
      <c r="I1247" s="21" t="s">
        <v>2605</v>
      </c>
    </row>
    <row r="1248" spans="1:9" x14ac:dyDescent="0.25">
      <c r="A1248" s="21" t="s">
        <v>2679</v>
      </c>
      <c r="B1248">
        <v>77</v>
      </c>
      <c r="C1248" s="21" t="s">
        <v>140</v>
      </c>
      <c r="D1248" s="21" t="s">
        <v>29</v>
      </c>
      <c r="E1248">
        <v>320</v>
      </c>
      <c r="F1248">
        <v>31</v>
      </c>
      <c r="G1248" s="21" t="s">
        <v>186</v>
      </c>
      <c r="H1248" s="21" t="s">
        <v>280</v>
      </c>
      <c r="I1248" s="21" t="s">
        <v>2605</v>
      </c>
    </row>
    <row r="1249" spans="1:9" x14ac:dyDescent="0.25">
      <c r="A1249" s="21" t="s">
        <v>2680</v>
      </c>
      <c r="B1249">
        <v>87</v>
      </c>
      <c r="C1249" s="21" t="s">
        <v>57</v>
      </c>
      <c r="D1249" s="21" t="s">
        <v>29</v>
      </c>
      <c r="E1249">
        <v>252</v>
      </c>
      <c r="F1249">
        <v>27</v>
      </c>
      <c r="G1249" s="21" t="s">
        <v>38</v>
      </c>
      <c r="H1249" s="21" t="s">
        <v>80</v>
      </c>
      <c r="I1249" s="21" t="s">
        <v>2605</v>
      </c>
    </row>
    <row r="1250" spans="1:9" x14ac:dyDescent="0.25">
      <c r="A1250" s="21" t="s">
        <v>2681</v>
      </c>
      <c r="B1250">
        <v>78</v>
      </c>
      <c r="C1250" s="21" t="s">
        <v>140</v>
      </c>
      <c r="D1250" s="21" t="s">
        <v>67</v>
      </c>
      <c r="E1250">
        <v>310</v>
      </c>
      <c r="F1250">
        <v>25</v>
      </c>
      <c r="G1250" s="21" t="s">
        <v>12</v>
      </c>
      <c r="H1250" s="21" t="s">
        <v>101</v>
      </c>
      <c r="I1250" s="21" t="s">
        <v>2605</v>
      </c>
    </row>
    <row r="1251" spans="1:9" x14ac:dyDescent="0.25">
      <c r="A1251" s="21" t="s">
        <v>2682</v>
      </c>
      <c r="B1251">
        <v>52</v>
      </c>
      <c r="C1251" s="21" t="s">
        <v>319</v>
      </c>
      <c r="D1251" s="21" t="s">
        <v>44</v>
      </c>
      <c r="E1251">
        <v>249</v>
      </c>
      <c r="G1251" s="21" t="s">
        <v>25</v>
      </c>
      <c r="H1251" s="21" t="s">
        <v>194</v>
      </c>
      <c r="I1251" s="21" t="s">
        <v>2605</v>
      </c>
    </row>
    <row r="1252" spans="1:9" x14ac:dyDescent="0.25">
      <c r="A1252" s="21" t="s">
        <v>2683</v>
      </c>
      <c r="B1252">
        <v>36</v>
      </c>
      <c r="C1252" s="21" t="s">
        <v>48</v>
      </c>
      <c r="D1252" s="21" t="s">
        <v>24</v>
      </c>
      <c r="E1252">
        <v>200</v>
      </c>
      <c r="F1252">
        <v>22</v>
      </c>
      <c r="G1252" s="21" t="s">
        <v>25</v>
      </c>
      <c r="H1252" s="21" t="s">
        <v>280</v>
      </c>
      <c r="I1252" s="21" t="s">
        <v>2605</v>
      </c>
    </row>
    <row r="1253" spans="1:9" x14ac:dyDescent="0.25">
      <c r="A1253" s="21" t="s">
        <v>2684</v>
      </c>
      <c r="B1253">
        <v>40</v>
      </c>
      <c r="C1253" s="21" t="s">
        <v>89</v>
      </c>
      <c r="D1253" s="21" t="s">
        <v>44</v>
      </c>
      <c r="E1253">
        <v>217</v>
      </c>
      <c r="F1253">
        <v>22</v>
      </c>
      <c r="G1253" s="21" t="s">
        <v>25</v>
      </c>
      <c r="H1253" s="21" t="s">
        <v>132</v>
      </c>
      <c r="I1253" s="21" t="s">
        <v>2605</v>
      </c>
    </row>
    <row r="1254" spans="1:9" x14ac:dyDescent="0.25">
      <c r="A1254" s="21" t="s">
        <v>2685</v>
      </c>
      <c r="B1254">
        <v>18</v>
      </c>
      <c r="C1254" s="21" t="s">
        <v>10</v>
      </c>
      <c r="D1254" s="21" t="s">
        <v>52</v>
      </c>
      <c r="E1254">
        <v>195</v>
      </c>
      <c r="F1254">
        <v>23</v>
      </c>
      <c r="G1254" s="21" t="s">
        <v>25</v>
      </c>
      <c r="H1254" s="21" t="s">
        <v>1577</v>
      </c>
      <c r="I1254" s="21" t="s">
        <v>2605</v>
      </c>
    </row>
    <row r="1255" spans="1:9" x14ac:dyDescent="0.25">
      <c r="A1255" s="21" t="s">
        <v>2686</v>
      </c>
      <c r="B1255">
        <v>55</v>
      </c>
      <c r="C1255" s="21" t="s">
        <v>15</v>
      </c>
      <c r="D1255" s="21" t="s">
        <v>35</v>
      </c>
      <c r="E1255">
        <v>256</v>
      </c>
      <c r="F1255">
        <v>26</v>
      </c>
      <c r="G1255" s="21" t="s">
        <v>45</v>
      </c>
      <c r="H1255" s="21" t="s">
        <v>330</v>
      </c>
      <c r="I1255" s="21" t="s">
        <v>2605</v>
      </c>
    </row>
    <row r="1256" spans="1:9" x14ac:dyDescent="0.25">
      <c r="A1256" s="21" t="s">
        <v>2687</v>
      </c>
      <c r="B1256">
        <v>16</v>
      </c>
      <c r="C1256" s="21" t="s">
        <v>10</v>
      </c>
      <c r="D1256" s="21" t="s">
        <v>29</v>
      </c>
      <c r="E1256">
        <v>210</v>
      </c>
      <c r="F1256">
        <v>23</v>
      </c>
      <c r="G1256" s="21" t="s">
        <v>83</v>
      </c>
      <c r="H1256" s="21" t="s">
        <v>101</v>
      </c>
      <c r="I1256" s="21" t="s">
        <v>2605</v>
      </c>
    </row>
    <row r="1257" spans="1:9" x14ac:dyDescent="0.25">
      <c r="A1257" s="21" t="s">
        <v>2688</v>
      </c>
      <c r="B1257">
        <v>71</v>
      </c>
      <c r="C1257" s="21" t="s">
        <v>140</v>
      </c>
      <c r="D1257" s="21" t="s">
        <v>141</v>
      </c>
      <c r="E1257">
        <v>305</v>
      </c>
      <c r="F1257">
        <v>22</v>
      </c>
      <c r="G1257" s="21" t="s">
        <v>25</v>
      </c>
      <c r="H1257" s="21" t="s">
        <v>2689</v>
      </c>
      <c r="I1257" s="21" t="s">
        <v>2605</v>
      </c>
    </row>
    <row r="1258" spans="1:9" x14ac:dyDescent="0.25">
      <c r="A1258" s="21" t="s">
        <v>2690</v>
      </c>
      <c r="B1258">
        <v>83</v>
      </c>
      <c r="C1258" s="21" t="s">
        <v>10</v>
      </c>
      <c r="D1258" s="21" t="s">
        <v>54</v>
      </c>
      <c r="E1258">
        <v>213</v>
      </c>
      <c r="F1258">
        <v>26</v>
      </c>
      <c r="G1258" s="21" t="s">
        <v>45</v>
      </c>
      <c r="H1258" s="21" t="s">
        <v>130</v>
      </c>
      <c r="I1258" s="21" t="s">
        <v>2605</v>
      </c>
    </row>
    <row r="1259" spans="1:9" x14ac:dyDescent="0.25">
      <c r="A1259" s="21" t="s">
        <v>2691</v>
      </c>
      <c r="B1259">
        <v>91</v>
      </c>
      <c r="C1259" s="21" t="s">
        <v>319</v>
      </c>
      <c r="D1259" s="21" t="s">
        <v>44</v>
      </c>
      <c r="E1259">
        <v>305</v>
      </c>
      <c r="F1259">
        <v>28</v>
      </c>
      <c r="G1259" s="21" t="s">
        <v>38</v>
      </c>
      <c r="H1259" s="21" t="s">
        <v>136</v>
      </c>
      <c r="I1259" s="21" t="s">
        <v>2605</v>
      </c>
    </row>
    <row r="1260" spans="1:9" x14ac:dyDescent="0.25">
      <c r="A1260" s="21" t="s">
        <v>2692</v>
      </c>
      <c r="B1260">
        <v>54</v>
      </c>
      <c r="C1260" s="21" t="s">
        <v>319</v>
      </c>
      <c r="D1260" s="21" t="s">
        <v>35</v>
      </c>
      <c r="E1260">
        <v>261</v>
      </c>
      <c r="F1260">
        <v>23</v>
      </c>
      <c r="G1260" s="21" t="s">
        <v>25</v>
      </c>
      <c r="H1260" s="21" t="s">
        <v>516</v>
      </c>
      <c r="I1260" s="21" t="s">
        <v>2605</v>
      </c>
    </row>
    <row r="1261" spans="1:9" x14ac:dyDescent="0.25">
      <c r="A1261" s="21" t="s">
        <v>2693</v>
      </c>
      <c r="B1261">
        <v>6</v>
      </c>
      <c r="C1261" s="21" t="s">
        <v>89</v>
      </c>
      <c r="D1261" s="21" t="s">
        <v>11</v>
      </c>
      <c r="E1261">
        <v>204</v>
      </c>
      <c r="F1261">
        <v>27</v>
      </c>
      <c r="G1261" s="21" t="s">
        <v>16</v>
      </c>
      <c r="H1261" s="21" t="s">
        <v>152</v>
      </c>
      <c r="I1261" s="21" t="s">
        <v>2605</v>
      </c>
    </row>
    <row r="1262" spans="1:9" x14ac:dyDescent="0.25">
      <c r="A1262" s="21" t="s">
        <v>2694</v>
      </c>
      <c r="B1262">
        <v>25</v>
      </c>
      <c r="C1262" s="21" t="s">
        <v>48</v>
      </c>
      <c r="D1262" s="21" t="s">
        <v>35</v>
      </c>
      <c r="E1262">
        <v>185</v>
      </c>
      <c r="F1262">
        <v>23</v>
      </c>
      <c r="G1262" s="21" t="s">
        <v>30</v>
      </c>
      <c r="H1262" s="21" t="s">
        <v>374</v>
      </c>
      <c r="I1262" s="21" t="s">
        <v>2605</v>
      </c>
    </row>
    <row r="1263" spans="1:9" x14ac:dyDescent="0.25">
      <c r="A1263" s="21" t="s">
        <v>1745</v>
      </c>
      <c r="B1263">
        <v>95</v>
      </c>
      <c r="C1263" s="21" t="s">
        <v>19</v>
      </c>
      <c r="D1263" s="21" t="s">
        <v>44</v>
      </c>
      <c r="E1263">
        <v>300</v>
      </c>
      <c r="F1263">
        <v>24</v>
      </c>
      <c r="G1263" s="21" t="s">
        <v>12</v>
      </c>
      <c r="H1263" s="21" t="s">
        <v>80</v>
      </c>
      <c r="I1263" s="21" t="s">
        <v>1744</v>
      </c>
    </row>
    <row r="1264" spans="1:9" x14ac:dyDescent="0.25">
      <c r="A1264" s="21" t="s">
        <v>1746</v>
      </c>
      <c r="B1264">
        <v>45</v>
      </c>
      <c r="C1264" s="21" t="s">
        <v>213</v>
      </c>
      <c r="D1264" s="21" t="s">
        <v>35</v>
      </c>
      <c r="E1264">
        <v>242</v>
      </c>
      <c r="F1264">
        <v>23</v>
      </c>
      <c r="G1264" s="21" t="s">
        <v>25</v>
      </c>
      <c r="H1264" s="21" t="s">
        <v>233</v>
      </c>
      <c r="I1264" s="21" t="s">
        <v>1744</v>
      </c>
    </row>
    <row r="1265" spans="1:9" x14ac:dyDescent="0.25">
      <c r="A1265" s="21" t="s">
        <v>1747</v>
      </c>
      <c r="B1265">
        <v>76</v>
      </c>
      <c r="C1265" s="21" t="s">
        <v>140</v>
      </c>
      <c r="D1265" s="21" t="s">
        <v>29</v>
      </c>
      <c r="E1265">
        <v>300</v>
      </c>
      <c r="F1265">
        <v>26</v>
      </c>
      <c r="G1265" s="21" t="s">
        <v>16</v>
      </c>
      <c r="H1265" s="21" t="s">
        <v>109</v>
      </c>
      <c r="I1265" s="21" t="s">
        <v>1744</v>
      </c>
    </row>
    <row r="1266" spans="1:9" x14ac:dyDescent="0.25">
      <c r="A1266" s="21" t="s">
        <v>1748</v>
      </c>
      <c r="B1266">
        <v>38</v>
      </c>
      <c r="C1266" s="21" t="s">
        <v>48</v>
      </c>
      <c r="D1266" s="21" t="s">
        <v>52</v>
      </c>
      <c r="E1266">
        <v>198</v>
      </c>
      <c r="F1266">
        <v>26</v>
      </c>
      <c r="G1266" s="21" t="s">
        <v>16</v>
      </c>
      <c r="H1266" s="21" t="s">
        <v>120</v>
      </c>
      <c r="I1266" s="21" t="s">
        <v>1744</v>
      </c>
    </row>
    <row r="1267" spans="1:9" x14ac:dyDescent="0.25">
      <c r="A1267" s="21" t="s">
        <v>1749</v>
      </c>
      <c r="B1267">
        <v>75</v>
      </c>
      <c r="C1267" s="21" t="s">
        <v>140</v>
      </c>
      <c r="D1267" s="21" t="s">
        <v>67</v>
      </c>
      <c r="E1267">
        <v>323</v>
      </c>
      <c r="F1267">
        <v>26</v>
      </c>
      <c r="G1267" s="21" t="s">
        <v>83</v>
      </c>
      <c r="H1267" s="21" t="s">
        <v>13</v>
      </c>
      <c r="I1267" s="21" t="s">
        <v>1744</v>
      </c>
    </row>
    <row r="1268" spans="1:9" x14ac:dyDescent="0.25">
      <c r="A1268" s="21" t="s">
        <v>1750</v>
      </c>
      <c r="B1268">
        <v>34</v>
      </c>
      <c r="C1268" s="21" t="s">
        <v>48</v>
      </c>
      <c r="D1268" s="21" t="s">
        <v>125</v>
      </c>
      <c r="E1268">
        <v>190</v>
      </c>
      <c r="F1268">
        <v>23</v>
      </c>
      <c r="G1268" s="21" t="s">
        <v>12</v>
      </c>
      <c r="H1268" s="21" t="s">
        <v>282</v>
      </c>
      <c r="I1268" s="21" t="s">
        <v>1744</v>
      </c>
    </row>
    <row r="1269" spans="1:9" x14ac:dyDescent="0.25">
      <c r="A1269" s="21" t="s">
        <v>1751</v>
      </c>
      <c r="B1269">
        <v>83</v>
      </c>
      <c r="C1269" s="21" t="s">
        <v>91</v>
      </c>
      <c r="D1269" s="21" t="s">
        <v>44</v>
      </c>
      <c r="E1269">
        <v>255</v>
      </c>
      <c r="F1269">
        <v>26</v>
      </c>
      <c r="G1269" s="21" t="s">
        <v>16</v>
      </c>
      <c r="H1269" s="21" t="s">
        <v>109</v>
      </c>
      <c r="I1269" s="21" t="s">
        <v>1744</v>
      </c>
    </row>
    <row r="1270" spans="1:9" x14ac:dyDescent="0.25">
      <c r="A1270" s="21" t="s">
        <v>1752</v>
      </c>
      <c r="B1270">
        <v>46</v>
      </c>
      <c r="C1270" s="21" t="s">
        <v>158</v>
      </c>
      <c r="D1270" s="21" t="s">
        <v>24</v>
      </c>
      <c r="E1270">
        <v>235</v>
      </c>
      <c r="F1270">
        <v>25</v>
      </c>
      <c r="G1270" s="21" t="s">
        <v>12</v>
      </c>
      <c r="H1270" s="21" t="s">
        <v>1753</v>
      </c>
      <c r="I1270" s="21" t="s">
        <v>1744</v>
      </c>
    </row>
    <row r="1271" spans="1:9" x14ac:dyDescent="0.25">
      <c r="A1271" s="21" t="s">
        <v>1754</v>
      </c>
      <c r="B1271">
        <v>72</v>
      </c>
      <c r="C1271" s="21" t="s">
        <v>140</v>
      </c>
      <c r="D1271" s="21" t="s">
        <v>29</v>
      </c>
      <c r="E1271">
        <v>300</v>
      </c>
      <c r="F1271">
        <v>30</v>
      </c>
      <c r="G1271" s="21" t="s">
        <v>38</v>
      </c>
      <c r="H1271" s="21" t="s">
        <v>194</v>
      </c>
      <c r="I1271" s="21" t="s">
        <v>1744</v>
      </c>
    </row>
    <row r="1272" spans="1:9" x14ac:dyDescent="0.25">
      <c r="A1272" s="21" t="s">
        <v>1755</v>
      </c>
      <c r="B1272">
        <v>42</v>
      </c>
      <c r="C1272" s="21" t="s">
        <v>213</v>
      </c>
      <c r="D1272" s="21" t="s">
        <v>44</v>
      </c>
      <c r="E1272">
        <v>240</v>
      </c>
      <c r="F1272">
        <v>22</v>
      </c>
      <c r="G1272" s="21" t="s">
        <v>25</v>
      </c>
      <c r="H1272" s="21" t="s">
        <v>187</v>
      </c>
      <c r="I1272" s="21" t="s">
        <v>1744</v>
      </c>
    </row>
    <row r="1273" spans="1:9" x14ac:dyDescent="0.25">
      <c r="A1273" s="21" t="s">
        <v>1756</v>
      </c>
      <c r="B1273">
        <v>26</v>
      </c>
      <c r="C1273" s="21" t="s">
        <v>51</v>
      </c>
      <c r="D1273" s="21" t="s">
        <v>125</v>
      </c>
      <c r="E1273">
        <v>206</v>
      </c>
      <c r="F1273">
        <v>26</v>
      </c>
      <c r="G1273" s="21" t="s">
        <v>45</v>
      </c>
      <c r="H1273" s="21" t="s">
        <v>304</v>
      </c>
      <c r="I1273" s="21" t="s">
        <v>1744</v>
      </c>
    </row>
    <row r="1274" spans="1:9" x14ac:dyDescent="0.25">
      <c r="A1274" s="21" t="s">
        <v>1757</v>
      </c>
      <c r="B1274">
        <v>64</v>
      </c>
      <c r="C1274" s="21" t="s">
        <v>277</v>
      </c>
      <c r="D1274" s="21" t="s">
        <v>67</v>
      </c>
      <c r="E1274">
        <v>329</v>
      </c>
      <c r="F1274">
        <v>28</v>
      </c>
      <c r="G1274" s="21" t="s">
        <v>12</v>
      </c>
      <c r="H1274" s="21" t="s">
        <v>98</v>
      </c>
      <c r="I1274" s="21" t="s">
        <v>1744</v>
      </c>
    </row>
    <row r="1275" spans="1:9" x14ac:dyDescent="0.25">
      <c r="A1275" s="21" t="s">
        <v>1758</v>
      </c>
      <c r="B1275">
        <v>56</v>
      </c>
      <c r="C1275" s="21" t="s">
        <v>15</v>
      </c>
      <c r="D1275" s="21" t="s">
        <v>44</v>
      </c>
      <c r="E1275">
        <v>240</v>
      </c>
      <c r="F1275">
        <v>23</v>
      </c>
      <c r="G1275" s="21" t="s">
        <v>30</v>
      </c>
      <c r="H1275" s="21" t="s">
        <v>36</v>
      </c>
      <c r="I1275" s="21" t="s">
        <v>1744</v>
      </c>
    </row>
    <row r="1276" spans="1:9" x14ac:dyDescent="0.25">
      <c r="A1276" s="21" t="s">
        <v>1759</v>
      </c>
      <c r="B1276">
        <v>55</v>
      </c>
      <c r="C1276" s="21" t="s">
        <v>213</v>
      </c>
      <c r="D1276" s="21" t="s">
        <v>35</v>
      </c>
      <c r="E1276">
        <v>275</v>
      </c>
      <c r="F1276">
        <v>26</v>
      </c>
      <c r="G1276" s="21" t="s">
        <v>45</v>
      </c>
      <c r="H1276" s="21" t="s">
        <v>106</v>
      </c>
      <c r="I1276" s="21" t="s">
        <v>1744</v>
      </c>
    </row>
    <row r="1277" spans="1:9" x14ac:dyDescent="0.25">
      <c r="A1277" s="21" t="s">
        <v>1760</v>
      </c>
      <c r="B1277">
        <v>16</v>
      </c>
      <c r="C1277" s="21" t="s">
        <v>10</v>
      </c>
      <c r="D1277" s="21" t="s">
        <v>24</v>
      </c>
      <c r="E1277">
        <v>205</v>
      </c>
      <c r="F1277">
        <v>24</v>
      </c>
      <c r="G1277" s="21" t="s">
        <v>12</v>
      </c>
      <c r="H1277" s="21" t="s">
        <v>251</v>
      </c>
      <c r="I1277" s="21" t="s">
        <v>1744</v>
      </c>
    </row>
    <row r="1278" spans="1:9" x14ac:dyDescent="0.25">
      <c r="A1278" s="21" t="s">
        <v>1761</v>
      </c>
      <c r="B1278">
        <v>69</v>
      </c>
      <c r="C1278" s="21" t="s">
        <v>28</v>
      </c>
      <c r="D1278" s="21" t="s">
        <v>29</v>
      </c>
      <c r="E1278">
        <v>315</v>
      </c>
      <c r="F1278">
        <v>33</v>
      </c>
      <c r="G1278" s="21" t="s">
        <v>111</v>
      </c>
      <c r="H1278" s="21" t="s">
        <v>1463</v>
      </c>
      <c r="I1278" s="21" t="s">
        <v>1744</v>
      </c>
    </row>
    <row r="1279" spans="1:9" x14ac:dyDescent="0.25">
      <c r="A1279" s="21" t="s">
        <v>1762</v>
      </c>
      <c r="B1279">
        <v>53</v>
      </c>
      <c r="C1279" s="21" t="s">
        <v>213</v>
      </c>
      <c r="D1279" s="21" t="s">
        <v>35</v>
      </c>
      <c r="E1279">
        <v>257</v>
      </c>
      <c r="F1279">
        <v>24</v>
      </c>
      <c r="G1279" s="21" t="s">
        <v>30</v>
      </c>
      <c r="H1279" s="21" t="s">
        <v>36</v>
      </c>
      <c r="I1279" s="21" t="s">
        <v>1744</v>
      </c>
    </row>
    <row r="1280" spans="1:9" x14ac:dyDescent="0.25">
      <c r="A1280" s="21" t="s">
        <v>1763</v>
      </c>
      <c r="B1280">
        <v>28</v>
      </c>
      <c r="C1280" s="21" t="s">
        <v>51</v>
      </c>
      <c r="D1280" s="21" t="s">
        <v>54</v>
      </c>
      <c r="E1280">
        <v>225</v>
      </c>
      <c r="F1280">
        <v>24</v>
      </c>
      <c r="G1280" s="21" t="s">
        <v>30</v>
      </c>
      <c r="H1280" s="21" t="s">
        <v>335</v>
      </c>
      <c r="I1280" s="21" t="s">
        <v>1744</v>
      </c>
    </row>
    <row r="1281" spans="1:9" x14ac:dyDescent="0.25">
      <c r="A1281" s="21" t="s">
        <v>1764</v>
      </c>
      <c r="B1281">
        <v>79</v>
      </c>
      <c r="C1281" s="21" t="s">
        <v>184</v>
      </c>
      <c r="D1281" s="21" t="s">
        <v>35</v>
      </c>
      <c r="E1281">
        <v>315</v>
      </c>
      <c r="F1281">
        <v>24</v>
      </c>
      <c r="G1281" s="21" t="s">
        <v>12</v>
      </c>
      <c r="H1281" s="21" t="s">
        <v>267</v>
      </c>
      <c r="I1281" s="21" t="s">
        <v>1744</v>
      </c>
    </row>
    <row r="1282" spans="1:9" x14ac:dyDescent="0.25">
      <c r="A1282" s="21" t="s">
        <v>1765</v>
      </c>
      <c r="B1282">
        <v>23</v>
      </c>
      <c r="C1282" s="21" t="s">
        <v>48</v>
      </c>
      <c r="D1282" s="21" t="s">
        <v>54</v>
      </c>
      <c r="E1282">
        <v>193</v>
      </c>
      <c r="F1282">
        <v>28</v>
      </c>
      <c r="G1282" s="21" t="s">
        <v>21</v>
      </c>
      <c r="H1282" s="21" t="s">
        <v>241</v>
      </c>
      <c r="I1282" s="21" t="s">
        <v>1744</v>
      </c>
    </row>
    <row r="1283" spans="1:9" x14ac:dyDescent="0.25">
      <c r="A1283" s="21" t="s">
        <v>1766</v>
      </c>
      <c r="B1283">
        <v>13</v>
      </c>
      <c r="C1283" s="21" t="s">
        <v>10</v>
      </c>
      <c r="D1283" s="21" t="s">
        <v>52</v>
      </c>
      <c r="E1283">
        <v>190</v>
      </c>
      <c r="F1283">
        <v>23</v>
      </c>
      <c r="G1283" s="21" t="s">
        <v>25</v>
      </c>
      <c r="H1283" s="21" t="s">
        <v>1767</v>
      </c>
      <c r="I1283" s="21" t="s">
        <v>1744</v>
      </c>
    </row>
    <row r="1284" spans="1:9" x14ac:dyDescent="0.25">
      <c r="A1284" s="21" t="s">
        <v>1768</v>
      </c>
      <c r="B1284">
        <v>80</v>
      </c>
      <c r="C1284" s="21" t="s">
        <v>57</v>
      </c>
      <c r="D1284" s="21" t="s">
        <v>35</v>
      </c>
      <c r="E1284">
        <v>245</v>
      </c>
      <c r="F1284">
        <v>22</v>
      </c>
      <c r="G1284" s="21" t="s">
        <v>25</v>
      </c>
      <c r="H1284" s="21" t="s">
        <v>39</v>
      </c>
      <c r="I1284" s="21" t="s">
        <v>1744</v>
      </c>
    </row>
    <row r="1285" spans="1:9" x14ac:dyDescent="0.25">
      <c r="A1285" s="21" t="s">
        <v>1769</v>
      </c>
      <c r="B1285">
        <v>15</v>
      </c>
      <c r="C1285" s="21" t="s">
        <v>10</v>
      </c>
      <c r="D1285" s="21" t="s">
        <v>24</v>
      </c>
      <c r="E1285">
        <v>215</v>
      </c>
      <c r="F1285">
        <v>26</v>
      </c>
      <c r="G1285" s="21" t="s">
        <v>12</v>
      </c>
      <c r="H1285" s="21" t="s">
        <v>1341</v>
      </c>
      <c r="I1285" s="21" t="s">
        <v>1744</v>
      </c>
    </row>
    <row r="1286" spans="1:9" x14ac:dyDescent="0.25">
      <c r="A1286" s="21" t="s">
        <v>1770</v>
      </c>
      <c r="B1286">
        <v>61</v>
      </c>
      <c r="C1286" s="21" t="s">
        <v>277</v>
      </c>
      <c r="D1286" s="21" t="s">
        <v>67</v>
      </c>
      <c r="E1286">
        <v>310</v>
      </c>
      <c r="F1286">
        <v>29</v>
      </c>
      <c r="G1286" s="21" t="s">
        <v>100</v>
      </c>
      <c r="H1286" s="21" t="s">
        <v>98</v>
      </c>
      <c r="I1286" s="21" t="s">
        <v>1744</v>
      </c>
    </row>
    <row r="1287" spans="1:9" x14ac:dyDescent="0.25">
      <c r="A1287" s="21" t="s">
        <v>1771</v>
      </c>
      <c r="B1287">
        <v>25</v>
      </c>
      <c r="C1287" s="21" t="s">
        <v>51</v>
      </c>
      <c r="D1287" s="21" t="s">
        <v>52</v>
      </c>
      <c r="E1287">
        <v>215</v>
      </c>
      <c r="F1287">
        <v>29</v>
      </c>
      <c r="G1287" s="21" t="s">
        <v>21</v>
      </c>
      <c r="H1287" s="21" t="s">
        <v>68</v>
      </c>
      <c r="I1287" s="21" t="s">
        <v>1744</v>
      </c>
    </row>
    <row r="1288" spans="1:9" x14ac:dyDescent="0.25">
      <c r="A1288" s="21" t="s">
        <v>1772</v>
      </c>
      <c r="B1288">
        <v>5</v>
      </c>
      <c r="C1288" s="21" t="s">
        <v>213</v>
      </c>
      <c r="D1288" s="21" t="s">
        <v>29</v>
      </c>
      <c r="E1288">
        <v>242</v>
      </c>
      <c r="F1288">
        <v>29</v>
      </c>
      <c r="G1288" s="21" t="s">
        <v>45</v>
      </c>
      <c r="H1288" s="21" t="s">
        <v>556</v>
      </c>
      <c r="I1288" s="21" t="s">
        <v>1744</v>
      </c>
    </row>
    <row r="1289" spans="1:9" x14ac:dyDescent="0.25">
      <c r="A1289" s="21" t="s">
        <v>1773</v>
      </c>
      <c r="B1289">
        <v>50</v>
      </c>
      <c r="C1289" s="21" t="s">
        <v>230</v>
      </c>
      <c r="D1289" s="21" t="s">
        <v>35</v>
      </c>
      <c r="E1289">
        <v>250</v>
      </c>
      <c r="F1289">
        <v>25</v>
      </c>
      <c r="G1289" s="21" t="s">
        <v>30</v>
      </c>
      <c r="H1289" s="21" t="s">
        <v>1774</v>
      </c>
      <c r="I1289" s="21" t="s">
        <v>1744</v>
      </c>
    </row>
    <row r="1290" spans="1:9" x14ac:dyDescent="0.25">
      <c r="A1290" s="21" t="s">
        <v>1775</v>
      </c>
      <c r="B1290">
        <v>70</v>
      </c>
      <c r="C1290" s="21" t="s">
        <v>140</v>
      </c>
      <c r="D1290" s="21" t="s">
        <v>67</v>
      </c>
      <c r="E1290">
        <v>295</v>
      </c>
      <c r="G1290" s="21" t="s">
        <v>25</v>
      </c>
      <c r="H1290" s="21" t="s">
        <v>1776</v>
      </c>
      <c r="I1290" s="21" t="s">
        <v>1744</v>
      </c>
    </row>
    <row r="1291" spans="1:9" x14ac:dyDescent="0.25">
      <c r="A1291" s="21" t="s">
        <v>1777</v>
      </c>
      <c r="B1291">
        <v>1</v>
      </c>
      <c r="C1291" s="21" t="s">
        <v>10</v>
      </c>
      <c r="D1291" s="21" t="s">
        <v>135</v>
      </c>
      <c r="E1291">
        <v>178</v>
      </c>
      <c r="F1291">
        <v>23</v>
      </c>
      <c r="G1291" s="21" t="s">
        <v>12</v>
      </c>
      <c r="H1291" s="21" t="s">
        <v>3251</v>
      </c>
      <c r="I1291" s="21" t="s">
        <v>1744</v>
      </c>
    </row>
    <row r="1292" spans="1:9" x14ac:dyDescent="0.25">
      <c r="A1292" s="21" t="s">
        <v>1778</v>
      </c>
      <c r="B1292">
        <v>92</v>
      </c>
      <c r="C1292" s="21" t="s">
        <v>19</v>
      </c>
      <c r="D1292" s="21" t="s">
        <v>29</v>
      </c>
      <c r="E1292">
        <v>295</v>
      </c>
      <c r="F1292">
        <v>25</v>
      </c>
      <c r="G1292" s="21" t="s">
        <v>30</v>
      </c>
      <c r="H1292" s="21" t="s">
        <v>1779</v>
      </c>
      <c r="I1292" s="21" t="s">
        <v>1744</v>
      </c>
    </row>
    <row r="1293" spans="1:9" x14ac:dyDescent="0.25">
      <c r="A1293" s="21" t="s">
        <v>1780</v>
      </c>
      <c r="B1293">
        <v>91</v>
      </c>
      <c r="C1293" s="21" t="s">
        <v>319</v>
      </c>
      <c r="D1293" s="21" t="s">
        <v>44</v>
      </c>
      <c r="E1293">
        <v>291</v>
      </c>
      <c r="F1293">
        <v>23</v>
      </c>
      <c r="G1293" s="21" t="s">
        <v>25</v>
      </c>
      <c r="H1293" s="21" t="s">
        <v>68</v>
      </c>
      <c r="I1293" s="21" t="s">
        <v>1744</v>
      </c>
    </row>
    <row r="1294" spans="1:9" x14ac:dyDescent="0.25">
      <c r="A1294" s="21" t="s">
        <v>1781</v>
      </c>
      <c r="B1294">
        <v>29</v>
      </c>
      <c r="C1294" s="21" t="s">
        <v>48</v>
      </c>
      <c r="D1294" s="21" t="s">
        <v>125</v>
      </c>
      <c r="E1294">
        <v>192</v>
      </c>
      <c r="F1294">
        <v>24</v>
      </c>
      <c r="G1294" s="21" t="s">
        <v>25</v>
      </c>
      <c r="H1294" s="21" t="s">
        <v>68</v>
      </c>
      <c r="I1294" s="21" t="s">
        <v>1744</v>
      </c>
    </row>
    <row r="1295" spans="1:9" x14ac:dyDescent="0.25">
      <c r="A1295" s="21" t="s">
        <v>1782</v>
      </c>
      <c r="B1295">
        <v>9</v>
      </c>
      <c r="C1295" s="21" t="s">
        <v>10</v>
      </c>
      <c r="D1295" s="21" t="s">
        <v>11</v>
      </c>
      <c r="E1295">
        <v>195</v>
      </c>
      <c r="F1295">
        <v>25</v>
      </c>
      <c r="G1295" s="21" t="s">
        <v>30</v>
      </c>
      <c r="H1295" s="21" t="s">
        <v>282</v>
      </c>
      <c r="I1295" s="21" t="s">
        <v>1744</v>
      </c>
    </row>
    <row r="1296" spans="1:9" x14ac:dyDescent="0.25">
      <c r="A1296" s="21" t="s">
        <v>1783</v>
      </c>
      <c r="B1296">
        <v>22</v>
      </c>
      <c r="C1296" s="21" t="s">
        <v>89</v>
      </c>
      <c r="D1296" s="21" t="s">
        <v>125</v>
      </c>
      <c r="E1296">
        <v>183</v>
      </c>
      <c r="F1296">
        <v>34</v>
      </c>
      <c r="G1296" s="21" t="s">
        <v>407</v>
      </c>
      <c r="H1296" s="21" t="s">
        <v>233</v>
      </c>
      <c r="I1296" s="21" t="s">
        <v>1744</v>
      </c>
    </row>
    <row r="1297" spans="1:9" x14ac:dyDescent="0.25">
      <c r="A1297" s="21" t="s">
        <v>1784</v>
      </c>
      <c r="B1297">
        <v>10</v>
      </c>
      <c r="C1297" s="21" t="s">
        <v>10</v>
      </c>
      <c r="D1297" s="21" t="s">
        <v>52</v>
      </c>
      <c r="E1297">
        <v>193</v>
      </c>
      <c r="F1297">
        <v>23</v>
      </c>
      <c r="G1297" s="21" t="s">
        <v>12</v>
      </c>
      <c r="H1297" s="21" t="s">
        <v>233</v>
      </c>
      <c r="I1297" s="21" t="s">
        <v>1744</v>
      </c>
    </row>
    <row r="1298" spans="1:9" x14ac:dyDescent="0.25">
      <c r="A1298" s="21" t="s">
        <v>1785</v>
      </c>
      <c r="B1298">
        <v>47</v>
      </c>
      <c r="C1298" s="21" t="s">
        <v>230</v>
      </c>
      <c r="D1298" s="21" t="s">
        <v>24</v>
      </c>
      <c r="E1298">
        <v>236</v>
      </c>
      <c r="F1298">
        <v>27</v>
      </c>
      <c r="G1298" s="21" t="s">
        <v>45</v>
      </c>
      <c r="H1298" s="21" t="s">
        <v>117</v>
      </c>
      <c r="I1298" s="21" t="s">
        <v>1744</v>
      </c>
    </row>
    <row r="1299" spans="1:9" x14ac:dyDescent="0.25">
      <c r="A1299" s="21" t="s">
        <v>1786</v>
      </c>
      <c r="B1299">
        <v>89</v>
      </c>
      <c r="C1299" s="21" t="s">
        <v>10</v>
      </c>
      <c r="D1299" s="21" t="s">
        <v>24</v>
      </c>
      <c r="E1299">
        <v>195</v>
      </c>
      <c r="G1299" s="21" t="s">
        <v>25</v>
      </c>
      <c r="H1299" s="21" t="s">
        <v>3252</v>
      </c>
      <c r="I1299" s="21" t="s">
        <v>1744</v>
      </c>
    </row>
    <row r="1300" spans="1:9" x14ac:dyDescent="0.25">
      <c r="A1300" s="21" t="s">
        <v>1787</v>
      </c>
      <c r="B1300">
        <v>41</v>
      </c>
      <c r="C1300" s="21" t="s">
        <v>89</v>
      </c>
      <c r="D1300" s="21" t="s">
        <v>52</v>
      </c>
      <c r="E1300">
        <v>197</v>
      </c>
      <c r="F1300">
        <v>22</v>
      </c>
      <c r="G1300" s="21" t="s">
        <v>30</v>
      </c>
      <c r="H1300" s="21" t="s">
        <v>138</v>
      </c>
      <c r="I1300" s="21" t="s">
        <v>1744</v>
      </c>
    </row>
    <row r="1301" spans="1:9" x14ac:dyDescent="0.25">
      <c r="A1301" s="21" t="s">
        <v>1788</v>
      </c>
      <c r="B1301">
        <v>11</v>
      </c>
      <c r="C1301" s="21" t="s">
        <v>70</v>
      </c>
      <c r="D1301" s="21" t="s">
        <v>24</v>
      </c>
      <c r="E1301">
        <v>201</v>
      </c>
      <c r="F1301">
        <v>36</v>
      </c>
      <c r="G1301" s="21" t="s">
        <v>21</v>
      </c>
      <c r="H1301" s="21" t="s">
        <v>58</v>
      </c>
      <c r="I1301" s="21" t="s">
        <v>1744</v>
      </c>
    </row>
    <row r="1302" spans="1:9" x14ac:dyDescent="0.25">
      <c r="A1302" s="21" t="s">
        <v>1789</v>
      </c>
      <c r="B1302">
        <v>68</v>
      </c>
      <c r="C1302" s="21" t="s">
        <v>277</v>
      </c>
      <c r="D1302" s="21" t="s">
        <v>67</v>
      </c>
      <c r="E1302">
        <v>301</v>
      </c>
      <c r="F1302">
        <v>25</v>
      </c>
      <c r="G1302" s="21" t="s">
        <v>83</v>
      </c>
      <c r="H1302" s="21" t="s">
        <v>122</v>
      </c>
      <c r="I1302" s="21" t="s">
        <v>1744</v>
      </c>
    </row>
    <row r="1303" spans="1:9" x14ac:dyDescent="0.25">
      <c r="A1303" s="21" t="s">
        <v>1790</v>
      </c>
      <c r="B1303">
        <v>97</v>
      </c>
      <c r="C1303" s="21" t="s">
        <v>114</v>
      </c>
      <c r="D1303" s="21" t="s">
        <v>11</v>
      </c>
      <c r="E1303">
        <v>305</v>
      </c>
      <c r="F1303">
        <v>27</v>
      </c>
      <c r="G1303" s="21" t="s">
        <v>38</v>
      </c>
      <c r="H1303" s="21" t="s">
        <v>516</v>
      </c>
      <c r="I1303" s="21" t="s">
        <v>1744</v>
      </c>
    </row>
    <row r="1304" spans="1:9" x14ac:dyDescent="0.25">
      <c r="A1304" s="21" t="s">
        <v>1791</v>
      </c>
      <c r="B1304">
        <v>93</v>
      </c>
      <c r="C1304" s="21" t="s">
        <v>319</v>
      </c>
      <c r="D1304" s="21" t="s">
        <v>44</v>
      </c>
      <c r="E1304">
        <v>281</v>
      </c>
      <c r="F1304">
        <v>25</v>
      </c>
      <c r="G1304" s="21" t="s">
        <v>16</v>
      </c>
      <c r="H1304" s="21" t="s">
        <v>36</v>
      </c>
      <c r="I1304" s="21" t="s">
        <v>1744</v>
      </c>
    </row>
    <row r="1305" spans="1:9" x14ac:dyDescent="0.25">
      <c r="A1305" s="21" t="s">
        <v>1792</v>
      </c>
      <c r="B1305">
        <v>90</v>
      </c>
      <c r="C1305" s="21" t="s">
        <v>319</v>
      </c>
      <c r="D1305" s="21" t="s">
        <v>29</v>
      </c>
      <c r="E1305">
        <v>255</v>
      </c>
      <c r="F1305">
        <v>26</v>
      </c>
      <c r="G1305" s="21" t="s">
        <v>83</v>
      </c>
      <c r="H1305" s="21" t="s">
        <v>104</v>
      </c>
      <c r="I1305" s="21" t="s">
        <v>1744</v>
      </c>
    </row>
    <row r="1306" spans="1:9" x14ac:dyDescent="0.25">
      <c r="A1306" s="21" t="s">
        <v>1793</v>
      </c>
      <c r="B1306">
        <v>39</v>
      </c>
      <c r="C1306" s="21" t="s">
        <v>48</v>
      </c>
      <c r="D1306" s="21" t="s">
        <v>11</v>
      </c>
      <c r="E1306">
        <v>190</v>
      </c>
      <c r="F1306">
        <v>26</v>
      </c>
      <c r="G1306" s="21" t="s">
        <v>83</v>
      </c>
      <c r="H1306" s="21" t="s">
        <v>643</v>
      </c>
      <c r="I1306" s="21" t="s">
        <v>1744</v>
      </c>
    </row>
    <row r="1307" spans="1:9" x14ac:dyDescent="0.25">
      <c r="A1307" s="21" t="s">
        <v>1794</v>
      </c>
      <c r="B1307">
        <v>37</v>
      </c>
      <c r="C1307" s="21" t="s">
        <v>89</v>
      </c>
      <c r="D1307" s="21" t="s">
        <v>125</v>
      </c>
      <c r="E1307">
        <v>202</v>
      </c>
      <c r="F1307">
        <v>25</v>
      </c>
      <c r="G1307" s="21" t="s">
        <v>12</v>
      </c>
      <c r="H1307" s="21" t="s">
        <v>109</v>
      </c>
      <c r="I1307" s="21" t="s">
        <v>1744</v>
      </c>
    </row>
    <row r="1308" spans="1:9" x14ac:dyDescent="0.25">
      <c r="A1308" s="21" t="s">
        <v>1795</v>
      </c>
      <c r="B1308">
        <v>6</v>
      </c>
      <c r="C1308" s="21" t="s">
        <v>193</v>
      </c>
      <c r="D1308" s="21" t="s">
        <v>52</v>
      </c>
      <c r="E1308">
        <v>211</v>
      </c>
      <c r="F1308">
        <v>32</v>
      </c>
      <c r="G1308" s="21" t="s">
        <v>111</v>
      </c>
      <c r="H1308" s="21" t="s">
        <v>243</v>
      </c>
      <c r="I1308" s="21" t="s">
        <v>1744</v>
      </c>
    </row>
    <row r="1309" spans="1:9" x14ac:dyDescent="0.25">
      <c r="A1309" s="21" t="s">
        <v>1796</v>
      </c>
      <c r="B1309">
        <v>27</v>
      </c>
      <c r="C1309" s="21" t="s">
        <v>48</v>
      </c>
      <c r="D1309" s="21" t="s">
        <v>54</v>
      </c>
      <c r="E1309">
        <v>195</v>
      </c>
      <c r="F1309">
        <v>23</v>
      </c>
      <c r="G1309" s="21" t="s">
        <v>25</v>
      </c>
      <c r="H1309" s="21" t="s">
        <v>128</v>
      </c>
      <c r="I1309" s="21" t="s">
        <v>1744</v>
      </c>
    </row>
    <row r="1310" spans="1:9" x14ac:dyDescent="0.25">
      <c r="A1310" s="21" t="s">
        <v>1797</v>
      </c>
      <c r="B1310">
        <v>43</v>
      </c>
      <c r="C1310" s="21" t="s">
        <v>230</v>
      </c>
      <c r="D1310" s="21" t="s">
        <v>24</v>
      </c>
      <c r="E1310">
        <v>245</v>
      </c>
      <c r="G1310" s="21" t="s">
        <v>25</v>
      </c>
      <c r="H1310" s="21" t="s">
        <v>280</v>
      </c>
      <c r="I1310" s="21" t="s">
        <v>1744</v>
      </c>
    </row>
    <row r="1311" spans="1:9" x14ac:dyDescent="0.25">
      <c r="A1311" s="21" t="s">
        <v>1798</v>
      </c>
      <c r="B1311">
        <v>39</v>
      </c>
      <c r="C1311" s="21" t="s">
        <v>51</v>
      </c>
      <c r="D1311" s="21" t="s">
        <v>54</v>
      </c>
      <c r="E1311">
        <v>180</v>
      </c>
      <c r="G1311" s="21" t="s">
        <v>25</v>
      </c>
      <c r="H1311" s="21" t="s">
        <v>1537</v>
      </c>
      <c r="I1311" s="21" t="s">
        <v>1744</v>
      </c>
    </row>
    <row r="1312" spans="1:9" x14ac:dyDescent="0.25">
      <c r="A1312" s="21" t="s">
        <v>1799</v>
      </c>
      <c r="B1312">
        <v>8</v>
      </c>
      <c r="C1312" s="21" t="s">
        <v>76</v>
      </c>
      <c r="D1312" s="21" t="s">
        <v>44</v>
      </c>
      <c r="E1312">
        <v>201</v>
      </c>
      <c r="F1312">
        <v>31</v>
      </c>
      <c r="G1312" s="21" t="s">
        <v>64</v>
      </c>
      <c r="H1312" s="21" t="s">
        <v>256</v>
      </c>
      <c r="I1312" s="21" t="s">
        <v>1744</v>
      </c>
    </row>
    <row r="1313" spans="1:9" x14ac:dyDescent="0.25">
      <c r="A1313" s="21" t="s">
        <v>1800</v>
      </c>
      <c r="B1313">
        <v>35</v>
      </c>
      <c r="C1313" s="21" t="s">
        <v>48</v>
      </c>
      <c r="D1313" s="21" t="s">
        <v>125</v>
      </c>
      <c r="E1313">
        <v>183</v>
      </c>
      <c r="F1313">
        <v>22</v>
      </c>
      <c r="G1313" s="21" t="s">
        <v>25</v>
      </c>
      <c r="H1313" s="21" t="s">
        <v>813</v>
      </c>
      <c r="I1313" s="21" t="s">
        <v>1744</v>
      </c>
    </row>
    <row r="1314" spans="1:9" x14ac:dyDescent="0.25">
      <c r="A1314" s="21" t="s">
        <v>1801</v>
      </c>
      <c r="B1314">
        <v>77</v>
      </c>
      <c r="C1314" s="21" t="s">
        <v>277</v>
      </c>
      <c r="D1314" s="21" t="s">
        <v>44</v>
      </c>
      <c r="E1314">
        <v>320</v>
      </c>
      <c r="F1314">
        <v>23</v>
      </c>
      <c r="G1314" s="21" t="s">
        <v>30</v>
      </c>
      <c r="H1314" s="21" t="s">
        <v>1802</v>
      </c>
      <c r="I1314" s="21" t="s">
        <v>1744</v>
      </c>
    </row>
    <row r="1315" spans="1:9" x14ac:dyDescent="0.25">
      <c r="A1315" s="21" t="s">
        <v>1803</v>
      </c>
      <c r="B1315">
        <v>52</v>
      </c>
      <c r="C1315" s="21" t="s">
        <v>277</v>
      </c>
      <c r="D1315" s="21" t="s">
        <v>44</v>
      </c>
      <c r="E1315">
        <v>315</v>
      </c>
      <c r="F1315">
        <v>23</v>
      </c>
      <c r="G1315" s="21" t="s">
        <v>12</v>
      </c>
      <c r="H1315" s="21" t="s">
        <v>26</v>
      </c>
      <c r="I1315" s="21" t="s">
        <v>1744</v>
      </c>
    </row>
    <row r="1316" spans="1:9" x14ac:dyDescent="0.25">
      <c r="A1316" s="21" t="s">
        <v>1804</v>
      </c>
      <c r="B1316">
        <v>67</v>
      </c>
      <c r="C1316" s="21" t="s">
        <v>277</v>
      </c>
      <c r="D1316" s="21" t="s">
        <v>29</v>
      </c>
      <c r="E1316">
        <v>295</v>
      </c>
      <c r="G1316" s="21" t="s">
        <v>25</v>
      </c>
      <c r="H1316" s="21" t="s">
        <v>256</v>
      </c>
      <c r="I1316" s="21" t="s">
        <v>1744</v>
      </c>
    </row>
    <row r="1317" spans="1:9" x14ac:dyDescent="0.25">
      <c r="A1317" s="21" t="s">
        <v>1805</v>
      </c>
      <c r="B1317">
        <v>13</v>
      </c>
      <c r="C1317" s="21" t="s">
        <v>48</v>
      </c>
      <c r="D1317" s="21" t="s">
        <v>52</v>
      </c>
      <c r="E1317">
        <v>200</v>
      </c>
      <c r="F1317">
        <v>24</v>
      </c>
      <c r="G1317" s="21" t="s">
        <v>12</v>
      </c>
      <c r="H1317" s="21" t="s">
        <v>117</v>
      </c>
      <c r="I1317" s="21" t="s">
        <v>1744</v>
      </c>
    </row>
    <row r="1318" spans="1:9" x14ac:dyDescent="0.25">
      <c r="A1318" s="21" t="s">
        <v>1806</v>
      </c>
      <c r="B1318">
        <v>85</v>
      </c>
      <c r="C1318" s="21" t="s">
        <v>57</v>
      </c>
      <c r="D1318" s="21" t="s">
        <v>29</v>
      </c>
      <c r="E1318">
        <v>258</v>
      </c>
      <c r="F1318">
        <v>24</v>
      </c>
      <c r="G1318" s="21" t="s">
        <v>12</v>
      </c>
      <c r="H1318" s="21" t="s">
        <v>335</v>
      </c>
      <c r="I1318" s="21" t="s">
        <v>1744</v>
      </c>
    </row>
    <row r="1319" spans="1:9" x14ac:dyDescent="0.25">
      <c r="A1319" s="21" t="s">
        <v>626</v>
      </c>
      <c r="B1319">
        <v>48</v>
      </c>
      <c r="C1319" s="21" t="s">
        <v>57</v>
      </c>
      <c r="D1319" s="21" t="s">
        <v>29</v>
      </c>
      <c r="E1319">
        <v>245</v>
      </c>
      <c r="G1319" s="21" t="s">
        <v>25</v>
      </c>
      <c r="H1319" s="21" t="s">
        <v>106</v>
      </c>
      <c r="I1319" s="21" t="s">
        <v>1744</v>
      </c>
    </row>
    <row r="1320" spans="1:9" x14ac:dyDescent="0.25">
      <c r="A1320" s="21" t="s">
        <v>1807</v>
      </c>
      <c r="B1320">
        <v>94</v>
      </c>
      <c r="C1320" s="21" t="s">
        <v>213</v>
      </c>
      <c r="D1320" s="21" t="s">
        <v>35</v>
      </c>
      <c r="E1320">
        <v>245</v>
      </c>
      <c r="F1320">
        <v>29</v>
      </c>
      <c r="G1320" s="21" t="s">
        <v>30</v>
      </c>
      <c r="H1320" s="21" t="s">
        <v>1808</v>
      </c>
      <c r="I1320" s="21" t="s">
        <v>1744</v>
      </c>
    </row>
    <row r="1321" spans="1:9" x14ac:dyDescent="0.25">
      <c r="A1321" s="21" t="s">
        <v>1809</v>
      </c>
      <c r="B1321">
        <v>81</v>
      </c>
      <c r="C1321" s="21" t="s">
        <v>10</v>
      </c>
      <c r="D1321" s="21" t="s">
        <v>35</v>
      </c>
      <c r="E1321">
        <v>212</v>
      </c>
      <c r="F1321">
        <v>28</v>
      </c>
      <c r="G1321" s="21" t="s">
        <v>45</v>
      </c>
      <c r="H1321" s="21" t="s">
        <v>194</v>
      </c>
      <c r="I1321" s="21" t="s">
        <v>1744</v>
      </c>
    </row>
    <row r="1322" spans="1:9" x14ac:dyDescent="0.25">
      <c r="A1322" s="21" t="s">
        <v>1810</v>
      </c>
      <c r="B1322">
        <v>98</v>
      </c>
      <c r="C1322" s="21" t="s">
        <v>19</v>
      </c>
      <c r="D1322" s="21" t="s">
        <v>44</v>
      </c>
      <c r="E1322">
        <v>328</v>
      </c>
      <c r="F1322">
        <v>31</v>
      </c>
      <c r="G1322" s="21" t="s">
        <v>100</v>
      </c>
      <c r="H1322" s="21" t="s">
        <v>456</v>
      </c>
      <c r="I1322" s="21" t="s">
        <v>1744</v>
      </c>
    </row>
    <row r="1323" spans="1:9" x14ac:dyDescent="0.25">
      <c r="A1323" s="21" t="s">
        <v>1811</v>
      </c>
      <c r="B1323">
        <v>84</v>
      </c>
      <c r="C1323" s="21" t="s">
        <v>10</v>
      </c>
      <c r="D1323" s="21" t="s">
        <v>11</v>
      </c>
      <c r="E1323">
        <v>200</v>
      </c>
      <c r="F1323">
        <v>26</v>
      </c>
      <c r="G1323" s="21" t="s">
        <v>12</v>
      </c>
      <c r="H1323" s="21" t="s">
        <v>674</v>
      </c>
      <c r="I1323" s="21" t="s">
        <v>1744</v>
      </c>
    </row>
    <row r="1324" spans="1:9" x14ac:dyDescent="0.25">
      <c r="A1324" s="21" t="s">
        <v>1812</v>
      </c>
      <c r="B1324">
        <v>20</v>
      </c>
      <c r="C1324" s="21" t="s">
        <v>89</v>
      </c>
      <c r="D1324" s="21" t="s">
        <v>52</v>
      </c>
      <c r="E1324">
        <v>194</v>
      </c>
      <c r="F1324">
        <v>26</v>
      </c>
      <c r="G1324" s="21" t="s">
        <v>12</v>
      </c>
      <c r="H1324" s="21" t="s">
        <v>196</v>
      </c>
      <c r="I1324" s="21" t="s">
        <v>1744</v>
      </c>
    </row>
    <row r="1325" spans="1:9" x14ac:dyDescent="0.25">
      <c r="A1325" s="21" t="s">
        <v>1813</v>
      </c>
      <c r="B1325">
        <v>59</v>
      </c>
      <c r="C1325" s="21" t="s">
        <v>213</v>
      </c>
      <c r="D1325" s="21" t="s">
        <v>24</v>
      </c>
      <c r="E1325">
        <v>235</v>
      </c>
      <c r="F1325">
        <v>25</v>
      </c>
      <c r="G1325" s="21" t="s">
        <v>16</v>
      </c>
      <c r="H1325" s="21" t="s">
        <v>1074</v>
      </c>
      <c r="I1325" s="21" t="s">
        <v>1744</v>
      </c>
    </row>
    <row r="1326" spans="1:9" x14ac:dyDescent="0.25">
      <c r="A1326" s="21" t="s">
        <v>1814</v>
      </c>
      <c r="B1326">
        <v>66</v>
      </c>
      <c r="C1326" s="21" t="s">
        <v>277</v>
      </c>
      <c r="D1326" s="21" t="s">
        <v>29</v>
      </c>
      <c r="E1326">
        <v>312</v>
      </c>
      <c r="F1326">
        <v>27</v>
      </c>
      <c r="G1326" s="21" t="s">
        <v>16</v>
      </c>
      <c r="H1326" s="21" t="s">
        <v>189</v>
      </c>
      <c r="I1326" s="21" t="s">
        <v>1744</v>
      </c>
    </row>
    <row r="1327" spans="1:9" x14ac:dyDescent="0.25">
      <c r="A1327" s="21" t="s">
        <v>1815</v>
      </c>
      <c r="B1327">
        <v>4</v>
      </c>
      <c r="C1327" s="21" t="s">
        <v>70</v>
      </c>
      <c r="D1327" s="21" t="s">
        <v>24</v>
      </c>
      <c r="E1327">
        <v>202</v>
      </c>
      <c r="F1327">
        <v>26</v>
      </c>
      <c r="G1327" s="21" t="s">
        <v>12</v>
      </c>
      <c r="H1327" s="21" t="s">
        <v>330</v>
      </c>
      <c r="I1327" s="21" t="s">
        <v>1744</v>
      </c>
    </row>
    <row r="1328" spans="1:9" x14ac:dyDescent="0.25">
      <c r="A1328" s="21" t="s">
        <v>1816</v>
      </c>
      <c r="B1328">
        <v>82</v>
      </c>
      <c r="C1328" s="21" t="s">
        <v>57</v>
      </c>
      <c r="D1328" s="21" t="s">
        <v>29</v>
      </c>
      <c r="E1328">
        <v>253</v>
      </c>
      <c r="F1328">
        <v>28</v>
      </c>
      <c r="G1328" s="21" t="s">
        <v>45</v>
      </c>
      <c r="H1328" s="21" t="s">
        <v>1817</v>
      </c>
      <c r="I1328" s="21" t="s">
        <v>1744</v>
      </c>
    </row>
    <row r="1329" spans="1:9" x14ac:dyDescent="0.25">
      <c r="A1329" s="21" t="s">
        <v>1818</v>
      </c>
      <c r="B1329">
        <v>31</v>
      </c>
      <c r="C1329" s="21" t="s">
        <v>89</v>
      </c>
      <c r="D1329" s="21" t="s">
        <v>24</v>
      </c>
      <c r="E1329">
        <v>202</v>
      </c>
      <c r="F1329">
        <v>28</v>
      </c>
      <c r="G1329" s="21" t="s">
        <v>100</v>
      </c>
      <c r="H1329" s="21" t="s">
        <v>278</v>
      </c>
      <c r="I1329" s="21" t="s">
        <v>1744</v>
      </c>
    </row>
    <row r="1330" spans="1:9" x14ac:dyDescent="0.25">
      <c r="A1330" s="21" t="s">
        <v>1819</v>
      </c>
      <c r="B1330">
        <v>49</v>
      </c>
      <c r="C1330" s="21" t="s">
        <v>230</v>
      </c>
      <c r="D1330" s="21" t="s">
        <v>24</v>
      </c>
      <c r="E1330">
        <v>240</v>
      </c>
      <c r="F1330">
        <v>28</v>
      </c>
      <c r="G1330" s="21" t="s">
        <v>16</v>
      </c>
      <c r="H1330" s="21" t="s">
        <v>207</v>
      </c>
      <c r="I1330" s="21" t="s">
        <v>1744</v>
      </c>
    </row>
    <row r="1331" spans="1:9" x14ac:dyDescent="0.25">
      <c r="A1331" s="21" t="s">
        <v>1820</v>
      </c>
      <c r="B1331">
        <v>51</v>
      </c>
      <c r="C1331" s="21" t="s">
        <v>319</v>
      </c>
      <c r="D1331" s="21" t="s">
        <v>35</v>
      </c>
      <c r="E1331">
        <v>300</v>
      </c>
      <c r="F1331">
        <v>25</v>
      </c>
      <c r="G1331" s="21" t="s">
        <v>83</v>
      </c>
      <c r="H1331" s="21" t="s">
        <v>558</v>
      </c>
      <c r="I1331" s="21" t="s">
        <v>1744</v>
      </c>
    </row>
    <row r="1332" spans="1:9" x14ac:dyDescent="0.25">
      <c r="A1332" s="21" t="s">
        <v>1821</v>
      </c>
      <c r="B1332">
        <v>30</v>
      </c>
      <c r="C1332" s="21" t="s">
        <v>89</v>
      </c>
      <c r="D1332" s="21" t="s">
        <v>52</v>
      </c>
      <c r="E1332">
        <v>207</v>
      </c>
      <c r="F1332">
        <v>22</v>
      </c>
      <c r="G1332" s="21" t="s">
        <v>30</v>
      </c>
      <c r="H1332" s="21" t="s">
        <v>109</v>
      </c>
      <c r="I1332" s="21" t="s">
        <v>1744</v>
      </c>
    </row>
    <row r="1333" spans="1:9" x14ac:dyDescent="0.25">
      <c r="A1333" s="21" t="s">
        <v>1822</v>
      </c>
      <c r="B1333">
        <v>40</v>
      </c>
      <c r="C1333" s="21" t="s">
        <v>230</v>
      </c>
      <c r="D1333" s="21" t="s">
        <v>44</v>
      </c>
      <c r="E1333">
        <v>235</v>
      </c>
      <c r="F1333">
        <v>25</v>
      </c>
      <c r="G1333" s="21" t="s">
        <v>12</v>
      </c>
      <c r="H1333" s="21" t="s">
        <v>282</v>
      </c>
      <c r="I1333" s="21" t="s">
        <v>1744</v>
      </c>
    </row>
    <row r="1334" spans="1:9" x14ac:dyDescent="0.25">
      <c r="A1334" s="21" t="s">
        <v>1823</v>
      </c>
      <c r="B1334">
        <v>2</v>
      </c>
      <c r="C1334" s="21" t="s">
        <v>48</v>
      </c>
      <c r="D1334" s="21" t="s">
        <v>24</v>
      </c>
      <c r="E1334">
        <v>202</v>
      </c>
      <c r="F1334">
        <v>22</v>
      </c>
      <c r="G1334" s="21" t="s">
        <v>30</v>
      </c>
      <c r="H1334" s="21" t="s">
        <v>233</v>
      </c>
      <c r="I1334" s="21" t="s">
        <v>1744</v>
      </c>
    </row>
    <row r="1335" spans="1:9" x14ac:dyDescent="0.25">
      <c r="A1335" s="21" t="s">
        <v>1824</v>
      </c>
      <c r="B1335">
        <v>14</v>
      </c>
      <c r="C1335" s="21" t="s">
        <v>10</v>
      </c>
      <c r="D1335" s="21" t="s">
        <v>35</v>
      </c>
      <c r="E1335">
        <v>216</v>
      </c>
      <c r="F1335">
        <v>26</v>
      </c>
      <c r="G1335" s="21" t="s">
        <v>45</v>
      </c>
      <c r="H1335" s="21" t="s">
        <v>674</v>
      </c>
      <c r="I1335" s="21" t="s">
        <v>1744</v>
      </c>
    </row>
    <row r="1336" spans="1:9" x14ac:dyDescent="0.25">
      <c r="A1336" s="21" t="s">
        <v>1825</v>
      </c>
      <c r="B1336">
        <v>87</v>
      </c>
      <c r="C1336" s="21" t="s">
        <v>57</v>
      </c>
      <c r="D1336" s="21" t="s">
        <v>67</v>
      </c>
      <c r="E1336">
        <v>263</v>
      </c>
      <c r="F1336">
        <v>30</v>
      </c>
      <c r="G1336" s="21" t="s">
        <v>100</v>
      </c>
      <c r="H1336" s="21" t="s">
        <v>377</v>
      </c>
      <c r="I1336" s="21" t="s">
        <v>1744</v>
      </c>
    </row>
    <row r="1337" spans="1:9" x14ac:dyDescent="0.25">
      <c r="A1337" s="21" t="s">
        <v>1826</v>
      </c>
      <c r="B1337">
        <v>74</v>
      </c>
      <c r="C1337" s="21" t="s">
        <v>140</v>
      </c>
      <c r="D1337" s="21" t="s">
        <v>67</v>
      </c>
      <c r="E1337">
        <v>315</v>
      </c>
      <c r="F1337">
        <v>26</v>
      </c>
      <c r="G1337" s="21" t="s">
        <v>83</v>
      </c>
      <c r="H1337" s="21" t="s">
        <v>13</v>
      </c>
      <c r="I1337" s="21" t="s">
        <v>1744</v>
      </c>
    </row>
    <row r="1338" spans="1:9" x14ac:dyDescent="0.25">
      <c r="A1338" s="21" t="s">
        <v>1828</v>
      </c>
      <c r="B1338">
        <v>32</v>
      </c>
      <c r="C1338" s="21" t="s">
        <v>89</v>
      </c>
      <c r="D1338" s="21" t="s">
        <v>54</v>
      </c>
      <c r="E1338">
        <v>200</v>
      </c>
      <c r="F1338">
        <v>22</v>
      </c>
      <c r="G1338" s="21" t="s">
        <v>25</v>
      </c>
      <c r="H1338" s="21" t="s">
        <v>187</v>
      </c>
      <c r="I1338" s="21" t="s">
        <v>1744</v>
      </c>
    </row>
    <row r="1339" spans="1:9" x14ac:dyDescent="0.25">
      <c r="A1339" s="21" t="s">
        <v>1827</v>
      </c>
      <c r="B1339">
        <v>57</v>
      </c>
      <c r="C1339" s="21" t="s">
        <v>28</v>
      </c>
      <c r="D1339" s="21" t="s">
        <v>29</v>
      </c>
      <c r="E1339">
        <v>310</v>
      </c>
      <c r="F1339">
        <v>30</v>
      </c>
      <c r="G1339" s="21" t="s">
        <v>64</v>
      </c>
      <c r="H1339" s="21" t="s">
        <v>122</v>
      </c>
      <c r="I1339" s="21" t="s">
        <v>1744</v>
      </c>
    </row>
    <row r="1340" spans="1:9" x14ac:dyDescent="0.25">
      <c r="A1340" s="21" t="s">
        <v>1829</v>
      </c>
      <c r="B1340">
        <v>96</v>
      </c>
      <c r="C1340" s="21" t="s">
        <v>19</v>
      </c>
      <c r="D1340" s="21" t="s">
        <v>67</v>
      </c>
      <c r="E1340">
        <v>320</v>
      </c>
      <c r="F1340">
        <v>24</v>
      </c>
      <c r="G1340" s="21" t="s">
        <v>25</v>
      </c>
      <c r="H1340" s="21" t="s">
        <v>162</v>
      </c>
      <c r="I1340" s="21" t="s">
        <v>1744</v>
      </c>
    </row>
    <row r="1341" spans="1:9" x14ac:dyDescent="0.25">
      <c r="A1341" s="21" t="s">
        <v>1830</v>
      </c>
      <c r="B1341">
        <v>17</v>
      </c>
      <c r="C1341" s="21" t="s">
        <v>10</v>
      </c>
      <c r="D1341" s="21" t="s">
        <v>52</v>
      </c>
      <c r="E1341">
        <v>210</v>
      </c>
      <c r="G1341" s="21" t="s">
        <v>25</v>
      </c>
      <c r="H1341" s="21" t="s">
        <v>243</v>
      </c>
      <c r="I1341" s="21" t="s">
        <v>1744</v>
      </c>
    </row>
    <row r="1342" spans="1:9" x14ac:dyDescent="0.25">
      <c r="A1342" s="21" t="s">
        <v>1831</v>
      </c>
      <c r="B1342">
        <v>54</v>
      </c>
      <c r="C1342" s="21" t="s">
        <v>230</v>
      </c>
      <c r="D1342" s="21" t="s">
        <v>52</v>
      </c>
      <c r="E1342">
        <v>232</v>
      </c>
      <c r="F1342">
        <v>24</v>
      </c>
      <c r="G1342" s="21" t="s">
        <v>83</v>
      </c>
      <c r="H1342" s="21" t="s">
        <v>117</v>
      </c>
      <c r="I1342" s="21" t="s">
        <v>1744</v>
      </c>
    </row>
    <row r="1343" spans="1:9" x14ac:dyDescent="0.25">
      <c r="A1343" s="21" t="s">
        <v>1832</v>
      </c>
      <c r="B1343">
        <v>17</v>
      </c>
      <c r="C1343" s="21" t="s">
        <v>193</v>
      </c>
      <c r="D1343" s="21" t="s">
        <v>24</v>
      </c>
      <c r="E1343">
        <v>210</v>
      </c>
      <c r="F1343">
        <v>27</v>
      </c>
      <c r="G1343" s="21" t="s">
        <v>83</v>
      </c>
      <c r="H1343" s="21" t="s">
        <v>1577</v>
      </c>
      <c r="I1343" s="21" t="s">
        <v>1744</v>
      </c>
    </row>
    <row r="1344" spans="1:9" x14ac:dyDescent="0.25">
      <c r="A1344" s="21" t="s">
        <v>1833</v>
      </c>
      <c r="B1344">
        <v>12</v>
      </c>
      <c r="C1344" s="21" t="s">
        <v>10</v>
      </c>
      <c r="D1344" s="21" t="s">
        <v>125</v>
      </c>
      <c r="E1344">
        <v>170</v>
      </c>
      <c r="F1344">
        <v>23</v>
      </c>
      <c r="G1344" s="21" t="s">
        <v>25</v>
      </c>
      <c r="H1344" s="21" t="s">
        <v>1834</v>
      </c>
      <c r="I1344" s="21" t="s">
        <v>1744</v>
      </c>
    </row>
    <row r="1345" spans="1:9" x14ac:dyDescent="0.25">
      <c r="A1345" s="21" t="s">
        <v>1835</v>
      </c>
      <c r="B1345">
        <v>60</v>
      </c>
      <c r="C1345" s="21" t="s">
        <v>184</v>
      </c>
      <c r="D1345" s="21" t="s">
        <v>29</v>
      </c>
      <c r="E1345">
        <v>300</v>
      </c>
      <c r="F1345">
        <v>24</v>
      </c>
      <c r="G1345" s="21" t="s">
        <v>25</v>
      </c>
      <c r="H1345" s="21" t="s">
        <v>274</v>
      </c>
      <c r="I1345" s="21" t="s">
        <v>1744</v>
      </c>
    </row>
    <row r="1346" spans="1:9" x14ac:dyDescent="0.25">
      <c r="A1346" s="21" t="s">
        <v>1836</v>
      </c>
      <c r="B1346">
        <v>99</v>
      </c>
      <c r="C1346" s="21" t="s">
        <v>19</v>
      </c>
      <c r="D1346" s="21" t="s">
        <v>52</v>
      </c>
      <c r="E1346">
        <v>291</v>
      </c>
      <c r="F1346">
        <v>29</v>
      </c>
      <c r="G1346" s="21" t="s">
        <v>16</v>
      </c>
      <c r="H1346" s="21" t="s">
        <v>136</v>
      </c>
      <c r="I1346" s="21" t="s">
        <v>1744</v>
      </c>
    </row>
    <row r="1347" spans="1:9" x14ac:dyDescent="0.25">
      <c r="A1347" s="21" t="s">
        <v>1837</v>
      </c>
      <c r="B1347">
        <v>33</v>
      </c>
      <c r="C1347" s="21" t="s">
        <v>51</v>
      </c>
      <c r="D1347" s="21" t="s">
        <v>125</v>
      </c>
      <c r="E1347">
        <v>220</v>
      </c>
      <c r="F1347">
        <v>22</v>
      </c>
      <c r="G1347" s="21" t="s">
        <v>30</v>
      </c>
      <c r="H1347" s="21" t="s">
        <v>73</v>
      </c>
      <c r="I1347" s="21" t="s">
        <v>1744</v>
      </c>
    </row>
    <row r="1348" spans="1:9" x14ac:dyDescent="0.25">
      <c r="A1348" s="21" t="s">
        <v>1838</v>
      </c>
      <c r="B1348">
        <v>21</v>
      </c>
      <c r="C1348" s="21" t="s">
        <v>48</v>
      </c>
      <c r="D1348" s="21" t="s">
        <v>135</v>
      </c>
      <c r="E1348">
        <v>185</v>
      </c>
      <c r="F1348">
        <v>31</v>
      </c>
      <c r="G1348" s="21" t="s">
        <v>21</v>
      </c>
      <c r="H1348" s="21" t="s">
        <v>128</v>
      </c>
      <c r="I1348" s="21" t="s">
        <v>1744</v>
      </c>
    </row>
    <row r="1349" spans="1:9" x14ac:dyDescent="0.25">
      <c r="A1349" s="21" t="s">
        <v>1839</v>
      </c>
      <c r="B1349">
        <v>86</v>
      </c>
      <c r="C1349" s="21" t="s">
        <v>57</v>
      </c>
      <c r="D1349" s="21" t="s">
        <v>35</v>
      </c>
      <c r="E1349">
        <v>235</v>
      </c>
      <c r="F1349">
        <v>24</v>
      </c>
      <c r="G1349" s="21" t="s">
        <v>25</v>
      </c>
      <c r="H1349" s="21" t="s">
        <v>1840</v>
      </c>
      <c r="I1349" s="21" t="s">
        <v>1744</v>
      </c>
    </row>
    <row r="1350" spans="1:9" x14ac:dyDescent="0.25">
      <c r="A1350" s="21" t="s">
        <v>1841</v>
      </c>
      <c r="B1350">
        <v>19</v>
      </c>
      <c r="C1350" s="21" t="s">
        <v>10</v>
      </c>
      <c r="D1350" s="21" t="s">
        <v>44</v>
      </c>
      <c r="E1350">
        <v>211</v>
      </c>
      <c r="F1350">
        <v>22</v>
      </c>
      <c r="G1350" s="21" t="s">
        <v>83</v>
      </c>
      <c r="H1350" s="21" t="s">
        <v>65</v>
      </c>
      <c r="I1350" s="21" t="s">
        <v>1744</v>
      </c>
    </row>
    <row r="1351" spans="1:9" x14ac:dyDescent="0.25">
      <c r="A1351" s="21" t="s">
        <v>1842</v>
      </c>
      <c r="B1351">
        <v>3</v>
      </c>
      <c r="C1351" s="21" t="s">
        <v>70</v>
      </c>
      <c r="D1351" s="21" t="s">
        <v>54</v>
      </c>
      <c r="E1351">
        <v>215</v>
      </c>
      <c r="F1351">
        <v>33</v>
      </c>
      <c r="G1351" s="21" t="s">
        <v>254</v>
      </c>
      <c r="H1351" s="21" t="s">
        <v>68</v>
      </c>
      <c r="I1351" s="21" t="s">
        <v>1744</v>
      </c>
    </row>
    <row r="1352" spans="1:9" x14ac:dyDescent="0.25">
      <c r="A1352" s="21" t="s">
        <v>1843</v>
      </c>
      <c r="B1352">
        <v>48</v>
      </c>
      <c r="C1352" s="21" t="s">
        <v>230</v>
      </c>
      <c r="D1352" s="21" t="s">
        <v>44</v>
      </c>
      <c r="E1352">
        <v>230</v>
      </c>
      <c r="F1352">
        <v>24</v>
      </c>
      <c r="G1352" s="21" t="s">
        <v>25</v>
      </c>
      <c r="H1352" s="21" t="s">
        <v>504</v>
      </c>
      <c r="I1352" s="21" t="s">
        <v>1744</v>
      </c>
    </row>
    <row r="1353" spans="1:9" x14ac:dyDescent="0.25">
      <c r="A1353" s="21" t="s">
        <v>2973</v>
      </c>
      <c r="B1353">
        <v>34</v>
      </c>
      <c r="C1353" s="21" t="s">
        <v>15</v>
      </c>
      <c r="D1353" s="21" t="s">
        <v>44</v>
      </c>
      <c r="E1353">
        <v>237</v>
      </c>
      <c r="F1353">
        <v>27</v>
      </c>
      <c r="G1353" s="21" t="s">
        <v>38</v>
      </c>
      <c r="H1353" s="21" t="s">
        <v>251</v>
      </c>
      <c r="I1353" s="21" t="s">
        <v>2972</v>
      </c>
    </row>
    <row r="1354" spans="1:9" x14ac:dyDescent="0.25">
      <c r="A1354" s="21" t="s">
        <v>2974</v>
      </c>
      <c r="B1354">
        <v>94</v>
      </c>
      <c r="C1354" s="21" t="s">
        <v>319</v>
      </c>
      <c r="D1354" s="21" t="s">
        <v>29</v>
      </c>
      <c r="E1354">
        <v>289</v>
      </c>
      <c r="F1354">
        <v>24</v>
      </c>
      <c r="G1354" s="21" t="s">
        <v>30</v>
      </c>
      <c r="H1354" s="21" t="s">
        <v>42</v>
      </c>
      <c r="I1354" s="21" t="s">
        <v>2972</v>
      </c>
    </row>
    <row r="1355" spans="1:9" x14ac:dyDescent="0.25">
      <c r="A1355" s="21" t="s">
        <v>2975</v>
      </c>
      <c r="B1355">
        <v>55</v>
      </c>
      <c r="C1355" s="21" t="s">
        <v>15</v>
      </c>
      <c r="D1355" s="21" t="s">
        <v>11</v>
      </c>
      <c r="E1355">
        <v>238</v>
      </c>
      <c r="F1355">
        <v>23</v>
      </c>
      <c r="G1355" s="21" t="s">
        <v>30</v>
      </c>
      <c r="H1355" s="21" t="s">
        <v>400</v>
      </c>
      <c r="I1355" s="21" t="s">
        <v>2972</v>
      </c>
    </row>
    <row r="1356" spans="1:9" x14ac:dyDescent="0.25">
      <c r="A1356" s="21" t="s">
        <v>2976</v>
      </c>
      <c r="B1356">
        <v>29</v>
      </c>
      <c r="C1356" s="21" t="s">
        <v>51</v>
      </c>
      <c r="D1356" s="21" t="s">
        <v>11</v>
      </c>
      <c r="E1356">
        <v>200</v>
      </c>
      <c r="F1356">
        <v>24</v>
      </c>
      <c r="G1356" s="21" t="s">
        <v>25</v>
      </c>
      <c r="H1356" s="21" t="s">
        <v>33</v>
      </c>
      <c r="I1356" s="21" t="s">
        <v>2972</v>
      </c>
    </row>
    <row r="1357" spans="1:9" x14ac:dyDescent="0.25">
      <c r="A1357" s="21" t="s">
        <v>2977</v>
      </c>
      <c r="B1357">
        <v>17</v>
      </c>
      <c r="C1357" s="21" t="s">
        <v>10</v>
      </c>
      <c r="D1357" s="21" t="s">
        <v>11</v>
      </c>
      <c r="E1357">
        <v>187</v>
      </c>
      <c r="F1357">
        <v>25</v>
      </c>
      <c r="G1357" s="21" t="s">
        <v>30</v>
      </c>
      <c r="H1357" s="21" t="s">
        <v>2562</v>
      </c>
      <c r="I1357" s="21" t="s">
        <v>2972</v>
      </c>
    </row>
    <row r="1358" spans="1:9" x14ac:dyDescent="0.25">
      <c r="A1358" s="21" t="s">
        <v>2978</v>
      </c>
      <c r="B1358">
        <v>10</v>
      </c>
      <c r="C1358" s="21" t="s">
        <v>70</v>
      </c>
      <c r="D1358" s="21" t="s">
        <v>52</v>
      </c>
      <c r="E1358">
        <v>207</v>
      </c>
      <c r="F1358">
        <v>26</v>
      </c>
      <c r="G1358" s="21" t="s">
        <v>16</v>
      </c>
      <c r="H1358" s="21" t="s">
        <v>400</v>
      </c>
      <c r="I1358" s="21" t="s">
        <v>2972</v>
      </c>
    </row>
    <row r="1359" spans="1:9" x14ac:dyDescent="0.25">
      <c r="A1359" s="21" t="s">
        <v>2979</v>
      </c>
      <c r="B1359">
        <v>49</v>
      </c>
      <c r="C1359" s="21" t="s">
        <v>15</v>
      </c>
      <c r="D1359" s="21" t="s">
        <v>24</v>
      </c>
      <c r="E1359">
        <v>239</v>
      </c>
      <c r="F1359">
        <v>27</v>
      </c>
      <c r="G1359" s="21" t="s">
        <v>45</v>
      </c>
      <c r="H1359" s="21" t="s">
        <v>122</v>
      </c>
      <c r="I1359" s="21" t="s">
        <v>2972</v>
      </c>
    </row>
    <row r="1360" spans="1:9" x14ac:dyDescent="0.25">
      <c r="A1360" s="21" t="s">
        <v>2980</v>
      </c>
      <c r="B1360">
        <v>35</v>
      </c>
      <c r="C1360" s="21" t="s">
        <v>48</v>
      </c>
      <c r="D1360" s="21" t="s">
        <v>54</v>
      </c>
      <c r="E1360">
        <v>187</v>
      </c>
      <c r="F1360">
        <v>23</v>
      </c>
      <c r="G1360" s="21" t="s">
        <v>25</v>
      </c>
      <c r="H1360" s="21" t="s">
        <v>484</v>
      </c>
      <c r="I1360" s="21" t="s">
        <v>2972</v>
      </c>
    </row>
    <row r="1361" spans="1:9" x14ac:dyDescent="0.25">
      <c r="A1361" s="21" t="s">
        <v>2981</v>
      </c>
      <c r="B1361">
        <v>12</v>
      </c>
      <c r="C1361" s="21" t="s">
        <v>70</v>
      </c>
      <c r="D1361" s="21" t="s">
        <v>35</v>
      </c>
      <c r="E1361">
        <v>225</v>
      </c>
      <c r="F1361">
        <v>27</v>
      </c>
      <c r="G1361" s="21" t="s">
        <v>45</v>
      </c>
      <c r="H1361" s="21" t="s">
        <v>1808</v>
      </c>
      <c r="I1361" s="21" t="s">
        <v>2972</v>
      </c>
    </row>
    <row r="1362" spans="1:9" x14ac:dyDescent="0.25">
      <c r="A1362" s="21" t="s">
        <v>2982</v>
      </c>
      <c r="B1362">
        <v>15</v>
      </c>
      <c r="C1362" s="21" t="s">
        <v>89</v>
      </c>
      <c r="D1362" s="21" t="s">
        <v>11</v>
      </c>
      <c r="E1362">
        <v>200</v>
      </c>
      <c r="F1362">
        <v>24</v>
      </c>
      <c r="G1362" s="21" t="s">
        <v>30</v>
      </c>
      <c r="H1362" s="21" t="s">
        <v>22</v>
      </c>
      <c r="I1362" s="21" t="s">
        <v>2972</v>
      </c>
    </row>
    <row r="1363" spans="1:9" x14ac:dyDescent="0.25">
      <c r="A1363" s="21" t="s">
        <v>2983</v>
      </c>
      <c r="B1363">
        <v>90</v>
      </c>
      <c r="C1363" s="21" t="s">
        <v>319</v>
      </c>
      <c r="D1363" s="21" t="s">
        <v>29</v>
      </c>
      <c r="E1363">
        <v>297</v>
      </c>
      <c r="F1363">
        <v>31</v>
      </c>
      <c r="G1363" s="21" t="s">
        <v>254</v>
      </c>
      <c r="H1363" s="21" t="s">
        <v>267</v>
      </c>
      <c r="I1363" s="21" t="s">
        <v>2972</v>
      </c>
    </row>
    <row r="1364" spans="1:9" x14ac:dyDescent="0.25">
      <c r="A1364" s="21" t="s">
        <v>2984</v>
      </c>
      <c r="B1364">
        <v>63</v>
      </c>
      <c r="C1364" s="21" t="s">
        <v>184</v>
      </c>
      <c r="D1364" s="21" t="s">
        <v>44</v>
      </c>
      <c r="E1364">
        <v>320</v>
      </c>
      <c r="F1364">
        <v>25</v>
      </c>
      <c r="G1364" s="21" t="s">
        <v>16</v>
      </c>
      <c r="H1364" s="21" t="s">
        <v>674</v>
      </c>
      <c r="I1364" s="21" t="s">
        <v>2972</v>
      </c>
    </row>
    <row r="1365" spans="1:9" x14ac:dyDescent="0.25">
      <c r="A1365" s="21" t="s">
        <v>2985</v>
      </c>
      <c r="B1365">
        <v>2</v>
      </c>
      <c r="C1365" s="21" t="s">
        <v>213</v>
      </c>
      <c r="D1365" s="21" t="s">
        <v>29</v>
      </c>
      <c r="E1365">
        <v>250</v>
      </c>
      <c r="F1365">
        <v>25</v>
      </c>
      <c r="G1365" s="21" t="s">
        <v>16</v>
      </c>
      <c r="H1365" s="21" t="s">
        <v>136</v>
      </c>
      <c r="I1365" s="21" t="s">
        <v>2972</v>
      </c>
    </row>
    <row r="1366" spans="1:9" x14ac:dyDescent="0.25">
      <c r="A1366" s="21" t="s">
        <v>2986</v>
      </c>
      <c r="B1366">
        <v>45</v>
      </c>
      <c r="C1366" s="21" t="s">
        <v>91</v>
      </c>
      <c r="D1366" s="21" t="s">
        <v>52</v>
      </c>
      <c r="E1366">
        <v>238</v>
      </c>
      <c r="F1366">
        <v>26</v>
      </c>
      <c r="G1366" s="21" t="s">
        <v>16</v>
      </c>
      <c r="H1366" s="21" t="s">
        <v>3251</v>
      </c>
      <c r="I1366" s="21" t="s">
        <v>2972</v>
      </c>
    </row>
    <row r="1367" spans="1:9" x14ac:dyDescent="0.25">
      <c r="A1367" s="21" t="s">
        <v>2987</v>
      </c>
      <c r="B1367">
        <v>87</v>
      </c>
      <c r="C1367" s="21" t="s">
        <v>10</v>
      </c>
      <c r="D1367" s="21" t="s">
        <v>52</v>
      </c>
      <c r="E1367">
        <v>208</v>
      </c>
      <c r="F1367">
        <v>24</v>
      </c>
      <c r="G1367" s="21" t="s">
        <v>12</v>
      </c>
      <c r="H1367" s="21" t="s">
        <v>68</v>
      </c>
      <c r="I1367" s="21" t="s">
        <v>2972</v>
      </c>
    </row>
    <row r="1368" spans="1:9" x14ac:dyDescent="0.25">
      <c r="A1368" s="21" t="s">
        <v>2988</v>
      </c>
      <c r="B1368">
        <v>4</v>
      </c>
      <c r="C1368" s="21" t="s">
        <v>10</v>
      </c>
      <c r="D1368" s="21" t="s">
        <v>35</v>
      </c>
      <c r="E1368">
        <v>205</v>
      </c>
      <c r="F1368">
        <v>25</v>
      </c>
      <c r="G1368" s="21" t="s">
        <v>45</v>
      </c>
      <c r="H1368" s="21" t="s">
        <v>267</v>
      </c>
      <c r="I1368" s="21" t="s">
        <v>2972</v>
      </c>
    </row>
    <row r="1369" spans="1:9" x14ac:dyDescent="0.25">
      <c r="A1369" s="21" t="s">
        <v>2989</v>
      </c>
      <c r="B1369">
        <v>79</v>
      </c>
      <c r="C1369" s="21" t="s">
        <v>319</v>
      </c>
      <c r="D1369" s="21" t="s">
        <v>29</v>
      </c>
      <c r="E1369">
        <v>285</v>
      </c>
      <c r="F1369">
        <v>26</v>
      </c>
      <c r="G1369" s="21" t="s">
        <v>16</v>
      </c>
      <c r="H1369" s="21" t="s">
        <v>1537</v>
      </c>
      <c r="I1369" s="21" t="s">
        <v>2972</v>
      </c>
    </row>
    <row r="1370" spans="1:9" x14ac:dyDescent="0.25">
      <c r="A1370" s="21" t="s">
        <v>2990</v>
      </c>
      <c r="B1370">
        <v>96</v>
      </c>
      <c r="C1370" s="21" t="s">
        <v>319</v>
      </c>
      <c r="D1370" s="21" t="s">
        <v>44</v>
      </c>
      <c r="E1370">
        <v>300</v>
      </c>
      <c r="F1370">
        <v>25</v>
      </c>
      <c r="G1370" s="21" t="s">
        <v>12</v>
      </c>
      <c r="H1370" s="21" t="s">
        <v>36</v>
      </c>
      <c r="I1370" s="21" t="s">
        <v>2972</v>
      </c>
    </row>
    <row r="1371" spans="1:9" x14ac:dyDescent="0.25">
      <c r="A1371" s="21" t="s">
        <v>2991</v>
      </c>
      <c r="B1371">
        <v>47</v>
      </c>
      <c r="C1371" s="21" t="s">
        <v>158</v>
      </c>
      <c r="D1371" s="21" t="s">
        <v>52</v>
      </c>
      <c r="E1371">
        <v>245</v>
      </c>
      <c r="F1371">
        <v>28</v>
      </c>
      <c r="G1371" s="21" t="s">
        <v>30</v>
      </c>
      <c r="H1371" s="21" t="s">
        <v>31</v>
      </c>
      <c r="I1371" s="21" t="s">
        <v>2972</v>
      </c>
    </row>
    <row r="1372" spans="1:9" x14ac:dyDescent="0.25">
      <c r="A1372" s="21" t="s">
        <v>2992</v>
      </c>
      <c r="B1372">
        <v>40</v>
      </c>
      <c r="C1372" s="21" t="s">
        <v>15</v>
      </c>
      <c r="D1372" s="21" t="s">
        <v>52</v>
      </c>
      <c r="E1372">
        <v>242</v>
      </c>
      <c r="F1372">
        <v>27</v>
      </c>
      <c r="G1372" s="21" t="s">
        <v>38</v>
      </c>
      <c r="H1372" s="21" t="s">
        <v>251</v>
      </c>
      <c r="I1372" s="21" t="s">
        <v>2972</v>
      </c>
    </row>
    <row r="1373" spans="1:9" x14ac:dyDescent="0.25">
      <c r="A1373" s="21" t="s">
        <v>2993</v>
      </c>
      <c r="B1373">
        <v>68</v>
      </c>
      <c r="C1373" s="21" t="s">
        <v>140</v>
      </c>
      <c r="D1373" s="21" t="s">
        <v>20</v>
      </c>
      <c r="E1373">
        <v>320</v>
      </c>
      <c r="F1373">
        <v>28</v>
      </c>
      <c r="G1373" s="21" t="s">
        <v>100</v>
      </c>
      <c r="H1373" s="21" t="s">
        <v>36</v>
      </c>
      <c r="I1373" s="21" t="s">
        <v>2972</v>
      </c>
    </row>
    <row r="1374" spans="1:9" x14ac:dyDescent="0.25">
      <c r="A1374" s="21" t="s">
        <v>2994</v>
      </c>
      <c r="B1374">
        <v>48</v>
      </c>
      <c r="C1374" s="21" t="s">
        <v>57</v>
      </c>
      <c r="D1374" s="21" t="s">
        <v>35</v>
      </c>
      <c r="E1374">
        <v>235</v>
      </c>
      <c r="F1374">
        <v>24</v>
      </c>
      <c r="G1374" s="21" t="s">
        <v>25</v>
      </c>
      <c r="H1374" s="21" t="s">
        <v>311</v>
      </c>
      <c r="I1374" s="21" t="s">
        <v>2972</v>
      </c>
    </row>
    <row r="1375" spans="1:9" x14ac:dyDescent="0.25">
      <c r="A1375" s="21" t="s">
        <v>2995</v>
      </c>
      <c r="B1375">
        <v>5</v>
      </c>
      <c r="C1375" s="21" t="s">
        <v>89</v>
      </c>
      <c r="D1375" s="21" t="s">
        <v>52</v>
      </c>
      <c r="E1375">
        <v>210</v>
      </c>
      <c r="F1375">
        <v>25</v>
      </c>
      <c r="G1375" s="21" t="s">
        <v>45</v>
      </c>
      <c r="H1375" s="21" t="s">
        <v>109</v>
      </c>
      <c r="I1375" s="21" t="s">
        <v>2972</v>
      </c>
    </row>
    <row r="1376" spans="1:9" x14ac:dyDescent="0.25">
      <c r="A1376" s="21" t="s">
        <v>2996</v>
      </c>
      <c r="B1376">
        <v>65</v>
      </c>
      <c r="C1376" s="21" t="s">
        <v>140</v>
      </c>
      <c r="D1376" s="21" t="s">
        <v>141</v>
      </c>
      <c r="E1376">
        <v>325</v>
      </c>
      <c r="F1376">
        <v>24</v>
      </c>
      <c r="G1376" s="21" t="s">
        <v>25</v>
      </c>
      <c r="H1376" s="21" t="s">
        <v>618</v>
      </c>
      <c r="I1376" s="21" t="s">
        <v>2972</v>
      </c>
    </row>
    <row r="1377" spans="1:9" x14ac:dyDescent="0.25">
      <c r="A1377" s="21" t="s">
        <v>2997</v>
      </c>
      <c r="B1377">
        <v>3</v>
      </c>
      <c r="C1377" s="21" t="s">
        <v>193</v>
      </c>
      <c r="D1377" s="21" t="s">
        <v>24</v>
      </c>
      <c r="E1377">
        <v>215</v>
      </c>
      <c r="F1377">
        <v>25</v>
      </c>
      <c r="G1377" s="21" t="s">
        <v>12</v>
      </c>
      <c r="H1377" s="21" t="s">
        <v>978</v>
      </c>
      <c r="I1377" s="21" t="s">
        <v>2972</v>
      </c>
    </row>
    <row r="1378" spans="1:9" x14ac:dyDescent="0.25">
      <c r="A1378" s="21" t="s">
        <v>2998</v>
      </c>
      <c r="B1378">
        <v>13</v>
      </c>
      <c r="C1378" s="21" t="s">
        <v>57</v>
      </c>
      <c r="D1378" s="21" t="s">
        <v>35</v>
      </c>
      <c r="E1378">
        <v>235</v>
      </c>
      <c r="F1378">
        <v>28</v>
      </c>
      <c r="G1378" s="21" t="s">
        <v>38</v>
      </c>
      <c r="H1378" s="21" t="s">
        <v>98</v>
      </c>
      <c r="I1378" s="21" t="s">
        <v>2972</v>
      </c>
    </row>
    <row r="1379" spans="1:9" x14ac:dyDescent="0.25">
      <c r="A1379" s="21" t="s">
        <v>2999</v>
      </c>
      <c r="B1379">
        <v>29</v>
      </c>
      <c r="C1379" s="21" t="s">
        <v>48</v>
      </c>
      <c r="D1379" s="21" t="s">
        <v>52</v>
      </c>
      <c r="E1379">
        <v>190</v>
      </c>
      <c r="F1379">
        <v>25</v>
      </c>
      <c r="G1379" s="21" t="s">
        <v>30</v>
      </c>
      <c r="H1379" s="21" t="s">
        <v>347</v>
      </c>
      <c r="I1379" s="21" t="s">
        <v>2972</v>
      </c>
    </row>
    <row r="1380" spans="1:9" x14ac:dyDescent="0.25">
      <c r="A1380" s="21" t="s">
        <v>3000</v>
      </c>
      <c r="B1380">
        <v>43</v>
      </c>
      <c r="C1380" s="21" t="s">
        <v>57</v>
      </c>
      <c r="D1380" s="21" t="s">
        <v>44</v>
      </c>
      <c r="E1380">
        <v>250</v>
      </c>
      <c r="F1380">
        <v>24</v>
      </c>
      <c r="G1380" s="21" t="s">
        <v>25</v>
      </c>
      <c r="H1380" s="21" t="s">
        <v>2923</v>
      </c>
      <c r="I1380" s="21" t="s">
        <v>2972</v>
      </c>
    </row>
    <row r="1381" spans="1:9" x14ac:dyDescent="0.25">
      <c r="A1381" s="21" t="s">
        <v>3001</v>
      </c>
      <c r="B1381">
        <v>16</v>
      </c>
      <c r="C1381" s="21" t="s">
        <v>70</v>
      </c>
      <c r="D1381" s="21" t="s">
        <v>35</v>
      </c>
      <c r="E1381">
        <v>217</v>
      </c>
      <c r="F1381">
        <v>27</v>
      </c>
      <c r="G1381" s="21" t="s">
        <v>100</v>
      </c>
      <c r="H1381" s="21" t="s">
        <v>226</v>
      </c>
      <c r="I1381" s="21" t="s">
        <v>2972</v>
      </c>
    </row>
    <row r="1382" spans="1:9" x14ac:dyDescent="0.25">
      <c r="A1382" s="21" t="s">
        <v>3002</v>
      </c>
      <c r="B1382">
        <v>86</v>
      </c>
      <c r="C1382" s="21" t="s">
        <v>57</v>
      </c>
      <c r="D1382" s="21" t="s">
        <v>35</v>
      </c>
      <c r="E1382">
        <v>246</v>
      </c>
      <c r="F1382">
        <v>28</v>
      </c>
      <c r="G1382" s="21" t="s">
        <v>16</v>
      </c>
      <c r="H1382" s="21" t="s">
        <v>721</v>
      </c>
      <c r="I1382" s="21" t="s">
        <v>2972</v>
      </c>
    </row>
    <row r="1383" spans="1:9" x14ac:dyDescent="0.25">
      <c r="A1383" s="21" t="s">
        <v>3003</v>
      </c>
      <c r="B1383">
        <v>50</v>
      </c>
      <c r="C1383" s="21" t="s">
        <v>15</v>
      </c>
      <c r="D1383" s="21" t="s">
        <v>11</v>
      </c>
      <c r="E1383">
        <v>235</v>
      </c>
      <c r="F1383">
        <v>26</v>
      </c>
      <c r="G1383" s="21" t="s">
        <v>45</v>
      </c>
      <c r="H1383" s="21" t="s">
        <v>233</v>
      </c>
      <c r="I1383" s="21" t="s">
        <v>2972</v>
      </c>
    </row>
    <row r="1384" spans="1:9" x14ac:dyDescent="0.25">
      <c r="A1384" s="21" t="s">
        <v>3004</v>
      </c>
      <c r="B1384">
        <v>53</v>
      </c>
      <c r="C1384" s="21" t="s">
        <v>213</v>
      </c>
      <c r="D1384" s="21" t="s">
        <v>44</v>
      </c>
      <c r="E1384">
        <v>250</v>
      </c>
      <c r="F1384">
        <v>27</v>
      </c>
      <c r="G1384" s="21" t="s">
        <v>38</v>
      </c>
      <c r="H1384" s="21" t="s">
        <v>335</v>
      </c>
      <c r="I1384" s="21" t="s">
        <v>2972</v>
      </c>
    </row>
    <row r="1385" spans="1:9" x14ac:dyDescent="0.25">
      <c r="A1385" s="21" t="s">
        <v>3005</v>
      </c>
      <c r="B1385">
        <v>25</v>
      </c>
      <c r="C1385" s="21" t="s">
        <v>89</v>
      </c>
      <c r="D1385" s="21" t="s">
        <v>52</v>
      </c>
      <c r="E1385">
        <v>206</v>
      </c>
      <c r="F1385">
        <v>26</v>
      </c>
      <c r="G1385" s="21" t="s">
        <v>16</v>
      </c>
      <c r="H1385" s="21" t="s">
        <v>278</v>
      </c>
      <c r="I1385" s="21" t="s">
        <v>2972</v>
      </c>
    </row>
    <row r="1386" spans="1:9" x14ac:dyDescent="0.25">
      <c r="A1386" s="21" t="s">
        <v>3006</v>
      </c>
      <c r="B1386">
        <v>92</v>
      </c>
      <c r="C1386" s="21" t="s">
        <v>319</v>
      </c>
      <c r="D1386" s="21" t="s">
        <v>24</v>
      </c>
      <c r="E1386">
        <v>296</v>
      </c>
      <c r="F1386">
        <v>27</v>
      </c>
      <c r="G1386" s="21" t="s">
        <v>12</v>
      </c>
      <c r="H1386" s="21" t="s">
        <v>522</v>
      </c>
      <c r="I1386" s="21" t="s">
        <v>2972</v>
      </c>
    </row>
    <row r="1387" spans="1:9" x14ac:dyDescent="0.25">
      <c r="A1387" s="21" t="s">
        <v>3007</v>
      </c>
      <c r="B1387">
        <v>88</v>
      </c>
      <c r="C1387" s="21" t="s">
        <v>57</v>
      </c>
      <c r="D1387" s="21" t="s">
        <v>29</v>
      </c>
      <c r="E1387">
        <v>244</v>
      </c>
      <c r="F1387">
        <v>25</v>
      </c>
      <c r="G1387" s="21" t="s">
        <v>16</v>
      </c>
      <c r="H1387" s="21" t="s">
        <v>117</v>
      </c>
      <c r="I1387" s="21" t="s">
        <v>2972</v>
      </c>
    </row>
    <row r="1388" spans="1:9" x14ac:dyDescent="0.25">
      <c r="A1388" s="21" t="s">
        <v>3008</v>
      </c>
      <c r="B1388">
        <v>59</v>
      </c>
      <c r="C1388" s="21" t="s">
        <v>213</v>
      </c>
      <c r="D1388" s="21" t="s">
        <v>52</v>
      </c>
      <c r="E1388">
        <v>241</v>
      </c>
      <c r="F1388">
        <v>23</v>
      </c>
      <c r="G1388" s="21" t="s">
        <v>25</v>
      </c>
      <c r="H1388" s="21" t="s">
        <v>4779</v>
      </c>
      <c r="I1388" s="21" t="s">
        <v>2972</v>
      </c>
    </row>
    <row r="1389" spans="1:9" x14ac:dyDescent="0.25">
      <c r="A1389" s="21" t="s">
        <v>3009</v>
      </c>
      <c r="B1389">
        <v>33</v>
      </c>
      <c r="C1389" s="21" t="s">
        <v>89</v>
      </c>
      <c r="D1389" s="21" t="s">
        <v>54</v>
      </c>
      <c r="E1389">
        <v>191</v>
      </c>
      <c r="F1389">
        <v>24</v>
      </c>
      <c r="G1389" s="21" t="s">
        <v>12</v>
      </c>
      <c r="H1389" s="21" t="s">
        <v>26</v>
      </c>
      <c r="I1389" s="21" t="s">
        <v>2972</v>
      </c>
    </row>
    <row r="1390" spans="1:9" x14ac:dyDescent="0.25">
      <c r="A1390" s="21" t="s">
        <v>3010</v>
      </c>
      <c r="B1390">
        <v>23</v>
      </c>
      <c r="C1390" s="21" t="s">
        <v>48</v>
      </c>
      <c r="D1390" s="21" t="s">
        <v>125</v>
      </c>
      <c r="E1390">
        <v>191</v>
      </c>
      <c r="F1390">
        <v>25</v>
      </c>
      <c r="G1390" s="21" t="s">
        <v>45</v>
      </c>
      <c r="H1390" s="21" t="s">
        <v>3252</v>
      </c>
      <c r="I1390" s="21" t="s">
        <v>2972</v>
      </c>
    </row>
    <row r="1391" spans="1:9" x14ac:dyDescent="0.25">
      <c r="A1391" s="21" t="s">
        <v>3011</v>
      </c>
      <c r="B1391">
        <v>97</v>
      </c>
      <c r="C1391" s="21" t="s">
        <v>319</v>
      </c>
      <c r="D1391" s="21" t="s">
        <v>20</v>
      </c>
      <c r="E1391">
        <v>264</v>
      </c>
      <c r="F1391">
        <v>21</v>
      </c>
      <c r="G1391" s="21" t="s">
        <v>25</v>
      </c>
      <c r="H1391" s="21" t="s">
        <v>98</v>
      </c>
      <c r="I1391" s="21" t="s">
        <v>2972</v>
      </c>
    </row>
    <row r="1392" spans="1:9" x14ac:dyDescent="0.25">
      <c r="A1392" s="21" t="s">
        <v>3012</v>
      </c>
      <c r="B1392">
        <v>35</v>
      </c>
      <c r="C1392" s="21" t="s">
        <v>51</v>
      </c>
      <c r="D1392" s="21" t="s">
        <v>11</v>
      </c>
      <c r="E1392">
        <v>210</v>
      </c>
      <c r="F1392">
        <v>27</v>
      </c>
      <c r="G1392" s="21" t="s">
        <v>12</v>
      </c>
      <c r="H1392" s="21" t="s">
        <v>302</v>
      </c>
      <c r="I1392" s="21" t="s">
        <v>2972</v>
      </c>
    </row>
    <row r="1393" spans="1:9" x14ac:dyDescent="0.25">
      <c r="A1393" s="21" t="s">
        <v>3013</v>
      </c>
      <c r="B1393">
        <v>73</v>
      </c>
      <c r="C1393" s="21" t="s">
        <v>277</v>
      </c>
      <c r="D1393" s="21" t="s">
        <v>35</v>
      </c>
      <c r="E1393">
        <v>311</v>
      </c>
      <c r="F1393">
        <v>25</v>
      </c>
      <c r="G1393" s="21" t="s">
        <v>12</v>
      </c>
      <c r="H1393" s="21" t="s">
        <v>36</v>
      </c>
      <c r="I1393" s="21" t="s">
        <v>2972</v>
      </c>
    </row>
    <row r="1394" spans="1:9" x14ac:dyDescent="0.25">
      <c r="A1394" s="21" t="s">
        <v>3014</v>
      </c>
      <c r="B1394">
        <v>39</v>
      </c>
      <c r="C1394" s="21" t="s">
        <v>48</v>
      </c>
      <c r="D1394" s="21" t="s">
        <v>54</v>
      </c>
      <c r="E1394">
        <v>203</v>
      </c>
      <c r="F1394">
        <v>24</v>
      </c>
      <c r="G1394" s="21" t="s">
        <v>30</v>
      </c>
      <c r="H1394" s="21" t="s">
        <v>80</v>
      </c>
      <c r="I1394" s="21" t="s">
        <v>2972</v>
      </c>
    </row>
    <row r="1395" spans="1:9" x14ac:dyDescent="0.25">
      <c r="A1395" s="21" t="s">
        <v>3015</v>
      </c>
      <c r="B1395">
        <v>75</v>
      </c>
      <c r="C1395" s="21" t="s">
        <v>277</v>
      </c>
      <c r="D1395" s="21" t="s">
        <v>67</v>
      </c>
      <c r="E1395">
        <v>321</v>
      </c>
      <c r="F1395">
        <v>23</v>
      </c>
      <c r="G1395" s="21" t="s">
        <v>25</v>
      </c>
      <c r="H1395" s="21" t="s">
        <v>55</v>
      </c>
      <c r="I1395" s="21" t="s">
        <v>2972</v>
      </c>
    </row>
    <row r="1396" spans="1:9" x14ac:dyDescent="0.25">
      <c r="A1396" s="21" t="s">
        <v>3016</v>
      </c>
      <c r="B1396">
        <v>28</v>
      </c>
      <c r="C1396" s="21" t="s">
        <v>51</v>
      </c>
      <c r="D1396" s="21" t="s">
        <v>125</v>
      </c>
      <c r="E1396">
        <v>212</v>
      </c>
      <c r="F1396">
        <v>22</v>
      </c>
      <c r="G1396" s="21" t="s">
        <v>30</v>
      </c>
      <c r="H1396" s="21" t="s">
        <v>374</v>
      </c>
      <c r="I1396" s="21" t="s">
        <v>2972</v>
      </c>
    </row>
    <row r="1397" spans="1:9" x14ac:dyDescent="0.25">
      <c r="A1397" s="21" t="s">
        <v>1788</v>
      </c>
      <c r="B1397">
        <v>80</v>
      </c>
      <c r="C1397" s="21" t="s">
        <v>10</v>
      </c>
      <c r="D1397" s="21" t="s">
        <v>54</v>
      </c>
      <c r="E1397">
        <v>181</v>
      </c>
      <c r="F1397">
        <v>22</v>
      </c>
      <c r="G1397" s="21" t="s">
        <v>25</v>
      </c>
      <c r="H1397" s="21" t="s">
        <v>352</v>
      </c>
      <c r="I1397" s="21" t="s">
        <v>2972</v>
      </c>
    </row>
    <row r="1398" spans="1:9" x14ac:dyDescent="0.25">
      <c r="A1398" s="21" t="s">
        <v>3017</v>
      </c>
      <c r="B1398">
        <v>31</v>
      </c>
      <c r="C1398" s="21" t="s">
        <v>89</v>
      </c>
      <c r="D1398" s="21" t="s">
        <v>52</v>
      </c>
      <c r="E1398">
        <v>203</v>
      </c>
      <c r="F1398">
        <v>21</v>
      </c>
      <c r="G1398" s="21" t="s">
        <v>25</v>
      </c>
      <c r="H1398" s="21" t="s">
        <v>176</v>
      </c>
      <c r="I1398" s="21" t="s">
        <v>2972</v>
      </c>
    </row>
    <row r="1399" spans="1:9" x14ac:dyDescent="0.25">
      <c r="A1399" s="21" t="s">
        <v>3018</v>
      </c>
      <c r="B1399">
        <v>85</v>
      </c>
      <c r="C1399" s="21" t="s">
        <v>10</v>
      </c>
      <c r="D1399" s="21" t="s">
        <v>125</v>
      </c>
      <c r="E1399">
        <v>195</v>
      </c>
      <c r="F1399">
        <v>25</v>
      </c>
      <c r="G1399" s="21" t="s">
        <v>30</v>
      </c>
      <c r="H1399" s="21" t="s">
        <v>3019</v>
      </c>
      <c r="I1399" s="21" t="s">
        <v>2972</v>
      </c>
    </row>
    <row r="1400" spans="1:9" x14ac:dyDescent="0.25">
      <c r="A1400" s="21" t="s">
        <v>3020</v>
      </c>
      <c r="B1400">
        <v>78</v>
      </c>
      <c r="C1400" s="21" t="s">
        <v>277</v>
      </c>
      <c r="D1400" s="21" t="s">
        <v>67</v>
      </c>
      <c r="E1400">
        <v>316</v>
      </c>
      <c r="F1400">
        <v>24</v>
      </c>
      <c r="G1400" s="21" t="s">
        <v>30</v>
      </c>
      <c r="H1400" s="21" t="s">
        <v>31</v>
      </c>
      <c r="I1400" s="21" t="s">
        <v>2972</v>
      </c>
    </row>
    <row r="1401" spans="1:9" x14ac:dyDescent="0.25">
      <c r="A1401" s="21" t="s">
        <v>3021</v>
      </c>
      <c r="B1401">
        <v>36</v>
      </c>
      <c r="C1401" s="21" t="s">
        <v>48</v>
      </c>
      <c r="D1401" s="21" t="s">
        <v>54</v>
      </c>
      <c r="E1401">
        <v>184</v>
      </c>
      <c r="F1401">
        <v>25</v>
      </c>
      <c r="G1401" s="21" t="s">
        <v>25</v>
      </c>
      <c r="H1401" s="21" t="s">
        <v>13</v>
      </c>
      <c r="I1401" s="21" t="s">
        <v>2972</v>
      </c>
    </row>
    <row r="1402" spans="1:9" x14ac:dyDescent="0.25">
      <c r="A1402" s="21" t="s">
        <v>3022</v>
      </c>
      <c r="B1402">
        <v>74</v>
      </c>
      <c r="C1402" s="21" t="s">
        <v>184</v>
      </c>
      <c r="D1402" s="21" t="s">
        <v>29</v>
      </c>
      <c r="E1402">
        <v>307</v>
      </c>
      <c r="F1402">
        <v>24</v>
      </c>
      <c r="G1402" s="21" t="s">
        <v>30</v>
      </c>
      <c r="H1402" s="21" t="s">
        <v>152</v>
      </c>
      <c r="I1402" s="21" t="s">
        <v>2972</v>
      </c>
    </row>
    <row r="1403" spans="1:9" x14ac:dyDescent="0.25">
      <c r="A1403" s="21" t="s">
        <v>3023</v>
      </c>
      <c r="B1403">
        <v>54</v>
      </c>
      <c r="C1403" s="21" t="s">
        <v>114</v>
      </c>
      <c r="D1403" s="21" t="s">
        <v>24</v>
      </c>
      <c r="E1403">
        <v>325</v>
      </c>
      <c r="F1403">
        <v>22</v>
      </c>
      <c r="G1403" s="21" t="s">
        <v>30</v>
      </c>
      <c r="H1403" s="21" t="s">
        <v>106</v>
      </c>
      <c r="I1403" s="21" t="s">
        <v>2972</v>
      </c>
    </row>
    <row r="1404" spans="1:9" x14ac:dyDescent="0.25">
      <c r="A1404" s="21" t="s">
        <v>3024</v>
      </c>
      <c r="B1404">
        <v>26</v>
      </c>
      <c r="C1404" s="21" t="s">
        <v>48</v>
      </c>
      <c r="D1404" s="21" t="s">
        <v>44</v>
      </c>
      <c r="E1404">
        <v>210</v>
      </c>
      <c r="F1404">
        <v>23</v>
      </c>
      <c r="G1404" s="21" t="s">
        <v>30</v>
      </c>
      <c r="H1404" s="21" t="s">
        <v>355</v>
      </c>
      <c r="I1404" s="21" t="s">
        <v>2972</v>
      </c>
    </row>
    <row r="1405" spans="1:9" x14ac:dyDescent="0.25">
      <c r="A1405" s="21" t="s">
        <v>3025</v>
      </c>
      <c r="B1405">
        <v>82</v>
      </c>
      <c r="C1405" s="21" t="s">
        <v>57</v>
      </c>
      <c r="D1405" s="21" t="s">
        <v>35</v>
      </c>
      <c r="E1405">
        <v>249</v>
      </c>
      <c r="F1405">
        <v>22</v>
      </c>
      <c r="G1405" s="21" t="s">
        <v>25</v>
      </c>
      <c r="H1405" s="21" t="s">
        <v>357</v>
      </c>
      <c r="I1405" s="21" t="s">
        <v>2972</v>
      </c>
    </row>
    <row r="1406" spans="1:9" x14ac:dyDescent="0.25">
      <c r="A1406" s="21" t="s">
        <v>3026</v>
      </c>
      <c r="B1406">
        <v>38</v>
      </c>
      <c r="C1406" s="21" t="s">
        <v>89</v>
      </c>
      <c r="D1406" s="21" t="s">
        <v>54</v>
      </c>
      <c r="E1406">
        <v>199</v>
      </c>
      <c r="F1406">
        <v>26</v>
      </c>
      <c r="G1406" s="21" t="s">
        <v>16</v>
      </c>
      <c r="H1406" s="21" t="s">
        <v>516</v>
      </c>
      <c r="I1406" s="21" t="s">
        <v>2972</v>
      </c>
    </row>
    <row r="1407" spans="1:9" x14ac:dyDescent="0.25">
      <c r="A1407" s="21" t="s">
        <v>3027</v>
      </c>
      <c r="B1407">
        <v>67</v>
      </c>
      <c r="C1407" s="21" t="s">
        <v>140</v>
      </c>
      <c r="D1407" s="21" t="s">
        <v>20</v>
      </c>
      <c r="E1407">
        <v>318</v>
      </c>
      <c r="F1407">
        <v>26</v>
      </c>
      <c r="G1407" s="21" t="s">
        <v>12</v>
      </c>
      <c r="H1407" s="21" t="s">
        <v>117</v>
      </c>
      <c r="I1407" s="21" t="s">
        <v>2972</v>
      </c>
    </row>
    <row r="1408" spans="1:9" x14ac:dyDescent="0.25">
      <c r="A1408" s="21" t="s">
        <v>3028</v>
      </c>
      <c r="B1408">
        <v>76</v>
      </c>
      <c r="C1408" s="21" t="s">
        <v>277</v>
      </c>
      <c r="D1408" s="21" t="s">
        <v>35</v>
      </c>
      <c r="E1408">
        <v>312</v>
      </c>
      <c r="F1408">
        <v>23</v>
      </c>
      <c r="G1408" s="21" t="s">
        <v>25</v>
      </c>
      <c r="H1408" s="21" t="s">
        <v>216</v>
      </c>
      <c r="I1408" s="21" t="s">
        <v>2972</v>
      </c>
    </row>
    <row r="1409" spans="1:9" x14ac:dyDescent="0.25">
      <c r="A1409" s="21" t="s">
        <v>3029</v>
      </c>
      <c r="B1409">
        <v>1</v>
      </c>
      <c r="C1409" s="21" t="s">
        <v>48</v>
      </c>
      <c r="D1409" s="21" t="s">
        <v>52</v>
      </c>
      <c r="E1409">
        <v>205</v>
      </c>
      <c r="F1409">
        <v>23</v>
      </c>
      <c r="G1409" s="21" t="s">
        <v>12</v>
      </c>
      <c r="H1409" s="21" t="s">
        <v>36</v>
      </c>
      <c r="I1409" s="21" t="s">
        <v>2972</v>
      </c>
    </row>
    <row r="1410" spans="1:9" x14ac:dyDescent="0.25">
      <c r="A1410" s="21" t="s">
        <v>3030</v>
      </c>
      <c r="B1410">
        <v>99</v>
      </c>
      <c r="C1410" s="21" t="s">
        <v>213</v>
      </c>
      <c r="D1410" s="21" t="s">
        <v>35</v>
      </c>
      <c r="E1410">
        <v>239</v>
      </c>
      <c r="F1410">
        <v>24</v>
      </c>
      <c r="G1410" s="21" t="s">
        <v>12</v>
      </c>
      <c r="H1410" s="21" t="s">
        <v>31</v>
      </c>
      <c r="I1410" s="21" t="s">
        <v>2972</v>
      </c>
    </row>
    <row r="1411" spans="1:9" x14ac:dyDescent="0.25">
      <c r="A1411" s="21" t="s">
        <v>3031</v>
      </c>
      <c r="B1411">
        <v>95</v>
      </c>
      <c r="C1411" s="21" t="s">
        <v>213</v>
      </c>
      <c r="D1411" s="21" t="s">
        <v>35</v>
      </c>
      <c r="E1411">
        <v>255</v>
      </c>
      <c r="F1411">
        <v>27</v>
      </c>
      <c r="G1411" s="21" t="s">
        <v>100</v>
      </c>
      <c r="H1411" s="21" t="s">
        <v>31</v>
      </c>
      <c r="I1411" s="21" t="s">
        <v>2972</v>
      </c>
    </row>
    <row r="1412" spans="1:9" x14ac:dyDescent="0.25">
      <c r="A1412" s="21" t="s">
        <v>3032</v>
      </c>
      <c r="B1412">
        <v>91</v>
      </c>
      <c r="C1412" s="21" t="s">
        <v>319</v>
      </c>
      <c r="D1412" s="21" t="s">
        <v>44</v>
      </c>
      <c r="E1412">
        <v>295</v>
      </c>
      <c r="F1412">
        <v>24</v>
      </c>
      <c r="G1412" s="21" t="s">
        <v>30</v>
      </c>
      <c r="H1412" s="21" t="s">
        <v>274</v>
      </c>
      <c r="I1412" s="21" t="s">
        <v>2972</v>
      </c>
    </row>
    <row r="1413" spans="1:9" x14ac:dyDescent="0.25">
      <c r="A1413" s="21" t="s">
        <v>3033</v>
      </c>
      <c r="B1413">
        <v>24</v>
      </c>
      <c r="C1413" s="21" t="s">
        <v>48</v>
      </c>
      <c r="D1413" s="21" t="s">
        <v>24</v>
      </c>
      <c r="E1413">
        <v>202</v>
      </c>
      <c r="F1413">
        <v>26</v>
      </c>
      <c r="G1413" s="21" t="s">
        <v>16</v>
      </c>
      <c r="H1413" s="21" t="s">
        <v>3251</v>
      </c>
      <c r="I1413" s="21" t="s">
        <v>2972</v>
      </c>
    </row>
    <row r="1414" spans="1:9" x14ac:dyDescent="0.25">
      <c r="A1414" s="21" t="s">
        <v>3034</v>
      </c>
      <c r="B1414">
        <v>41</v>
      </c>
      <c r="C1414" s="21" t="s">
        <v>48</v>
      </c>
      <c r="D1414" s="21" t="s">
        <v>54</v>
      </c>
      <c r="E1414">
        <v>185</v>
      </c>
      <c r="F1414">
        <v>24</v>
      </c>
      <c r="G1414" s="21" t="s">
        <v>30</v>
      </c>
      <c r="H1414" s="21" t="s">
        <v>189</v>
      </c>
      <c r="I1414" s="21" t="s">
        <v>2972</v>
      </c>
    </row>
    <row r="1415" spans="1:9" x14ac:dyDescent="0.25">
      <c r="A1415" s="21" t="s">
        <v>3035</v>
      </c>
      <c r="B1415">
        <v>93</v>
      </c>
      <c r="C1415" s="21" t="s">
        <v>319</v>
      </c>
      <c r="D1415" s="21" t="s">
        <v>44</v>
      </c>
      <c r="E1415">
        <v>274</v>
      </c>
      <c r="F1415">
        <v>22</v>
      </c>
      <c r="G1415" s="21" t="s">
        <v>25</v>
      </c>
      <c r="H1415" s="21" t="s">
        <v>683</v>
      </c>
      <c r="I1415" s="21" t="s">
        <v>2972</v>
      </c>
    </row>
    <row r="1416" spans="1:9" x14ac:dyDescent="0.25">
      <c r="A1416" s="21" t="s">
        <v>3036</v>
      </c>
      <c r="B1416">
        <v>52</v>
      </c>
      <c r="C1416" s="21" t="s">
        <v>213</v>
      </c>
      <c r="D1416" s="21" t="s">
        <v>44</v>
      </c>
      <c r="E1416">
        <v>245</v>
      </c>
      <c r="F1416">
        <v>25</v>
      </c>
      <c r="G1416" s="21" t="s">
        <v>16</v>
      </c>
      <c r="H1416" s="21" t="s">
        <v>196</v>
      </c>
      <c r="I1416" s="21" t="s">
        <v>2972</v>
      </c>
    </row>
    <row r="1417" spans="1:9" x14ac:dyDescent="0.25">
      <c r="A1417" s="21" t="s">
        <v>3037</v>
      </c>
      <c r="B1417">
        <v>6</v>
      </c>
      <c r="C1417" s="21" t="s">
        <v>76</v>
      </c>
      <c r="D1417" s="21" t="s">
        <v>11</v>
      </c>
      <c r="E1417">
        <v>190</v>
      </c>
      <c r="F1417">
        <v>23</v>
      </c>
      <c r="G1417" s="21" t="s">
        <v>30</v>
      </c>
      <c r="H1417" s="21" t="s">
        <v>627</v>
      </c>
      <c r="I1417" s="21" t="s">
        <v>2972</v>
      </c>
    </row>
    <row r="1418" spans="1:9" x14ac:dyDescent="0.25">
      <c r="A1418" s="21" t="s">
        <v>3038</v>
      </c>
      <c r="B1418">
        <v>98</v>
      </c>
      <c r="C1418" s="21" t="s">
        <v>114</v>
      </c>
      <c r="D1418" s="21" t="s">
        <v>24</v>
      </c>
      <c r="E1418">
        <v>335</v>
      </c>
      <c r="F1418">
        <v>25</v>
      </c>
      <c r="G1418" s="21" t="s">
        <v>12</v>
      </c>
      <c r="H1418" s="21" t="s">
        <v>194</v>
      </c>
      <c r="I1418" s="21" t="s">
        <v>2972</v>
      </c>
    </row>
    <row r="1419" spans="1:9" x14ac:dyDescent="0.25">
      <c r="A1419" s="21" t="s">
        <v>3039</v>
      </c>
      <c r="B1419">
        <v>83</v>
      </c>
      <c r="C1419" s="21" t="s">
        <v>10</v>
      </c>
      <c r="D1419" s="21" t="s">
        <v>135</v>
      </c>
      <c r="E1419">
        <v>172</v>
      </c>
      <c r="F1419">
        <v>23</v>
      </c>
      <c r="G1419" s="21" t="s">
        <v>25</v>
      </c>
      <c r="H1419" s="21" t="s">
        <v>442</v>
      </c>
      <c r="I1419" s="21" t="s">
        <v>2972</v>
      </c>
    </row>
    <row r="1420" spans="1:9" x14ac:dyDescent="0.25">
      <c r="A1420" s="21" t="s">
        <v>3040</v>
      </c>
      <c r="B1420">
        <v>57</v>
      </c>
      <c r="C1420" s="21" t="s">
        <v>15</v>
      </c>
      <c r="D1420" s="21" t="s">
        <v>44</v>
      </c>
      <c r="E1420">
        <v>242</v>
      </c>
      <c r="F1420">
        <v>25</v>
      </c>
      <c r="G1420" s="21" t="s">
        <v>30</v>
      </c>
      <c r="H1420" s="21" t="s">
        <v>3041</v>
      </c>
      <c r="I1420" s="21" t="s">
        <v>2972</v>
      </c>
    </row>
    <row r="1421" spans="1:9" x14ac:dyDescent="0.25">
      <c r="A1421" s="21" t="s">
        <v>3042</v>
      </c>
      <c r="B1421">
        <v>27</v>
      </c>
      <c r="C1421" s="21" t="s">
        <v>48</v>
      </c>
      <c r="D1421" s="21" t="s">
        <v>44</v>
      </c>
      <c r="E1421">
        <v>208</v>
      </c>
      <c r="F1421">
        <v>24</v>
      </c>
      <c r="G1421" s="21" t="s">
        <v>12</v>
      </c>
      <c r="H1421" s="21" t="s">
        <v>792</v>
      </c>
      <c r="I1421" s="21" t="s">
        <v>2972</v>
      </c>
    </row>
    <row r="1422" spans="1:9" x14ac:dyDescent="0.25">
      <c r="A1422" s="21" t="s">
        <v>3043</v>
      </c>
      <c r="B1422">
        <v>77</v>
      </c>
      <c r="C1422" s="21" t="s">
        <v>184</v>
      </c>
      <c r="D1422" s="21" t="s">
        <v>29</v>
      </c>
      <c r="E1422">
        <v>309</v>
      </c>
      <c r="F1422">
        <v>26</v>
      </c>
      <c r="G1422" s="21" t="s">
        <v>45</v>
      </c>
      <c r="H1422" s="21" t="s">
        <v>80</v>
      </c>
      <c r="I1422" s="21" t="s">
        <v>2972</v>
      </c>
    </row>
    <row r="1423" spans="1:9" x14ac:dyDescent="0.25">
      <c r="A1423" s="21" t="s">
        <v>3044</v>
      </c>
      <c r="B1423">
        <v>11</v>
      </c>
      <c r="C1423" s="21" t="s">
        <v>10</v>
      </c>
      <c r="D1423" s="21" t="s">
        <v>86</v>
      </c>
      <c r="E1423">
        <v>180</v>
      </c>
      <c r="F1423">
        <v>27</v>
      </c>
      <c r="G1423" s="21" t="s">
        <v>38</v>
      </c>
      <c r="H1423" s="21" t="s">
        <v>1992</v>
      </c>
      <c r="I1423" s="21" t="s">
        <v>2972</v>
      </c>
    </row>
    <row r="1424" spans="1:9" x14ac:dyDescent="0.25">
      <c r="A1424" s="21" t="s">
        <v>3045</v>
      </c>
      <c r="B1424">
        <v>46</v>
      </c>
      <c r="C1424" s="21" t="s">
        <v>51</v>
      </c>
      <c r="D1424" s="21" t="s">
        <v>54</v>
      </c>
      <c r="E1424">
        <v>216</v>
      </c>
      <c r="F1424">
        <v>26</v>
      </c>
      <c r="G1424" s="21" t="s">
        <v>83</v>
      </c>
      <c r="H1424" s="21" t="s">
        <v>3046</v>
      </c>
      <c r="I1424" s="21" t="s">
        <v>2972</v>
      </c>
    </row>
    <row r="1425" spans="1:9" x14ac:dyDescent="0.25">
      <c r="A1425" s="21" t="s">
        <v>3047</v>
      </c>
      <c r="B1425">
        <v>8</v>
      </c>
      <c r="C1425" s="21" t="s">
        <v>10</v>
      </c>
      <c r="D1425" s="21" t="s">
        <v>44</v>
      </c>
      <c r="E1425">
        <v>194</v>
      </c>
      <c r="F1425">
        <v>27</v>
      </c>
      <c r="G1425" s="21" t="s">
        <v>38</v>
      </c>
      <c r="H1425" s="21" t="s">
        <v>152</v>
      </c>
      <c r="I1425" s="21" t="s">
        <v>2972</v>
      </c>
    </row>
    <row r="1426" spans="1:9" x14ac:dyDescent="0.25">
      <c r="A1426" s="21" t="s">
        <v>3048</v>
      </c>
      <c r="B1426">
        <v>44</v>
      </c>
      <c r="C1426" s="21" t="s">
        <v>15</v>
      </c>
      <c r="D1426" s="21" t="s">
        <v>54</v>
      </c>
      <c r="E1426">
        <v>230</v>
      </c>
      <c r="F1426">
        <v>23</v>
      </c>
      <c r="G1426" s="21" t="s">
        <v>25</v>
      </c>
      <c r="H1426" s="21" t="s">
        <v>130</v>
      </c>
      <c r="I1426" s="21" t="s">
        <v>2972</v>
      </c>
    </row>
    <row r="1427" spans="1:9" x14ac:dyDescent="0.25">
      <c r="A1427" s="21" t="s">
        <v>3049</v>
      </c>
      <c r="B1427">
        <v>19</v>
      </c>
      <c r="C1427" s="21" t="s">
        <v>76</v>
      </c>
      <c r="D1427" s="21" t="s">
        <v>135</v>
      </c>
      <c r="E1427">
        <v>200</v>
      </c>
      <c r="F1427">
        <v>25</v>
      </c>
      <c r="G1427" s="21" t="s">
        <v>16</v>
      </c>
      <c r="H1427" s="21" t="s">
        <v>187</v>
      </c>
      <c r="I1427" s="21" t="s">
        <v>2972</v>
      </c>
    </row>
    <row r="1428" spans="1:9" x14ac:dyDescent="0.25">
      <c r="A1428" s="21" t="s">
        <v>3050</v>
      </c>
      <c r="B1428">
        <v>58</v>
      </c>
      <c r="C1428" s="21" t="s">
        <v>140</v>
      </c>
      <c r="D1428" s="21" t="s">
        <v>29</v>
      </c>
      <c r="E1428">
        <v>335</v>
      </c>
      <c r="F1428">
        <v>21</v>
      </c>
      <c r="G1428" s="21" t="s">
        <v>30</v>
      </c>
      <c r="H1428" s="21" t="s">
        <v>22</v>
      </c>
      <c r="I1428" s="21" t="s">
        <v>2972</v>
      </c>
    </row>
    <row r="1429" spans="1:9" x14ac:dyDescent="0.25">
      <c r="A1429" s="21" t="s">
        <v>3051</v>
      </c>
      <c r="B1429">
        <v>70</v>
      </c>
      <c r="C1429" s="21" t="s">
        <v>140</v>
      </c>
      <c r="D1429" s="21" t="s">
        <v>82</v>
      </c>
      <c r="E1429">
        <v>330</v>
      </c>
      <c r="F1429">
        <v>27</v>
      </c>
      <c r="G1429" s="21" t="s">
        <v>12</v>
      </c>
      <c r="H1429" s="21" t="s">
        <v>80</v>
      </c>
      <c r="I1429" s="21" t="s">
        <v>2972</v>
      </c>
    </row>
    <row r="1430" spans="1:9" x14ac:dyDescent="0.25">
      <c r="A1430" s="21" t="s">
        <v>3052</v>
      </c>
      <c r="B1430">
        <v>19</v>
      </c>
      <c r="C1430" s="21" t="s">
        <v>48</v>
      </c>
      <c r="D1430" s="21" t="s">
        <v>52</v>
      </c>
      <c r="E1430">
        <v>200</v>
      </c>
      <c r="F1430">
        <v>24</v>
      </c>
      <c r="G1430" s="21" t="s">
        <v>30</v>
      </c>
      <c r="H1430" s="21" t="s">
        <v>233</v>
      </c>
      <c r="I1430" s="21" t="s">
        <v>2972</v>
      </c>
    </row>
    <row r="1431" spans="1:9" x14ac:dyDescent="0.25">
      <c r="A1431" s="21" t="s">
        <v>3053</v>
      </c>
      <c r="B1431">
        <v>14</v>
      </c>
      <c r="C1431" s="21" t="s">
        <v>10</v>
      </c>
      <c r="D1431" s="21" t="s">
        <v>11</v>
      </c>
      <c r="E1431">
        <v>202</v>
      </c>
      <c r="F1431">
        <v>22</v>
      </c>
      <c r="G1431" s="21" t="s">
        <v>30</v>
      </c>
      <c r="H1431" s="21" t="s">
        <v>280</v>
      </c>
      <c r="I1431" s="21" t="s">
        <v>2972</v>
      </c>
    </row>
    <row r="1432" spans="1:9" x14ac:dyDescent="0.25">
      <c r="A1432" s="21" t="s">
        <v>3054</v>
      </c>
      <c r="B1432">
        <v>71</v>
      </c>
      <c r="C1432" s="21" t="s">
        <v>277</v>
      </c>
      <c r="D1432" s="21" t="s">
        <v>67</v>
      </c>
      <c r="E1432">
        <v>312</v>
      </c>
      <c r="F1432">
        <v>25</v>
      </c>
      <c r="G1432" s="21" t="s">
        <v>12</v>
      </c>
      <c r="H1432" s="21" t="s">
        <v>683</v>
      </c>
      <c r="I1432" s="21" t="s">
        <v>2972</v>
      </c>
    </row>
    <row r="1433" spans="1:9" x14ac:dyDescent="0.25">
      <c r="A1433" s="21" t="s">
        <v>3055</v>
      </c>
      <c r="B1433">
        <v>15</v>
      </c>
      <c r="C1433" s="21" t="s">
        <v>10</v>
      </c>
      <c r="D1433" s="21" t="s">
        <v>44</v>
      </c>
      <c r="E1433">
        <v>209</v>
      </c>
      <c r="F1433">
        <v>24</v>
      </c>
      <c r="G1433" s="21" t="s">
        <v>25</v>
      </c>
      <c r="H1433" s="21" t="s">
        <v>243</v>
      </c>
      <c r="I1433" s="21" t="s">
        <v>2972</v>
      </c>
    </row>
    <row r="1434" spans="1:9" x14ac:dyDescent="0.25">
      <c r="A1434" s="21" t="s">
        <v>3056</v>
      </c>
      <c r="B1434">
        <v>32</v>
      </c>
      <c r="C1434" s="21" t="s">
        <v>51</v>
      </c>
      <c r="D1434" s="21" t="s">
        <v>135</v>
      </c>
      <c r="E1434">
        <v>208</v>
      </c>
      <c r="F1434">
        <v>23</v>
      </c>
      <c r="G1434" s="21" t="s">
        <v>12</v>
      </c>
      <c r="H1434" s="21" t="s">
        <v>196</v>
      </c>
      <c r="I1434" s="21" t="s">
        <v>2972</v>
      </c>
    </row>
    <row r="1435" spans="1:9" x14ac:dyDescent="0.25">
      <c r="A1435" s="21" t="s">
        <v>3057</v>
      </c>
      <c r="B1435">
        <v>62</v>
      </c>
      <c r="C1435" s="21" t="s">
        <v>19</v>
      </c>
      <c r="D1435" s="21" t="s">
        <v>52</v>
      </c>
      <c r="E1435">
        <v>295</v>
      </c>
      <c r="F1435">
        <v>23</v>
      </c>
      <c r="G1435" s="21" t="s">
        <v>25</v>
      </c>
      <c r="H1435" s="21" t="s">
        <v>243</v>
      </c>
      <c r="I1435" s="21" t="s">
        <v>2972</v>
      </c>
    </row>
    <row r="1436" spans="1:9" x14ac:dyDescent="0.25">
      <c r="A1436" s="21" t="s">
        <v>3058</v>
      </c>
      <c r="B1436">
        <v>72</v>
      </c>
      <c r="C1436" s="21" t="s">
        <v>277</v>
      </c>
      <c r="D1436" s="21" t="s">
        <v>67</v>
      </c>
      <c r="E1436">
        <v>328</v>
      </c>
      <c r="F1436">
        <v>29</v>
      </c>
      <c r="G1436" s="21" t="s">
        <v>100</v>
      </c>
      <c r="H1436" s="21" t="s">
        <v>618</v>
      </c>
      <c r="I1436" s="21" t="s">
        <v>2972</v>
      </c>
    </row>
    <row r="1437" spans="1:9" x14ac:dyDescent="0.25">
      <c r="A1437" s="21" t="s">
        <v>3059</v>
      </c>
      <c r="B1437">
        <v>21</v>
      </c>
      <c r="C1437" s="21" t="s">
        <v>89</v>
      </c>
      <c r="D1437" s="21" t="s">
        <v>52</v>
      </c>
      <c r="E1437">
        <v>206</v>
      </c>
      <c r="F1437">
        <v>27</v>
      </c>
      <c r="G1437" s="21" t="s">
        <v>45</v>
      </c>
      <c r="H1437" s="21" t="s">
        <v>145</v>
      </c>
      <c r="I1437" s="21" t="s">
        <v>2972</v>
      </c>
    </row>
    <row r="1438" spans="1:9" x14ac:dyDescent="0.25">
      <c r="A1438" s="21" t="s">
        <v>3060</v>
      </c>
      <c r="B1438">
        <v>30</v>
      </c>
      <c r="C1438" s="21" t="s">
        <v>51</v>
      </c>
      <c r="D1438" s="21" t="s">
        <v>11</v>
      </c>
      <c r="E1438">
        <v>224</v>
      </c>
      <c r="F1438">
        <v>27</v>
      </c>
      <c r="G1438" s="21" t="s">
        <v>38</v>
      </c>
      <c r="H1438" s="21" t="s">
        <v>204</v>
      </c>
      <c r="I1438" s="21" t="s">
        <v>2972</v>
      </c>
    </row>
    <row r="1439" spans="1:9" x14ac:dyDescent="0.25">
      <c r="A1439" s="21" t="s">
        <v>3061</v>
      </c>
      <c r="B1439">
        <v>18</v>
      </c>
      <c r="C1439" s="21" t="s">
        <v>10</v>
      </c>
      <c r="D1439" s="21" t="s">
        <v>52</v>
      </c>
      <c r="E1439">
        <v>180</v>
      </c>
      <c r="F1439">
        <v>21</v>
      </c>
      <c r="G1439" s="21" t="s">
        <v>25</v>
      </c>
      <c r="H1439" s="21" t="s">
        <v>233</v>
      </c>
      <c r="I1439" s="21" t="s">
        <v>2972</v>
      </c>
    </row>
    <row r="1440" spans="1:9" x14ac:dyDescent="0.25">
      <c r="A1440" s="21" t="s">
        <v>3062</v>
      </c>
      <c r="B1440">
        <v>51</v>
      </c>
      <c r="C1440" s="21" t="s">
        <v>15</v>
      </c>
      <c r="D1440" s="21" t="s">
        <v>52</v>
      </c>
      <c r="E1440">
        <v>230</v>
      </c>
      <c r="F1440">
        <v>26</v>
      </c>
      <c r="G1440" s="21" t="s">
        <v>16</v>
      </c>
      <c r="H1440" s="21" t="s">
        <v>481</v>
      </c>
      <c r="I1440" s="21" t="s">
        <v>2972</v>
      </c>
    </row>
    <row r="1441" spans="1:9" x14ac:dyDescent="0.25">
      <c r="A1441" s="21" t="s">
        <v>3063</v>
      </c>
      <c r="B1441">
        <v>89</v>
      </c>
      <c r="C1441" s="21" t="s">
        <v>57</v>
      </c>
      <c r="D1441" s="21" t="s">
        <v>29</v>
      </c>
      <c r="E1441">
        <v>255</v>
      </c>
      <c r="F1441">
        <v>23</v>
      </c>
      <c r="G1441" s="21" t="s">
        <v>30</v>
      </c>
      <c r="H1441" s="21" t="s">
        <v>31</v>
      </c>
      <c r="I1441" s="21" t="s">
        <v>2972</v>
      </c>
    </row>
    <row r="1442" spans="1:9" x14ac:dyDescent="0.25">
      <c r="A1442" s="21" t="s">
        <v>3064</v>
      </c>
      <c r="B1442">
        <v>84</v>
      </c>
      <c r="C1442" s="21" t="s">
        <v>57</v>
      </c>
      <c r="D1442" s="21" t="s">
        <v>35</v>
      </c>
      <c r="E1442">
        <v>239</v>
      </c>
      <c r="F1442">
        <v>25</v>
      </c>
      <c r="G1442" s="21" t="s">
        <v>83</v>
      </c>
      <c r="H1442" s="21" t="s">
        <v>3065</v>
      </c>
      <c r="I1442" s="21" t="s">
        <v>2972</v>
      </c>
    </row>
    <row r="1443" spans="1:9" x14ac:dyDescent="0.25">
      <c r="A1443" s="21" t="s">
        <v>2786</v>
      </c>
      <c r="B1443">
        <v>88</v>
      </c>
      <c r="C1443" s="21" t="s">
        <v>57</v>
      </c>
      <c r="D1443" s="21" t="s">
        <v>44</v>
      </c>
      <c r="E1443">
        <v>250</v>
      </c>
      <c r="F1443">
        <v>30</v>
      </c>
      <c r="G1443" s="21" t="s">
        <v>45</v>
      </c>
      <c r="H1443" s="21" t="s">
        <v>3252</v>
      </c>
      <c r="I1443" s="21" t="s">
        <v>2785</v>
      </c>
    </row>
    <row r="1444" spans="1:9" x14ac:dyDescent="0.25">
      <c r="A1444" s="21" t="s">
        <v>2787</v>
      </c>
      <c r="B1444">
        <v>46</v>
      </c>
      <c r="C1444" s="21" t="s">
        <v>57</v>
      </c>
      <c r="D1444" s="21" t="s">
        <v>82</v>
      </c>
      <c r="E1444">
        <v>255</v>
      </c>
      <c r="F1444">
        <v>23</v>
      </c>
      <c r="G1444" s="21" t="s">
        <v>25</v>
      </c>
      <c r="H1444" s="21" t="s">
        <v>556</v>
      </c>
      <c r="I1444" s="21" t="s">
        <v>2785</v>
      </c>
    </row>
    <row r="1445" spans="1:9" x14ac:dyDescent="0.25">
      <c r="A1445" s="21" t="s">
        <v>2788</v>
      </c>
      <c r="B1445">
        <v>90</v>
      </c>
      <c r="C1445" s="21" t="s">
        <v>319</v>
      </c>
      <c r="D1445" s="21" t="s">
        <v>67</v>
      </c>
      <c r="E1445">
        <v>276</v>
      </c>
      <c r="F1445">
        <v>23</v>
      </c>
      <c r="G1445" s="21" t="s">
        <v>25</v>
      </c>
      <c r="H1445" s="21" t="s">
        <v>138</v>
      </c>
      <c r="I1445" s="21" t="s">
        <v>2785</v>
      </c>
    </row>
    <row r="1446" spans="1:9" x14ac:dyDescent="0.25">
      <c r="A1446" s="21" t="s">
        <v>2789</v>
      </c>
      <c r="B1446">
        <v>81</v>
      </c>
      <c r="C1446" s="21" t="s">
        <v>10</v>
      </c>
      <c r="D1446" s="21" t="s">
        <v>11</v>
      </c>
      <c r="E1446">
        <v>190</v>
      </c>
      <c r="F1446">
        <v>26</v>
      </c>
      <c r="G1446" s="21" t="s">
        <v>83</v>
      </c>
      <c r="H1446" s="21" t="s">
        <v>282</v>
      </c>
      <c r="I1446" s="21" t="s">
        <v>2785</v>
      </c>
    </row>
    <row r="1447" spans="1:9" x14ac:dyDescent="0.25">
      <c r="A1447" s="21" t="s">
        <v>2790</v>
      </c>
      <c r="B1447">
        <v>26</v>
      </c>
      <c r="C1447" s="21" t="s">
        <v>51</v>
      </c>
      <c r="D1447" s="21" t="s">
        <v>11</v>
      </c>
      <c r="E1447">
        <v>232</v>
      </c>
      <c r="F1447">
        <v>25</v>
      </c>
      <c r="G1447" s="21" t="s">
        <v>45</v>
      </c>
      <c r="H1447" s="21" t="s">
        <v>3251</v>
      </c>
      <c r="I1447" s="21" t="s">
        <v>2785</v>
      </c>
    </row>
    <row r="1448" spans="1:9" x14ac:dyDescent="0.25">
      <c r="A1448" s="21" t="s">
        <v>2791</v>
      </c>
      <c r="B1448">
        <v>41</v>
      </c>
      <c r="C1448" s="21" t="s">
        <v>15</v>
      </c>
      <c r="D1448" s="21" t="s">
        <v>35</v>
      </c>
      <c r="E1448">
        <v>255</v>
      </c>
      <c r="F1448">
        <v>23</v>
      </c>
      <c r="G1448" s="21" t="s">
        <v>25</v>
      </c>
      <c r="H1448" s="21" t="s">
        <v>304</v>
      </c>
      <c r="I1448" s="21" t="s">
        <v>2785</v>
      </c>
    </row>
    <row r="1449" spans="1:9" x14ac:dyDescent="0.25">
      <c r="A1449" s="21" t="s">
        <v>2877</v>
      </c>
      <c r="B1449">
        <v>36</v>
      </c>
      <c r="C1449" s="21" t="s">
        <v>89</v>
      </c>
      <c r="D1449" s="21" t="s">
        <v>52</v>
      </c>
      <c r="E1449">
        <v>205</v>
      </c>
      <c r="F1449">
        <v>21</v>
      </c>
      <c r="G1449" s="21" t="s">
        <v>25</v>
      </c>
      <c r="H1449" s="21" t="s">
        <v>117</v>
      </c>
      <c r="I1449" s="21" t="s">
        <v>2785</v>
      </c>
    </row>
    <row r="1450" spans="1:9" x14ac:dyDescent="0.25">
      <c r="A1450" s="21" t="s">
        <v>2792</v>
      </c>
      <c r="B1450">
        <v>24</v>
      </c>
      <c r="C1450" s="21" t="s">
        <v>89</v>
      </c>
      <c r="D1450" s="21" t="s">
        <v>11</v>
      </c>
      <c r="E1450">
        <v>204</v>
      </c>
      <c r="F1450">
        <v>25</v>
      </c>
      <c r="G1450" s="21" t="s">
        <v>12</v>
      </c>
      <c r="H1450" s="21" t="s">
        <v>87</v>
      </c>
      <c r="I1450" s="21" t="s">
        <v>2785</v>
      </c>
    </row>
    <row r="1451" spans="1:9" x14ac:dyDescent="0.25">
      <c r="A1451" s="21" t="s">
        <v>2793</v>
      </c>
      <c r="B1451">
        <v>18</v>
      </c>
      <c r="C1451" s="21" t="s">
        <v>10</v>
      </c>
      <c r="D1451" s="21" t="s">
        <v>52</v>
      </c>
      <c r="E1451">
        <v>181</v>
      </c>
      <c r="F1451">
        <v>28</v>
      </c>
      <c r="G1451" s="21" t="s">
        <v>16</v>
      </c>
      <c r="H1451" s="21" t="s">
        <v>718</v>
      </c>
      <c r="I1451" s="21" t="s">
        <v>2785</v>
      </c>
    </row>
    <row r="1452" spans="1:9" x14ac:dyDescent="0.25">
      <c r="A1452" s="21" t="s">
        <v>2794</v>
      </c>
      <c r="B1452">
        <v>68</v>
      </c>
      <c r="C1452" s="21" t="s">
        <v>277</v>
      </c>
      <c r="D1452" s="21" t="s">
        <v>29</v>
      </c>
      <c r="E1452">
        <v>315</v>
      </c>
      <c r="F1452">
        <v>24</v>
      </c>
      <c r="G1452" s="21" t="s">
        <v>12</v>
      </c>
      <c r="H1452" s="21" t="s">
        <v>98</v>
      </c>
      <c r="I1452" s="21" t="s">
        <v>2785</v>
      </c>
    </row>
    <row r="1453" spans="1:9" x14ac:dyDescent="0.25">
      <c r="A1453" s="21" t="s">
        <v>2795</v>
      </c>
      <c r="B1453">
        <v>31</v>
      </c>
      <c r="C1453" s="21" t="s">
        <v>51</v>
      </c>
      <c r="D1453" s="21" t="s">
        <v>125</v>
      </c>
      <c r="E1453">
        <v>190</v>
      </c>
      <c r="F1453">
        <v>27</v>
      </c>
      <c r="G1453" s="21" t="s">
        <v>38</v>
      </c>
      <c r="H1453" s="21" t="s">
        <v>269</v>
      </c>
      <c r="I1453" s="21" t="s">
        <v>2785</v>
      </c>
    </row>
    <row r="1454" spans="1:9" x14ac:dyDescent="0.25">
      <c r="A1454" s="21" t="s">
        <v>2796</v>
      </c>
      <c r="B1454">
        <v>23</v>
      </c>
      <c r="C1454" s="21" t="s">
        <v>51</v>
      </c>
      <c r="D1454" s="21" t="s">
        <v>52</v>
      </c>
      <c r="E1454">
        <v>218</v>
      </c>
      <c r="F1454">
        <v>23</v>
      </c>
      <c r="G1454" s="21" t="s">
        <v>30</v>
      </c>
      <c r="H1454" s="21" t="s">
        <v>62</v>
      </c>
      <c r="I1454" s="21" t="s">
        <v>2785</v>
      </c>
    </row>
    <row r="1455" spans="1:9" x14ac:dyDescent="0.25">
      <c r="A1455" s="21" t="s">
        <v>2797</v>
      </c>
      <c r="B1455">
        <v>47</v>
      </c>
      <c r="C1455" s="21" t="s">
        <v>15</v>
      </c>
      <c r="D1455" s="21" t="s">
        <v>29</v>
      </c>
      <c r="E1455">
        <v>233</v>
      </c>
      <c r="F1455">
        <v>24</v>
      </c>
      <c r="G1455" s="21" t="s">
        <v>12</v>
      </c>
      <c r="H1455" s="21" t="s">
        <v>3251</v>
      </c>
      <c r="I1455" s="21" t="s">
        <v>2785</v>
      </c>
    </row>
    <row r="1456" spans="1:9" x14ac:dyDescent="0.25">
      <c r="A1456" s="21" t="s">
        <v>2798</v>
      </c>
      <c r="B1456">
        <v>27</v>
      </c>
      <c r="C1456" s="21" t="s">
        <v>48</v>
      </c>
      <c r="D1456" s="21" t="s">
        <v>52</v>
      </c>
      <c r="E1456">
        <v>193</v>
      </c>
      <c r="F1456">
        <v>28</v>
      </c>
      <c r="G1456" s="21" t="s">
        <v>38</v>
      </c>
      <c r="H1456" s="21" t="s">
        <v>333</v>
      </c>
      <c r="I1456" s="21" t="s">
        <v>2785</v>
      </c>
    </row>
    <row r="1457" spans="1:9" x14ac:dyDescent="0.25">
      <c r="A1457" s="21" t="s">
        <v>2799</v>
      </c>
      <c r="B1457">
        <v>25</v>
      </c>
      <c r="C1457" s="21" t="s">
        <v>51</v>
      </c>
      <c r="D1457" s="21" t="s">
        <v>11</v>
      </c>
      <c r="E1457">
        <v>221</v>
      </c>
      <c r="F1457">
        <v>21</v>
      </c>
      <c r="G1457" s="21" t="s">
        <v>25</v>
      </c>
      <c r="H1457" s="21" t="s">
        <v>241</v>
      </c>
      <c r="I1457" s="21" t="s">
        <v>2785</v>
      </c>
    </row>
    <row r="1458" spans="1:9" x14ac:dyDescent="0.25">
      <c r="A1458" s="21" t="s">
        <v>2800</v>
      </c>
      <c r="B1458">
        <v>21</v>
      </c>
      <c r="C1458" s="21" t="s">
        <v>89</v>
      </c>
      <c r="D1458" s="21" t="s">
        <v>11</v>
      </c>
      <c r="E1458">
        <v>197</v>
      </c>
      <c r="F1458">
        <v>23</v>
      </c>
      <c r="G1458" s="21" t="s">
        <v>25</v>
      </c>
      <c r="H1458" s="21" t="s">
        <v>683</v>
      </c>
      <c r="I1458" s="21" t="s">
        <v>2785</v>
      </c>
    </row>
    <row r="1459" spans="1:9" x14ac:dyDescent="0.25">
      <c r="A1459" s="21" t="s">
        <v>2801</v>
      </c>
      <c r="B1459">
        <v>52</v>
      </c>
      <c r="C1459" s="21" t="s">
        <v>15</v>
      </c>
      <c r="D1459" s="21" t="s">
        <v>44</v>
      </c>
      <c r="E1459">
        <v>236</v>
      </c>
      <c r="F1459">
        <v>25</v>
      </c>
      <c r="G1459" s="21" t="s">
        <v>12</v>
      </c>
      <c r="H1459" s="21" t="s">
        <v>168</v>
      </c>
      <c r="I1459" s="21" t="s">
        <v>2785</v>
      </c>
    </row>
    <row r="1460" spans="1:9" x14ac:dyDescent="0.25">
      <c r="A1460" s="21" t="s">
        <v>2802</v>
      </c>
      <c r="B1460">
        <v>48</v>
      </c>
      <c r="C1460" s="21" t="s">
        <v>15</v>
      </c>
      <c r="D1460" s="21" t="s">
        <v>52</v>
      </c>
      <c r="E1460">
        <v>235</v>
      </c>
      <c r="F1460">
        <v>25</v>
      </c>
      <c r="G1460" s="21" t="s">
        <v>12</v>
      </c>
      <c r="H1460" s="21" t="s">
        <v>196</v>
      </c>
      <c r="I1460" s="21" t="s">
        <v>2785</v>
      </c>
    </row>
    <row r="1461" spans="1:9" x14ac:dyDescent="0.25">
      <c r="A1461" s="21" t="s">
        <v>2803</v>
      </c>
      <c r="B1461">
        <v>79</v>
      </c>
      <c r="C1461" s="21" t="s">
        <v>140</v>
      </c>
      <c r="D1461" s="21" t="s">
        <v>67</v>
      </c>
      <c r="E1461">
        <v>311</v>
      </c>
      <c r="F1461">
        <v>27</v>
      </c>
      <c r="G1461" s="21" t="s">
        <v>45</v>
      </c>
      <c r="H1461" s="21" t="s">
        <v>304</v>
      </c>
      <c r="I1461" s="21" t="s">
        <v>2785</v>
      </c>
    </row>
    <row r="1462" spans="1:9" x14ac:dyDescent="0.25">
      <c r="A1462" s="21" t="s">
        <v>2804</v>
      </c>
      <c r="B1462">
        <v>98</v>
      </c>
      <c r="C1462" s="21" t="s">
        <v>19</v>
      </c>
      <c r="D1462" s="21" t="s">
        <v>44</v>
      </c>
      <c r="E1462">
        <v>327</v>
      </c>
      <c r="F1462">
        <v>24</v>
      </c>
      <c r="G1462" s="21" t="s">
        <v>25</v>
      </c>
      <c r="H1462" s="21" t="s">
        <v>13</v>
      </c>
      <c r="I1462" s="21" t="s">
        <v>2785</v>
      </c>
    </row>
    <row r="1463" spans="1:9" x14ac:dyDescent="0.25">
      <c r="A1463" s="21" t="s">
        <v>2805</v>
      </c>
      <c r="B1463">
        <v>31</v>
      </c>
      <c r="C1463" s="21" t="s">
        <v>48</v>
      </c>
      <c r="D1463" s="21" t="s">
        <v>135</v>
      </c>
      <c r="E1463">
        <v>181</v>
      </c>
      <c r="F1463">
        <v>24</v>
      </c>
      <c r="G1463" s="21" t="s">
        <v>12</v>
      </c>
      <c r="H1463" s="21" t="s">
        <v>2591</v>
      </c>
      <c r="I1463" s="21" t="s">
        <v>2785</v>
      </c>
    </row>
    <row r="1464" spans="1:9" x14ac:dyDescent="0.25">
      <c r="A1464" s="21" t="s">
        <v>2806</v>
      </c>
      <c r="C1464" s="21" t="s">
        <v>10</v>
      </c>
      <c r="D1464" s="21" t="s">
        <v>44</v>
      </c>
      <c r="E1464">
        <v>204</v>
      </c>
      <c r="F1464">
        <v>26</v>
      </c>
      <c r="G1464" s="21" t="s">
        <v>30</v>
      </c>
      <c r="H1464" s="21" t="s">
        <v>306</v>
      </c>
      <c r="I1464" s="21" t="s">
        <v>2785</v>
      </c>
    </row>
    <row r="1465" spans="1:9" x14ac:dyDescent="0.25">
      <c r="A1465" s="21" t="s">
        <v>2807</v>
      </c>
      <c r="B1465">
        <v>77</v>
      </c>
      <c r="C1465" s="21" t="s">
        <v>28</v>
      </c>
      <c r="D1465" s="21" t="s">
        <v>35</v>
      </c>
      <c r="E1465">
        <v>310</v>
      </c>
      <c r="F1465">
        <v>30</v>
      </c>
      <c r="G1465" s="21" t="s">
        <v>45</v>
      </c>
      <c r="H1465" s="21" t="s">
        <v>13</v>
      </c>
      <c r="I1465" s="21" t="s">
        <v>2785</v>
      </c>
    </row>
    <row r="1466" spans="1:9" x14ac:dyDescent="0.25">
      <c r="A1466" s="21" t="s">
        <v>2808</v>
      </c>
      <c r="B1466">
        <v>77</v>
      </c>
      <c r="C1466" s="21" t="s">
        <v>19</v>
      </c>
      <c r="D1466" s="21" t="s">
        <v>44</v>
      </c>
      <c r="E1466">
        <v>278</v>
      </c>
      <c r="F1466">
        <v>23</v>
      </c>
      <c r="G1466" s="21" t="s">
        <v>25</v>
      </c>
      <c r="H1466" s="21" t="s">
        <v>115</v>
      </c>
      <c r="I1466" s="21" t="s">
        <v>2785</v>
      </c>
    </row>
    <row r="1467" spans="1:9" x14ac:dyDescent="0.25">
      <c r="A1467" s="21" t="s">
        <v>2809</v>
      </c>
      <c r="B1467">
        <v>71</v>
      </c>
      <c r="C1467" s="21" t="s">
        <v>114</v>
      </c>
      <c r="D1467" s="21" t="s">
        <v>24</v>
      </c>
      <c r="E1467">
        <v>334</v>
      </c>
      <c r="F1467">
        <v>31</v>
      </c>
      <c r="G1467" s="21" t="s">
        <v>64</v>
      </c>
      <c r="H1467" s="21" t="s">
        <v>572</v>
      </c>
      <c r="I1467" s="21" t="s">
        <v>2785</v>
      </c>
    </row>
    <row r="1468" spans="1:9" x14ac:dyDescent="0.25">
      <c r="A1468" s="21" t="s">
        <v>2810</v>
      </c>
      <c r="B1468">
        <v>37</v>
      </c>
      <c r="C1468" s="21" t="s">
        <v>48</v>
      </c>
      <c r="D1468" s="21" t="s">
        <v>44</v>
      </c>
      <c r="E1468">
        <v>174</v>
      </c>
      <c r="F1468">
        <v>24</v>
      </c>
      <c r="G1468" s="21" t="s">
        <v>25</v>
      </c>
      <c r="H1468" s="21" t="s">
        <v>267</v>
      </c>
      <c r="I1468" s="21" t="s">
        <v>2785</v>
      </c>
    </row>
    <row r="1469" spans="1:9" x14ac:dyDescent="0.25">
      <c r="A1469" s="21" t="s">
        <v>2811</v>
      </c>
      <c r="B1469">
        <v>75</v>
      </c>
      <c r="C1469" s="21" t="s">
        <v>277</v>
      </c>
      <c r="D1469" s="21" t="s">
        <v>35</v>
      </c>
      <c r="E1469">
        <v>308</v>
      </c>
      <c r="F1469">
        <v>22</v>
      </c>
      <c r="G1469" s="21" t="s">
        <v>25</v>
      </c>
      <c r="H1469" s="21" t="s">
        <v>73</v>
      </c>
      <c r="I1469" s="21" t="s">
        <v>2785</v>
      </c>
    </row>
    <row r="1470" spans="1:9" x14ac:dyDescent="0.25">
      <c r="A1470" s="21" t="s">
        <v>2812</v>
      </c>
      <c r="B1470">
        <v>76</v>
      </c>
      <c r="C1470" s="21" t="s">
        <v>28</v>
      </c>
      <c r="D1470" s="21" t="s">
        <v>35</v>
      </c>
      <c r="E1470">
        <v>325</v>
      </c>
      <c r="F1470">
        <v>30</v>
      </c>
      <c r="G1470" s="21" t="s">
        <v>21</v>
      </c>
      <c r="H1470" s="21" t="s">
        <v>385</v>
      </c>
      <c r="I1470" s="21" t="s">
        <v>2785</v>
      </c>
    </row>
    <row r="1471" spans="1:9" x14ac:dyDescent="0.25">
      <c r="A1471" s="21" t="s">
        <v>2813</v>
      </c>
      <c r="B1471">
        <v>28</v>
      </c>
      <c r="C1471" s="21" t="s">
        <v>124</v>
      </c>
      <c r="D1471" s="21" t="s">
        <v>52</v>
      </c>
      <c r="E1471">
        <v>175</v>
      </c>
      <c r="F1471">
        <v>20</v>
      </c>
      <c r="G1471" s="21" t="s">
        <v>25</v>
      </c>
      <c r="H1471" s="21" t="s">
        <v>267</v>
      </c>
      <c r="I1471" s="21" t="s">
        <v>2785</v>
      </c>
    </row>
    <row r="1472" spans="1:9" x14ac:dyDescent="0.25">
      <c r="A1472" s="21" t="s">
        <v>2814</v>
      </c>
      <c r="B1472">
        <v>82</v>
      </c>
      <c r="C1472" s="21" t="s">
        <v>10</v>
      </c>
      <c r="D1472" s="21" t="s">
        <v>24</v>
      </c>
      <c r="E1472">
        <v>196</v>
      </c>
      <c r="F1472">
        <v>28</v>
      </c>
      <c r="G1472" s="21" t="s">
        <v>16</v>
      </c>
      <c r="H1472" s="21" t="s">
        <v>233</v>
      </c>
      <c r="I1472" s="21" t="s">
        <v>2785</v>
      </c>
    </row>
    <row r="1473" spans="1:9" x14ac:dyDescent="0.25">
      <c r="A1473" s="21" t="s">
        <v>2815</v>
      </c>
      <c r="B1473">
        <v>49</v>
      </c>
      <c r="C1473" s="21" t="s">
        <v>213</v>
      </c>
      <c r="D1473" s="21" t="s">
        <v>44</v>
      </c>
      <c r="E1473">
        <v>260</v>
      </c>
      <c r="F1473">
        <v>24</v>
      </c>
      <c r="G1473" s="21" t="s">
        <v>25</v>
      </c>
      <c r="H1473" s="21" t="s">
        <v>73</v>
      </c>
      <c r="I1473" s="21" t="s">
        <v>2785</v>
      </c>
    </row>
    <row r="1474" spans="1:9" x14ac:dyDescent="0.25">
      <c r="A1474" s="21" t="s">
        <v>2816</v>
      </c>
      <c r="B1474">
        <v>9</v>
      </c>
      <c r="C1474" s="21" t="s">
        <v>76</v>
      </c>
      <c r="D1474" s="21" t="s">
        <v>24</v>
      </c>
      <c r="E1474">
        <v>202</v>
      </c>
      <c r="F1474">
        <v>35</v>
      </c>
      <c r="G1474" s="21" t="s">
        <v>407</v>
      </c>
      <c r="H1474" s="21" t="s">
        <v>241</v>
      </c>
      <c r="I1474" s="21" t="s">
        <v>2785</v>
      </c>
    </row>
    <row r="1475" spans="1:9" x14ac:dyDescent="0.25">
      <c r="A1475" s="21" t="s">
        <v>2817</v>
      </c>
      <c r="B1475">
        <v>72</v>
      </c>
      <c r="C1475" s="21" t="s">
        <v>28</v>
      </c>
      <c r="D1475" s="21" t="s">
        <v>35</v>
      </c>
      <c r="E1475">
        <v>309</v>
      </c>
      <c r="F1475">
        <v>30</v>
      </c>
      <c r="G1475" s="21" t="s">
        <v>21</v>
      </c>
      <c r="H1475" s="21" t="s">
        <v>251</v>
      </c>
      <c r="I1475" s="21" t="s">
        <v>2785</v>
      </c>
    </row>
    <row r="1476" spans="1:9" x14ac:dyDescent="0.25">
      <c r="A1476" s="21" t="s">
        <v>2818</v>
      </c>
      <c r="B1476">
        <v>65</v>
      </c>
      <c r="C1476" s="21" t="s">
        <v>184</v>
      </c>
      <c r="D1476" s="21" t="s">
        <v>67</v>
      </c>
      <c r="E1476">
        <v>318</v>
      </c>
      <c r="F1476">
        <v>26</v>
      </c>
      <c r="G1476" s="21" t="s">
        <v>45</v>
      </c>
      <c r="H1476" s="21" t="s">
        <v>556</v>
      </c>
      <c r="I1476" s="21" t="s">
        <v>2785</v>
      </c>
    </row>
    <row r="1477" spans="1:9" x14ac:dyDescent="0.25">
      <c r="A1477" s="21" t="s">
        <v>2819</v>
      </c>
      <c r="B1477">
        <v>38</v>
      </c>
      <c r="C1477" s="21" t="s">
        <v>48</v>
      </c>
      <c r="D1477" s="21" t="s">
        <v>52</v>
      </c>
      <c r="E1477">
        <v>182</v>
      </c>
      <c r="F1477">
        <v>23</v>
      </c>
      <c r="G1477" s="21" t="s">
        <v>25</v>
      </c>
      <c r="H1477" s="21" t="s">
        <v>17</v>
      </c>
      <c r="I1477" s="21" t="s">
        <v>2785</v>
      </c>
    </row>
    <row r="1478" spans="1:9" x14ac:dyDescent="0.25">
      <c r="A1478" s="21" t="s">
        <v>2820</v>
      </c>
      <c r="B1478">
        <v>17</v>
      </c>
      <c r="C1478" s="21" t="s">
        <v>193</v>
      </c>
      <c r="D1478" s="21" t="s">
        <v>52</v>
      </c>
      <c r="E1478">
        <v>207</v>
      </c>
      <c r="F1478">
        <v>25</v>
      </c>
      <c r="G1478" s="21" t="s">
        <v>16</v>
      </c>
      <c r="H1478" s="21" t="s">
        <v>4780</v>
      </c>
      <c r="I1478" s="21" t="s">
        <v>2785</v>
      </c>
    </row>
    <row r="1479" spans="1:9" x14ac:dyDescent="0.25">
      <c r="A1479" s="21" t="s">
        <v>2821</v>
      </c>
      <c r="B1479">
        <v>64</v>
      </c>
      <c r="C1479" s="21" t="s">
        <v>28</v>
      </c>
      <c r="D1479" s="21" t="s">
        <v>35</v>
      </c>
      <c r="E1479">
        <v>310</v>
      </c>
      <c r="F1479">
        <v>30</v>
      </c>
      <c r="G1479" s="21" t="s">
        <v>21</v>
      </c>
      <c r="H1479" s="21" t="s">
        <v>143</v>
      </c>
      <c r="I1479" s="21" t="s">
        <v>2785</v>
      </c>
    </row>
    <row r="1480" spans="1:9" x14ac:dyDescent="0.25">
      <c r="A1480" s="21" t="s">
        <v>2822</v>
      </c>
      <c r="B1480">
        <v>19</v>
      </c>
      <c r="C1480" s="21" t="s">
        <v>10</v>
      </c>
      <c r="D1480" s="21" t="s">
        <v>35</v>
      </c>
      <c r="E1480">
        <v>213</v>
      </c>
      <c r="F1480">
        <v>28</v>
      </c>
      <c r="G1480" s="21" t="s">
        <v>38</v>
      </c>
      <c r="H1480" s="21" t="s">
        <v>181</v>
      </c>
      <c r="I1480" s="21" t="s">
        <v>2785</v>
      </c>
    </row>
    <row r="1481" spans="1:9" x14ac:dyDescent="0.25">
      <c r="A1481" s="21" t="s">
        <v>2823</v>
      </c>
      <c r="B1481">
        <v>73</v>
      </c>
      <c r="C1481" s="21" t="s">
        <v>140</v>
      </c>
      <c r="D1481" s="21" t="s">
        <v>35</v>
      </c>
      <c r="E1481">
        <v>305</v>
      </c>
      <c r="F1481">
        <v>26</v>
      </c>
      <c r="G1481" s="21" t="s">
        <v>16</v>
      </c>
      <c r="H1481" s="21" t="s">
        <v>2824</v>
      </c>
      <c r="I1481" s="21" t="s">
        <v>2785</v>
      </c>
    </row>
    <row r="1482" spans="1:9" x14ac:dyDescent="0.25">
      <c r="A1482" s="21" t="s">
        <v>2825</v>
      </c>
      <c r="B1482">
        <v>27</v>
      </c>
      <c r="C1482" s="21" t="s">
        <v>91</v>
      </c>
      <c r="D1482" s="21" t="s">
        <v>24</v>
      </c>
      <c r="E1482">
        <v>248</v>
      </c>
      <c r="F1482">
        <v>23</v>
      </c>
      <c r="G1482" s="21" t="s">
        <v>25</v>
      </c>
      <c r="H1482" s="21" t="s">
        <v>187</v>
      </c>
      <c r="I1482" s="21" t="s">
        <v>2785</v>
      </c>
    </row>
    <row r="1483" spans="1:9" x14ac:dyDescent="0.25">
      <c r="A1483" s="21" t="s">
        <v>2826</v>
      </c>
      <c r="B1483">
        <v>62</v>
      </c>
      <c r="C1483" s="21" t="s">
        <v>28</v>
      </c>
      <c r="D1483" s="21" t="s">
        <v>67</v>
      </c>
      <c r="E1483">
        <v>311</v>
      </c>
      <c r="F1483">
        <v>24</v>
      </c>
      <c r="G1483" s="21" t="s">
        <v>83</v>
      </c>
      <c r="H1483" s="21" t="s">
        <v>347</v>
      </c>
      <c r="I1483" s="21" t="s">
        <v>2785</v>
      </c>
    </row>
    <row r="1484" spans="1:9" x14ac:dyDescent="0.25">
      <c r="A1484" s="21" t="s">
        <v>2827</v>
      </c>
      <c r="B1484">
        <v>46</v>
      </c>
      <c r="C1484" s="21" t="s">
        <v>15</v>
      </c>
      <c r="D1484" s="21" t="s">
        <v>52</v>
      </c>
      <c r="E1484">
        <v>231</v>
      </c>
      <c r="F1484">
        <v>25</v>
      </c>
      <c r="G1484" s="21" t="s">
        <v>30</v>
      </c>
      <c r="H1484" s="21" t="s">
        <v>36</v>
      </c>
      <c r="I1484" s="21" t="s">
        <v>2785</v>
      </c>
    </row>
    <row r="1485" spans="1:9" x14ac:dyDescent="0.25">
      <c r="A1485" s="21" t="s">
        <v>2828</v>
      </c>
      <c r="B1485">
        <v>69</v>
      </c>
      <c r="C1485" s="21" t="s">
        <v>19</v>
      </c>
      <c r="D1485" s="21" t="s">
        <v>35</v>
      </c>
      <c r="E1485">
        <v>310</v>
      </c>
      <c r="F1485">
        <v>21</v>
      </c>
      <c r="G1485" s="21" t="s">
        <v>25</v>
      </c>
      <c r="H1485" s="21" t="s">
        <v>98</v>
      </c>
      <c r="I1485" s="21" t="s">
        <v>2785</v>
      </c>
    </row>
    <row r="1486" spans="1:9" x14ac:dyDescent="0.25">
      <c r="A1486" s="21" t="s">
        <v>2829</v>
      </c>
      <c r="B1486">
        <v>30</v>
      </c>
      <c r="C1486" s="21" t="s">
        <v>48</v>
      </c>
      <c r="D1486" s="21" t="s">
        <v>125</v>
      </c>
      <c r="E1486">
        <v>195</v>
      </c>
      <c r="F1486">
        <v>24</v>
      </c>
      <c r="G1486" s="21" t="s">
        <v>12</v>
      </c>
      <c r="H1486" s="21" t="s">
        <v>39</v>
      </c>
      <c r="I1486" s="21" t="s">
        <v>2785</v>
      </c>
    </row>
    <row r="1487" spans="1:9" x14ac:dyDescent="0.25">
      <c r="A1487" s="21" t="s">
        <v>2830</v>
      </c>
      <c r="B1487">
        <v>91</v>
      </c>
      <c r="C1487" s="21" t="s">
        <v>319</v>
      </c>
      <c r="D1487" s="21" t="s">
        <v>29</v>
      </c>
      <c r="E1487">
        <v>283</v>
      </c>
      <c r="F1487">
        <v>26</v>
      </c>
      <c r="G1487" s="21" t="s">
        <v>45</v>
      </c>
      <c r="H1487" s="21" t="s">
        <v>36</v>
      </c>
      <c r="I1487" s="21" t="s">
        <v>2785</v>
      </c>
    </row>
    <row r="1488" spans="1:9" x14ac:dyDescent="0.25">
      <c r="A1488" s="21" t="s">
        <v>2831</v>
      </c>
      <c r="B1488">
        <v>22</v>
      </c>
      <c r="C1488" s="21" t="s">
        <v>48</v>
      </c>
      <c r="D1488" s="21" t="s">
        <v>54</v>
      </c>
      <c r="E1488">
        <v>185</v>
      </c>
      <c r="F1488">
        <v>26</v>
      </c>
      <c r="G1488" s="21" t="s">
        <v>38</v>
      </c>
      <c r="H1488" s="21" t="s">
        <v>280</v>
      </c>
      <c r="I1488" s="21" t="s">
        <v>2785</v>
      </c>
    </row>
    <row r="1489" spans="1:9" x14ac:dyDescent="0.25">
      <c r="A1489" s="21" t="s">
        <v>2832</v>
      </c>
      <c r="B1489">
        <v>23</v>
      </c>
      <c r="C1489" s="21" t="s">
        <v>48</v>
      </c>
      <c r="D1489" s="21" t="s">
        <v>52</v>
      </c>
      <c r="E1489">
        <v>203</v>
      </c>
      <c r="F1489">
        <v>25</v>
      </c>
      <c r="G1489" s="21" t="s">
        <v>30</v>
      </c>
      <c r="H1489" s="21" t="s">
        <v>145</v>
      </c>
      <c r="I1489" s="21" t="s">
        <v>2785</v>
      </c>
    </row>
    <row r="1490" spans="1:9" x14ac:dyDescent="0.25">
      <c r="A1490" s="21" t="s">
        <v>2833</v>
      </c>
      <c r="B1490">
        <v>80</v>
      </c>
      <c r="C1490" s="21" t="s">
        <v>10</v>
      </c>
      <c r="D1490" s="21" t="s">
        <v>135</v>
      </c>
      <c r="E1490">
        <v>185</v>
      </c>
      <c r="F1490">
        <v>26</v>
      </c>
      <c r="G1490" s="21" t="s">
        <v>45</v>
      </c>
      <c r="H1490" s="21" t="s">
        <v>179</v>
      </c>
      <c r="I1490" s="21" t="s">
        <v>2785</v>
      </c>
    </row>
    <row r="1491" spans="1:9" x14ac:dyDescent="0.25">
      <c r="A1491" s="21" t="s">
        <v>2834</v>
      </c>
      <c r="B1491">
        <v>15</v>
      </c>
      <c r="C1491" s="21" t="s">
        <v>10</v>
      </c>
      <c r="D1491" s="21" t="s">
        <v>67</v>
      </c>
      <c r="E1491">
        <v>220</v>
      </c>
      <c r="F1491">
        <v>24</v>
      </c>
      <c r="G1491" s="21" t="s">
        <v>12</v>
      </c>
      <c r="H1491" s="21" t="s">
        <v>109</v>
      </c>
      <c r="I1491" s="21" t="s">
        <v>2785</v>
      </c>
    </row>
    <row r="1492" spans="1:9" x14ac:dyDescent="0.25">
      <c r="A1492" s="21" t="s">
        <v>2835</v>
      </c>
      <c r="B1492">
        <v>8</v>
      </c>
      <c r="C1492" s="21" t="s">
        <v>70</v>
      </c>
      <c r="D1492" s="21" t="s">
        <v>29</v>
      </c>
      <c r="E1492">
        <v>230</v>
      </c>
      <c r="F1492">
        <v>25</v>
      </c>
      <c r="G1492" s="21" t="s">
        <v>16</v>
      </c>
      <c r="H1492" s="21" t="s">
        <v>347</v>
      </c>
      <c r="I1492" s="21" t="s">
        <v>2785</v>
      </c>
    </row>
    <row r="1493" spans="1:9" x14ac:dyDescent="0.25">
      <c r="A1493" s="21" t="s">
        <v>2836</v>
      </c>
      <c r="B1493">
        <v>58</v>
      </c>
      <c r="C1493" s="21" t="s">
        <v>158</v>
      </c>
      <c r="D1493" s="21" t="s">
        <v>52</v>
      </c>
      <c r="E1493">
        <v>250</v>
      </c>
      <c r="F1493">
        <v>31</v>
      </c>
      <c r="G1493" s="21" t="s">
        <v>100</v>
      </c>
      <c r="H1493" s="21" t="s">
        <v>117</v>
      </c>
      <c r="I1493" s="21" t="s">
        <v>2785</v>
      </c>
    </row>
    <row r="1494" spans="1:9" x14ac:dyDescent="0.25">
      <c r="A1494" s="21" t="s">
        <v>2837</v>
      </c>
      <c r="B1494">
        <v>57</v>
      </c>
      <c r="C1494" s="21" t="s">
        <v>15</v>
      </c>
      <c r="D1494" s="21" t="s">
        <v>29</v>
      </c>
      <c r="E1494">
        <v>270</v>
      </c>
      <c r="F1494">
        <v>25</v>
      </c>
      <c r="G1494" s="21" t="s">
        <v>30</v>
      </c>
      <c r="H1494" s="21" t="s">
        <v>2838</v>
      </c>
      <c r="I1494" s="21" t="s">
        <v>2785</v>
      </c>
    </row>
    <row r="1495" spans="1:9" x14ac:dyDescent="0.25">
      <c r="A1495" s="21" t="s">
        <v>2839</v>
      </c>
      <c r="B1495">
        <v>97</v>
      </c>
      <c r="C1495" s="21" t="s">
        <v>19</v>
      </c>
      <c r="D1495" s="21" t="s">
        <v>35</v>
      </c>
      <c r="E1495">
        <v>342</v>
      </c>
      <c r="F1495">
        <v>24</v>
      </c>
      <c r="G1495" s="21" t="s">
        <v>16</v>
      </c>
      <c r="H1495" s="21" t="s">
        <v>136</v>
      </c>
      <c r="I1495" s="21" t="s">
        <v>2785</v>
      </c>
    </row>
    <row r="1496" spans="1:9" x14ac:dyDescent="0.25">
      <c r="A1496" s="21" t="s">
        <v>2840</v>
      </c>
      <c r="B1496">
        <v>66</v>
      </c>
      <c r="C1496" s="21" t="s">
        <v>277</v>
      </c>
      <c r="D1496" s="21" t="s">
        <v>35</v>
      </c>
      <c r="E1496">
        <v>310</v>
      </c>
      <c r="F1496">
        <v>25</v>
      </c>
      <c r="G1496" s="21" t="s">
        <v>12</v>
      </c>
      <c r="H1496" s="21" t="s">
        <v>22</v>
      </c>
      <c r="I1496" s="21" t="s">
        <v>2785</v>
      </c>
    </row>
    <row r="1497" spans="1:9" x14ac:dyDescent="0.25">
      <c r="A1497" s="21" t="s">
        <v>2841</v>
      </c>
      <c r="B1497">
        <v>20</v>
      </c>
      <c r="C1497" s="21" t="s">
        <v>89</v>
      </c>
      <c r="D1497" s="21" t="s">
        <v>54</v>
      </c>
      <c r="E1497">
        <v>195</v>
      </c>
      <c r="F1497">
        <v>24</v>
      </c>
      <c r="G1497" s="21" t="s">
        <v>16</v>
      </c>
      <c r="H1497" s="21" t="s">
        <v>31</v>
      </c>
      <c r="I1497" s="21" t="s">
        <v>2785</v>
      </c>
    </row>
    <row r="1498" spans="1:9" x14ac:dyDescent="0.25">
      <c r="A1498" s="21" t="s">
        <v>2842</v>
      </c>
      <c r="B1498">
        <v>54</v>
      </c>
      <c r="C1498" s="21" t="s">
        <v>15</v>
      </c>
      <c r="D1498" s="21" t="s">
        <v>24</v>
      </c>
      <c r="E1498">
        <v>237</v>
      </c>
      <c r="F1498">
        <v>28</v>
      </c>
      <c r="G1498" s="21" t="s">
        <v>100</v>
      </c>
      <c r="H1498" s="21" t="s">
        <v>165</v>
      </c>
      <c r="I1498" s="21" t="s">
        <v>2785</v>
      </c>
    </row>
    <row r="1499" spans="1:9" x14ac:dyDescent="0.25">
      <c r="A1499" s="21" t="s">
        <v>2843</v>
      </c>
      <c r="B1499">
        <v>61</v>
      </c>
      <c r="C1499" s="21" t="s">
        <v>140</v>
      </c>
      <c r="D1499" s="21" t="s">
        <v>82</v>
      </c>
      <c r="E1499">
        <v>320</v>
      </c>
      <c r="G1499" s="21" t="s">
        <v>25</v>
      </c>
      <c r="H1499" s="21" t="s">
        <v>940</v>
      </c>
      <c r="I1499" s="21" t="s">
        <v>2785</v>
      </c>
    </row>
    <row r="1500" spans="1:9" x14ac:dyDescent="0.25">
      <c r="A1500" s="21" t="s">
        <v>2844</v>
      </c>
      <c r="B1500">
        <v>43</v>
      </c>
      <c r="C1500" s="21" t="s">
        <v>15</v>
      </c>
      <c r="D1500" s="21" t="s">
        <v>24</v>
      </c>
      <c r="E1500">
        <v>232</v>
      </c>
      <c r="F1500">
        <v>22</v>
      </c>
      <c r="G1500" s="21" t="s">
        <v>25</v>
      </c>
      <c r="H1500" s="21" t="s">
        <v>138</v>
      </c>
      <c r="I1500" s="21" t="s">
        <v>2785</v>
      </c>
    </row>
    <row r="1501" spans="1:9" x14ac:dyDescent="0.25">
      <c r="A1501" s="21" t="s">
        <v>2845</v>
      </c>
      <c r="B1501">
        <v>60</v>
      </c>
      <c r="C1501" s="21" t="s">
        <v>28</v>
      </c>
      <c r="D1501" s="21" t="s">
        <v>20</v>
      </c>
      <c r="E1501">
        <v>335</v>
      </c>
      <c r="F1501">
        <v>23</v>
      </c>
      <c r="G1501" s="21" t="s">
        <v>25</v>
      </c>
      <c r="H1501" s="21" t="s">
        <v>73</v>
      </c>
      <c r="I1501" s="21" t="s">
        <v>2785</v>
      </c>
    </row>
    <row r="1502" spans="1:9" x14ac:dyDescent="0.25">
      <c r="A1502" s="21" t="s">
        <v>2846</v>
      </c>
      <c r="B1502">
        <v>29</v>
      </c>
      <c r="C1502" s="21" t="s">
        <v>89</v>
      </c>
      <c r="D1502" s="21" t="s">
        <v>11</v>
      </c>
      <c r="E1502">
        <v>201</v>
      </c>
      <c r="F1502">
        <v>23</v>
      </c>
      <c r="G1502" s="21" t="s">
        <v>12</v>
      </c>
      <c r="H1502" s="21" t="s">
        <v>233</v>
      </c>
      <c r="I1502" s="21" t="s">
        <v>2785</v>
      </c>
    </row>
    <row r="1503" spans="1:9" x14ac:dyDescent="0.25">
      <c r="A1503" s="21" t="s">
        <v>2847</v>
      </c>
      <c r="B1503">
        <v>43</v>
      </c>
      <c r="C1503" s="21" t="s">
        <v>57</v>
      </c>
      <c r="D1503" s="21" t="s">
        <v>44</v>
      </c>
      <c r="E1503">
        <v>224</v>
      </c>
      <c r="F1503">
        <v>24</v>
      </c>
      <c r="G1503" s="21" t="s">
        <v>25</v>
      </c>
      <c r="H1503" s="21" t="s">
        <v>2008</v>
      </c>
      <c r="I1503" s="21" t="s">
        <v>2785</v>
      </c>
    </row>
    <row r="1504" spans="1:9" x14ac:dyDescent="0.25">
      <c r="A1504" s="21" t="s">
        <v>2848</v>
      </c>
      <c r="B1504">
        <v>96</v>
      </c>
      <c r="C1504" s="21" t="s">
        <v>19</v>
      </c>
      <c r="D1504" s="21" t="s">
        <v>44</v>
      </c>
      <c r="E1504">
        <v>296</v>
      </c>
      <c r="F1504">
        <v>26</v>
      </c>
      <c r="G1504" s="21" t="s">
        <v>83</v>
      </c>
      <c r="H1504" s="21" t="s">
        <v>330</v>
      </c>
      <c r="I1504" s="21" t="s">
        <v>2785</v>
      </c>
    </row>
    <row r="1505" spans="1:9" x14ac:dyDescent="0.25">
      <c r="A1505" s="21" t="s">
        <v>2849</v>
      </c>
      <c r="B1505">
        <v>85</v>
      </c>
      <c r="C1505" s="21" t="s">
        <v>57</v>
      </c>
      <c r="D1505" s="21" t="s">
        <v>29</v>
      </c>
      <c r="E1505">
        <v>261</v>
      </c>
      <c r="F1505">
        <v>26</v>
      </c>
      <c r="G1505" s="21" t="s">
        <v>30</v>
      </c>
      <c r="H1505" s="21" t="s">
        <v>256</v>
      </c>
      <c r="I1505" s="21" t="s">
        <v>2785</v>
      </c>
    </row>
    <row r="1506" spans="1:9" x14ac:dyDescent="0.25">
      <c r="A1506" s="21" t="s">
        <v>2850</v>
      </c>
      <c r="B1506">
        <v>70</v>
      </c>
      <c r="C1506" s="21" t="s">
        <v>140</v>
      </c>
      <c r="D1506" s="21" t="s">
        <v>20</v>
      </c>
      <c r="E1506">
        <v>350</v>
      </c>
      <c r="F1506">
        <v>21</v>
      </c>
      <c r="G1506" s="21" t="s">
        <v>25</v>
      </c>
      <c r="H1506" s="21" t="s">
        <v>233</v>
      </c>
      <c r="I1506" s="21" t="s">
        <v>2785</v>
      </c>
    </row>
    <row r="1507" spans="1:9" x14ac:dyDescent="0.25">
      <c r="A1507" s="21" t="s">
        <v>2851</v>
      </c>
      <c r="B1507">
        <v>51</v>
      </c>
      <c r="C1507" s="21" t="s">
        <v>15</v>
      </c>
      <c r="D1507" s="21" t="s">
        <v>44</v>
      </c>
      <c r="E1507">
        <v>240</v>
      </c>
      <c r="F1507">
        <v>22</v>
      </c>
      <c r="G1507" s="21" t="s">
        <v>30</v>
      </c>
      <c r="H1507" s="21" t="s">
        <v>196</v>
      </c>
      <c r="I1507" s="21" t="s">
        <v>2785</v>
      </c>
    </row>
    <row r="1508" spans="1:9" x14ac:dyDescent="0.25">
      <c r="A1508" s="21" t="s">
        <v>2852</v>
      </c>
      <c r="B1508">
        <v>74</v>
      </c>
      <c r="C1508" s="21" t="s">
        <v>140</v>
      </c>
      <c r="D1508" s="21" t="s">
        <v>20</v>
      </c>
      <c r="E1508">
        <v>318</v>
      </c>
      <c r="F1508">
        <v>25</v>
      </c>
      <c r="G1508" s="21" t="s">
        <v>12</v>
      </c>
      <c r="H1508" s="21" t="s">
        <v>797</v>
      </c>
      <c r="I1508" s="21" t="s">
        <v>2785</v>
      </c>
    </row>
    <row r="1509" spans="1:9" x14ac:dyDescent="0.25">
      <c r="A1509" s="21" t="s">
        <v>2853</v>
      </c>
      <c r="B1509">
        <v>34</v>
      </c>
      <c r="C1509" s="21" t="s">
        <v>51</v>
      </c>
      <c r="D1509" s="21" t="s">
        <v>11</v>
      </c>
      <c r="E1509">
        <v>198</v>
      </c>
      <c r="F1509">
        <v>25</v>
      </c>
      <c r="G1509" s="21" t="s">
        <v>83</v>
      </c>
      <c r="H1509" s="21" t="s">
        <v>940</v>
      </c>
      <c r="I1509" s="21" t="s">
        <v>2785</v>
      </c>
    </row>
    <row r="1510" spans="1:9" x14ac:dyDescent="0.25">
      <c r="A1510" s="21" t="s">
        <v>2854</v>
      </c>
      <c r="B1510">
        <v>87</v>
      </c>
      <c r="C1510" s="21" t="s">
        <v>10</v>
      </c>
      <c r="D1510" s="21" t="s">
        <v>125</v>
      </c>
      <c r="E1510">
        <v>175</v>
      </c>
      <c r="F1510">
        <v>26</v>
      </c>
      <c r="G1510" s="21" t="s">
        <v>83</v>
      </c>
      <c r="H1510" s="21" t="s">
        <v>73</v>
      </c>
      <c r="I1510" s="21" t="s">
        <v>2785</v>
      </c>
    </row>
    <row r="1511" spans="1:9" x14ac:dyDescent="0.25">
      <c r="A1511" s="21" t="s">
        <v>2855</v>
      </c>
      <c r="B1511">
        <v>67</v>
      </c>
      <c r="C1511" s="21" t="s">
        <v>28</v>
      </c>
      <c r="D1511" s="21" t="s">
        <v>29</v>
      </c>
      <c r="E1511">
        <v>330</v>
      </c>
      <c r="F1511">
        <v>23</v>
      </c>
      <c r="G1511" s="21" t="s">
        <v>25</v>
      </c>
      <c r="H1511" s="21" t="s">
        <v>189</v>
      </c>
      <c r="I1511" s="21" t="s">
        <v>2785</v>
      </c>
    </row>
    <row r="1512" spans="1:9" x14ac:dyDescent="0.25">
      <c r="A1512" s="21" t="s">
        <v>2856</v>
      </c>
      <c r="B1512">
        <v>33</v>
      </c>
      <c r="C1512" s="21" t="s">
        <v>48</v>
      </c>
      <c r="D1512" s="21" t="s">
        <v>52</v>
      </c>
      <c r="E1512">
        <v>193</v>
      </c>
      <c r="F1512">
        <v>23</v>
      </c>
      <c r="G1512" s="21" t="s">
        <v>30</v>
      </c>
      <c r="H1512" s="21" t="s">
        <v>3252</v>
      </c>
      <c r="I1512" s="21" t="s">
        <v>2785</v>
      </c>
    </row>
    <row r="1513" spans="1:9" x14ac:dyDescent="0.25">
      <c r="A1513" s="21" t="s">
        <v>2878</v>
      </c>
      <c r="B1513">
        <v>17</v>
      </c>
      <c r="C1513" s="21" t="s">
        <v>10</v>
      </c>
      <c r="D1513" s="21" t="s">
        <v>86</v>
      </c>
      <c r="E1513">
        <v>185</v>
      </c>
      <c r="F1513">
        <v>21</v>
      </c>
      <c r="G1513" s="21" t="s">
        <v>25</v>
      </c>
      <c r="H1513" s="21" t="s">
        <v>683</v>
      </c>
      <c r="I1513" s="21" t="s">
        <v>2785</v>
      </c>
    </row>
    <row r="1514" spans="1:9" x14ac:dyDescent="0.25">
      <c r="A1514" s="21" t="s">
        <v>2857</v>
      </c>
      <c r="B1514">
        <v>95</v>
      </c>
      <c r="C1514" s="21" t="s">
        <v>15</v>
      </c>
      <c r="D1514" s="21" t="s">
        <v>44</v>
      </c>
      <c r="E1514">
        <v>245</v>
      </c>
      <c r="F1514">
        <v>24</v>
      </c>
      <c r="G1514" s="21" t="s">
        <v>30</v>
      </c>
      <c r="H1514" s="21" t="s">
        <v>385</v>
      </c>
      <c r="I1514" s="21" t="s">
        <v>2785</v>
      </c>
    </row>
    <row r="1515" spans="1:9" x14ac:dyDescent="0.25">
      <c r="A1515" s="21" t="s">
        <v>2858</v>
      </c>
      <c r="B1515">
        <v>83</v>
      </c>
      <c r="C1515" s="21" t="s">
        <v>57</v>
      </c>
      <c r="D1515" s="21" t="s">
        <v>29</v>
      </c>
      <c r="E1515">
        <v>243</v>
      </c>
      <c r="F1515">
        <v>27</v>
      </c>
      <c r="G1515" s="21" t="s">
        <v>38</v>
      </c>
      <c r="H1515" s="21" t="s">
        <v>152</v>
      </c>
      <c r="I1515" s="21" t="s">
        <v>2785</v>
      </c>
    </row>
    <row r="1516" spans="1:9" x14ac:dyDescent="0.25">
      <c r="A1516" s="21" t="s">
        <v>2859</v>
      </c>
      <c r="B1516">
        <v>3</v>
      </c>
      <c r="C1516" s="21" t="s">
        <v>10</v>
      </c>
      <c r="D1516" s="21" t="s">
        <v>125</v>
      </c>
      <c r="E1516">
        <v>196</v>
      </c>
      <c r="F1516">
        <v>29</v>
      </c>
      <c r="G1516" s="21" t="s">
        <v>100</v>
      </c>
      <c r="H1516" s="21" t="s">
        <v>187</v>
      </c>
      <c r="I1516" s="21" t="s">
        <v>2785</v>
      </c>
    </row>
    <row r="1517" spans="1:9" x14ac:dyDescent="0.25">
      <c r="A1517" s="21" t="s">
        <v>2860</v>
      </c>
      <c r="B1517">
        <v>84</v>
      </c>
      <c r="C1517" s="21" t="s">
        <v>10</v>
      </c>
      <c r="D1517" s="21" t="s">
        <v>44</v>
      </c>
      <c r="E1517">
        <v>211</v>
      </c>
      <c r="F1517">
        <v>26</v>
      </c>
      <c r="G1517" s="21" t="s">
        <v>30</v>
      </c>
      <c r="H1517" s="21" t="s">
        <v>143</v>
      </c>
      <c r="I1517" s="21" t="s">
        <v>2785</v>
      </c>
    </row>
    <row r="1518" spans="1:9" x14ac:dyDescent="0.25">
      <c r="A1518" s="21" t="s">
        <v>2861</v>
      </c>
      <c r="B1518">
        <v>86</v>
      </c>
      <c r="C1518" s="21" t="s">
        <v>10</v>
      </c>
      <c r="D1518" s="21" t="s">
        <v>52</v>
      </c>
      <c r="E1518">
        <v>194</v>
      </c>
      <c r="F1518">
        <v>25</v>
      </c>
      <c r="G1518" s="21" t="s">
        <v>16</v>
      </c>
      <c r="H1518" s="21" t="s">
        <v>65</v>
      </c>
      <c r="I1518" s="21" t="s">
        <v>2785</v>
      </c>
    </row>
    <row r="1519" spans="1:9" x14ac:dyDescent="0.25">
      <c r="A1519" s="21" t="s">
        <v>2862</v>
      </c>
      <c r="B1519">
        <v>94</v>
      </c>
      <c r="C1519" s="21" t="s">
        <v>15</v>
      </c>
      <c r="D1519" s="21" t="s">
        <v>20</v>
      </c>
      <c r="E1519">
        <v>245</v>
      </c>
      <c r="F1519">
        <v>24</v>
      </c>
      <c r="G1519" s="21" t="s">
        <v>30</v>
      </c>
      <c r="H1519" s="21" t="s">
        <v>473</v>
      </c>
      <c r="I1519" s="21" t="s">
        <v>2785</v>
      </c>
    </row>
    <row r="1520" spans="1:9" x14ac:dyDescent="0.25">
      <c r="A1520" s="21" t="s">
        <v>2863</v>
      </c>
      <c r="B1520">
        <v>2</v>
      </c>
      <c r="C1520" s="21" t="s">
        <v>70</v>
      </c>
      <c r="D1520" s="21" t="s">
        <v>52</v>
      </c>
      <c r="E1520">
        <v>217</v>
      </c>
      <c r="F1520">
        <v>32</v>
      </c>
      <c r="G1520" s="21" t="s">
        <v>186</v>
      </c>
      <c r="H1520" s="21" t="s">
        <v>357</v>
      </c>
      <c r="I1520" s="21" t="s">
        <v>2785</v>
      </c>
    </row>
    <row r="1521" spans="1:9" x14ac:dyDescent="0.25">
      <c r="A1521" s="21" t="s">
        <v>2864</v>
      </c>
      <c r="B1521">
        <v>5</v>
      </c>
      <c r="C1521" s="21" t="s">
        <v>15</v>
      </c>
      <c r="D1521" s="21" t="s">
        <v>29</v>
      </c>
      <c r="E1521">
        <v>258</v>
      </c>
      <c r="F1521">
        <v>21</v>
      </c>
      <c r="G1521" s="21" t="s">
        <v>25</v>
      </c>
      <c r="H1521" s="21" t="s">
        <v>22</v>
      </c>
      <c r="I1521" s="21" t="s">
        <v>2785</v>
      </c>
    </row>
    <row r="1522" spans="1:9" x14ac:dyDescent="0.25">
      <c r="A1522" s="21" t="s">
        <v>2865</v>
      </c>
      <c r="B1522">
        <v>78</v>
      </c>
      <c r="C1522" s="21" t="s">
        <v>140</v>
      </c>
      <c r="D1522" s="21" t="s">
        <v>29</v>
      </c>
      <c r="E1522">
        <v>315</v>
      </c>
      <c r="F1522">
        <v>23</v>
      </c>
      <c r="G1522" s="21" t="s">
        <v>12</v>
      </c>
      <c r="H1522" s="21" t="s">
        <v>196</v>
      </c>
      <c r="I1522" s="21" t="s">
        <v>2785</v>
      </c>
    </row>
    <row r="1523" spans="1:9" x14ac:dyDescent="0.25">
      <c r="A1523" s="21" t="s">
        <v>2866</v>
      </c>
      <c r="B1523">
        <v>39</v>
      </c>
      <c r="C1523" s="21" t="s">
        <v>89</v>
      </c>
      <c r="D1523" s="21" t="s">
        <v>52</v>
      </c>
      <c r="E1523">
        <v>196</v>
      </c>
      <c r="F1523">
        <v>24</v>
      </c>
      <c r="G1523" s="21" t="s">
        <v>25</v>
      </c>
      <c r="H1523" s="21" t="s">
        <v>33</v>
      </c>
      <c r="I1523" s="21" t="s">
        <v>2785</v>
      </c>
    </row>
    <row r="1524" spans="1:9" x14ac:dyDescent="0.25">
      <c r="A1524" s="21" t="s">
        <v>2867</v>
      </c>
      <c r="B1524">
        <v>13</v>
      </c>
      <c r="C1524" s="21" t="s">
        <v>10</v>
      </c>
      <c r="D1524" s="21" t="s">
        <v>35</v>
      </c>
      <c r="E1524">
        <v>212</v>
      </c>
      <c r="F1524">
        <v>24</v>
      </c>
      <c r="G1524" s="21" t="s">
        <v>83</v>
      </c>
      <c r="H1524" s="21" t="s">
        <v>2689</v>
      </c>
      <c r="I1524" s="21" t="s">
        <v>2785</v>
      </c>
    </row>
    <row r="1525" spans="1:9" x14ac:dyDescent="0.25">
      <c r="A1525" s="21" t="s">
        <v>2868</v>
      </c>
      <c r="B1525">
        <v>89</v>
      </c>
      <c r="C1525" s="21" t="s">
        <v>10</v>
      </c>
      <c r="D1525" s="21" t="s">
        <v>11</v>
      </c>
      <c r="E1525">
        <v>193</v>
      </c>
      <c r="F1525">
        <v>23</v>
      </c>
      <c r="G1525" s="21" t="s">
        <v>30</v>
      </c>
      <c r="H1525" s="21" t="s">
        <v>251</v>
      </c>
      <c r="I1525" s="21" t="s">
        <v>2785</v>
      </c>
    </row>
    <row r="1526" spans="1:9" x14ac:dyDescent="0.25">
      <c r="A1526" s="21" t="s">
        <v>2869</v>
      </c>
      <c r="B1526">
        <v>55</v>
      </c>
      <c r="C1526" s="21" t="s">
        <v>15</v>
      </c>
      <c r="D1526" s="21" t="s">
        <v>29</v>
      </c>
      <c r="E1526">
        <v>287</v>
      </c>
      <c r="F1526">
        <v>28</v>
      </c>
      <c r="G1526" s="21" t="s">
        <v>100</v>
      </c>
      <c r="H1526" s="21" t="s">
        <v>176</v>
      </c>
      <c r="I1526" s="21" t="s">
        <v>2785</v>
      </c>
    </row>
    <row r="1527" spans="1:9" x14ac:dyDescent="0.25">
      <c r="A1527" s="21" t="s">
        <v>2870</v>
      </c>
      <c r="B1527">
        <v>12</v>
      </c>
      <c r="C1527" s="21" t="s">
        <v>70</v>
      </c>
      <c r="D1527" s="21" t="s">
        <v>29</v>
      </c>
      <c r="E1527">
        <v>225</v>
      </c>
      <c r="F1527">
        <v>27</v>
      </c>
      <c r="G1527" s="21" t="s">
        <v>12</v>
      </c>
      <c r="H1527" s="21" t="s">
        <v>226</v>
      </c>
      <c r="I1527" s="21" t="s">
        <v>2785</v>
      </c>
    </row>
    <row r="1528" spans="1:9" x14ac:dyDescent="0.25">
      <c r="A1528" s="21" t="s">
        <v>2871</v>
      </c>
      <c r="B1528">
        <v>21</v>
      </c>
      <c r="C1528" s="21" t="s">
        <v>51</v>
      </c>
      <c r="D1528" s="21" t="s">
        <v>54</v>
      </c>
      <c r="E1528">
        <v>215</v>
      </c>
      <c r="F1528">
        <v>24</v>
      </c>
      <c r="G1528" s="21" t="s">
        <v>83</v>
      </c>
      <c r="H1528" s="21" t="s">
        <v>73</v>
      </c>
      <c r="I1528" s="21" t="s">
        <v>2785</v>
      </c>
    </row>
    <row r="1529" spans="1:9" x14ac:dyDescent="0.25">
      <c r="A1529" s="21" t="s">
        <v>2872</v>
      </c>
      <c r="B1529">
        <v>34</v>
      </c>
      <c r="C1529" s="21" t="s">
        <v>48</v>
      </c>
      <c r="D1529" s="21" t="s">
        <v>54</v>
      </c>
      <c r="E1529">
        <v>190</v>
      </c>
      <c r="F1529">
        <v>25</v>
      </c>
      <c r="G1529" s="21" t="s">
        <v>30</v>
      </c>
      <c r="H1529" s="21" t="s">
        <v>692</v>
      </c>
      <c r="I1529" s="21" t="s">
        <v>2785</v>
      </c>
    </row>
    <row r="1530" spans="1:9" x14ac:dyDescent="0.25">
      <c r="A1530" s="21" t="s">
        <v>2873</v>
      </c>
      <c r="B1530">
        <v>99</v>
      </c>
      <c r="C1530" s="21" t="s">
        <v>19</v>
      </c>
      <c r="D1530" s="21" t="s">
        <v>29</v>
      </c>
      <c r="E1530">
        <v>302</v>
      </c>
      <c r="F1530">
        <v>28</v>
      </c>
      <c r="G1530" s="21" t="s">
        <v>21</v>
      </c>
      <c r="H1530" s="21" t="s">
        <v>280</v>
      </c>
      <c r="I1530" s="21" t="s">
        <v>2785</v>
      </c>
    </row>
    <row r="1531" spans="1:9" x14ac:dyDescent="0.25">
      <c r="A1531" s="21" t="s">
        <v>2874</v>
      </c>
      <c r="B1531">
        <v>25</v>
      </c>
      <c r="C1531" s="21" t="s">
        <v>48</v>
      </c>
      <c r="D1531" s="21" t="s">
        <v>11</v>
      </c>
      <c r="E1531">
        <v>195</v>
      </c>
      <c r="F1531">
        <v>25</v>
      </c>
      <c r="G1531" s="21" t="s">
        <v>30</v>
      </c>
      <c r="H1531" s="21" t="s">
        <v>130</v>
      </c>
      <c r="I1531" s="21" t="s">
        <v>2785</v>
      </c>
    </row>
    <row r="1532" spans="1:9" x14ac:dyDescent="0.25">
      <c r="A1532" s="21" t="s">
        <v>2875</v>
      </c>
      <c r="B1532">
        <v>53</v>
      </c>
      <c r="C1532" s="21" t="s">
        <v>15</v>
      </c>
      <c r="D1532" s="21" t="s">
        <v>35</v>
      </c>
      <c r="E1532">
        <v>254</v>
      </c>
      <c r="F1532">
        <v>25</v>
      </c>
      <c r="G1532" s="21" t="s">
        <v>16</v>
      </c>
      <c r="H1532" s="21" t="s">
        <v>1341</v>
      </c>
      <c r="I1532" s="21" t="s">
        <v>2785</v>
      </c>
    </row>
    <row r="1533" spans="1:9" x14ac:dyDescent="0.25">
      <c r="A1533" s="21" t="s">
        <v>2876</v>
      </c>
      <c r="B1533">
        <v>45</v>
      </c>
      <c r="C1533" s="21" t="s">
        <v>57</v>
      </c>
      <c r="D1533" s="21" t="s">
        <v>29</v>
      </c>
      <c r="E1533">
        <v>253</v>
      </c>
      <c r="F1533">
        <v>21</v>
      </c>
      <c r="G1533" s="21" t="s">
        <v>25</v>
      </c>
      <c r="H1533" s="21" t="s">
        <v>33</v>
      </c>
      <c r="I1533" s="21" t="s">
        <v>2785</v>
      </c>
    </row>
    <row r="1534" spans="1:9" x14ac:dyDescent="0.25">
      <c r="A1534" s="21" t="s">
        <v>871</v>
      </c>
      <c r="B1534">
        <v>97</v>
      </c>
      <c r="C1534" s="21" t="s">
        <v>19</v>
      </c>
      <c r="D1534" s="21" t="s">
        <v>44</v>
      </c>
      <c r="E1534">
        <v>260</v>
      </c>
      <c r="F1534">
        <v>34</v>
      </c>
      <c r="G1534" s="21" t="s">
        <v>186</v>
      </c>
      <c r="H1534" s="21" t="s">
        <v>872</v>
      </c>
      <c r="I1534" s="21" t="s">
        <v>870</v>
      </c>
    </row>
    <row r="1535" spans="1:9" x14ac:dyDescent="0.25">
      <c r="A1535" s="21" t="s">
        <v>873</v>
      </c>
      <c r="B1535">
        <v>3</v>
      </c>
      <c r="C1535" s="21" t="s">
        <v>70</v>
      </c>
      <c r="D1535" s="21" t="s">
        <v>44</v>
      </c>
      <c r="E1535">
        <v>210</v>
      </c>
      <c r="F1535">
        <v>26</v>
      </c>
      <c r="G1535" s="21" t="s">
        <v>16</v>
      </c>
      <c r="H1535" s="21" t="s">
        <v>320</v>
      </c>
      <c r="I1535" s="21" t="s">
        <v>870</v>
      </c>
    </row>
    <row r="1536" spans="1:9" x14ac:dyDescent="0.25">
      <c r="A1536" s="21" t="s">
        <v>874</v>
      </c>
      <c r="B1536">
        <v>30</v>
      </c>
      <c r="C1536" s="21" t="s">
        <v>51</v>
      </c>
      <c r="D1536" s="21" t="s">
        <v>54</v>
      </c>
      <c r="E1536">
        <v>212</v>
      </c>
      <c r="F1536">
        <v>24</v>
      </c>
      <c r="G1536" s="21" t="s">
        <v>83</v>
      </c>
      <c r="H1536" s="21" t="s">
        <v>618</v>
      </c>
      <c r="I1536" s="21" t="s">
        <v>870</v>
      </c>
    </row>
    <row r="1537" spans="1:9" x14ac:dyDescent="0.25">
      <c r="A1537" s="21" t="s">
        <v>875</v>
      </c>
      <c r="B1537">
        <v>35</v>
      </c>
      <c r="C1537" s="21" t="s">
        <v>124</v>
      </c>
      <c r="D1537" s="21" t="s">
        <v>125</v>
      </c>
      <c r="E1537">
        <v>187</v>
      </c>
      <c r="F1537">
        <v>24</v>
      </c>
      <c r="G1537" s="21" t="s">
        <v>30</v>
      </c>
      <c r="H1537" s="21" t="s">
        <v>87</v>
      </c>
      <c r="I1537" s="21" t="s">
        <v>870</v>
      </c>
    </row>
    <row r="1538" spans="1:9" x14ac:dyDescent="0.25">
      <c r="A1538" s="21" t="s">
        <v>876</v>
      </c>
      <c r="B1538">
        <v>83</v>
      </c>
      <c r="C1538" s="21" t="s">
        <v>57</v>
      </c>
      <c r="D1538" s="21" t="s">
        <v>67</v>
      </c>
      <c r="E1538">
        <v>256</v>
      </c>
      <c r="F1538">
        <v>29</v>
      </c>
      <c r="G1538" s="21" t="s">
        <v>38</v>
      </c>
      <c r="H1538" s="21" t="s">
        <v>877</v>
      </c>
      <c r="I1538" s="21" t="s">
        <v>870</v>
      </c>
    </row>
    <row r="1539" spans="1:9" x14ac:dyDescent="0.25">
      <c r="A1539" s="21" t="s">
        <v>878</v>
      </c>
      <c r="B1539">
        <v>86</v>
      </c>
      <c r="C1539" s="21" t="s">
        <v>10</v>
      </c>
      <c r="D1539" s="21" t="s">
        <v>125</v>
      </c>
      <c r="E1539">
        <v>187</v>
      </c>
      <c r="F1539">
        <v>28</v>
      </c>
      <c r="G1539" s="21" t="s">
        <v>45</v>
      </c>
      <c r="H1539" s="21" t="s">
        <v>181</v>
      </c>
      <c r="I1539" s="21" t="s">
        <v>870</v>
      </c>
    </row>
    <row r="1540" spans="1:9" x14ac:dyDescent="0.25">
      <c r="A1540" s="21" t="s">
        <v>879</v>
      </c>
      <c r="B1540">
        <v>90</v>
      </c>
      <c r="C1540" s="21" t="s">
        <v>19</v>
      </c>
      <c r="D1540" s="21" t="s">
        <v>44</v>
      </c>
      <c r="E1540">
        <v>290</v>
      </c>
      <c r="F1540">
        <v>24</v>
      </c>
      <c r="G1540" s="21" t="s">
        <v>12</v>
      </c>
      <c r="H1540" s="21" t="s">
        <v>618</v>
      </c>
      <c r="I1540" s="21" t="s">
        <v>870</v>
      </c>
    </row>
    <row r="1541" spans="1:9" x14ac:dyDescent="0.25">
      <c r="A1541" s="21" t="s">
        <v>880</v>
      </c>
      <c r="B1541">
        <v>56</v>
      </c>
      <c r="C1541" s="21" t="s">
        <v>19</v>
      </c>
      <c r="D1541" s="21" t="s">
        <v>44</v>
      </c>
      <c r="E1541">
        <v>301</v>
      </c>
      <c r="F1541">
        <v>22</v>
      </c>
      <c r="G1541" s="21" t="s">
        <v>25</v>
      </c>
      <c r="H1541" s="21" t="s">
        <v>165</v>
      </c>
      <c r="I1541" s="21" t="s">
        <v>870</v>
      </c>
    </row>
    <row r="1542" spans="1:9" x14ac:dyDescent="0.25">
      <c r="A1542" s="21" t="s">
        <v>881</v>
      </c>
      <c r="B1542">
        <v>68</v>
      </c>
      <c r="C1542" s="21" t="s">
        <v>28</v>
      </c>
      <c r="D1542" s="21" t="s">
        <v>67</v>
      </c>
      <c r="E1542">
        <v>315</v>
      </c>
      <c r="F1542">
        <v>31</v>
      </c>
      <c r="G1542" s="21" t="s">
        <v>100</v>
      </c>
      <c r="H1542" s="21" t="s">
        <v>335</v>
      </c>
      <c r="I1542" s="21" t="s">
        <v>870</v>
      </c>
    </row>
    <row r="1543" spans="1:9" x14ac:dyDescent="0.25">
      <c r="A1543" s="21" t="s">
        <v>882</v>
      </c>
      <c r="B1543">
        <v>8</v>
      </c>
      <c r="C1543" s="21" t="s">
        <v>124</v>
      </c>
      <c r="D1543" s="21" t="s">
        <v>54</v>
      </c>
      <c r="E1543">
        <v>205</v>
      </c>
      <c r="F1543">
        <v>30</v>
      </c>
      <c r="G1543" s="21" t="s">
        <v>64</v>
      </c>
      <c r="H1543" s="21" t="s">
        <v>241</v>
      </c>
      <c r="I1543" s="21" t="s">
        <v>870</v>
      </c>
    </row>
    <row r="1544" spans="1:9" x14ac:dyDescent="0.25">
      <c r="A1544" s="21" t="s">
        <v>883</v>
      </c>
      <c r="B1544">
        <v>85</v>
      </c>
      <c r="C1544" s="21" t="s">
        <v>57</v>
      </c>
      <c r="D1544" s="21" t="s">
        <v>67</v>
      </c>
      <c r="E1544">
        <v>258</v>
      </c>
      <c r="F1544">
        <v>28</v>
      </c>
      <c r="G1544" s="21" t="s">
        <v>45</v>
      </c>
      <c r="H1544" s="21" t="s">
        <v>22</v>
      </c>
      <c r="I1544" s="21" t="s">
        <v>870</v>
      </c>
    </row>
    <row r="1545" spans="1:9" x14ac:dyDescent="0.25">
      <c r="A1545" s="21" t="s">
        <v>884</v>
      </c>
      <c r="B1545">
        <v>28</v>
      </c>
      <c r="C1545" s="21" t="s">
        <v>51</v>
      </c>
      <c r="D1545" s="21" t="s">
        <v>125</v>
      </c>
      <c r="E1545">
        <v>215</v>
      </c>
      <c r="F1545">
        <v>32</v>
      </c>
      <c r="G1545" s="21" t="s">
        <v>111</v>
      </c>
      <c r="H1545" s="21" t="s">
        <v>556</v>
      </c>
      <c r="I1545" s="21" t="s">
        <v>870</v>
      </c>
    </row>
    <row r="1546" spans="1:9" x14ac:dyDescent="0.25">
      <c r="A1546" s="21" t="s">
        <v>885</v>
      </c>
      <c r="B1546">
        <v>17</v>
      </c>
      <c r="C1546" s="21" t="s">
        <v>10</v>
      </c>
      <c r="D1546" s="21" t="s">
        <v>24</v>
      </c>
      <c r="E1546">
        <v>220</v>
      </c>
      <c r="F1546">
        <v>24</v>
      </c>
      <c r="G1546" s="21" t="s">
        <v>83</v>
      </c>
      <c r="H1546" s="21" t="s">
        <v>132</v>
      </c>
      <c r="I1546" s="21" t="s">
        <v>870</v>
      </c>
    </row>
    <row r="1547" spans="1:9" x14ac:dyDescent="0.25">
      <c r="A1547" s="21" t="s">
        <v>886</v>
      </c>
      <c r="B1547">
        <v>60</v>
      </c>
      <c r="C1547" s="21" t="s">
        <v>28</v>
      </c>
      <c r="D1547" s="21" t="s">
        <v>44</v>
      </c>
      <c r="E1547">
        <v>320</v>
      </c>
      <c r="F1547">
        <v>30</v>
      </c>
      <c r="G1547" s="21" t="s">
        <v>21</v>
      </c>
      <c r="H1547" s="21" t="s">
        <v>115</v>
      </c>
      <c r="I1547" s="21" t="s">
        <v>870</v>
      </c>
    </row>
    <row r="1548" spans="1:9" x14ac:dyDescent="0.25">
      <c r="A1548" s="21" t="s">
        <v>887</v>
      </c>
      <c r="B1548">
        <v>53</v>
      </c>
      <c r="C1548" s="21" t="s">
        <v>15</v>
      </c>
      <c r="D1548" s="21" t="s">
        <v>52</v>
      </c>
      <c r="E1548">
        <v>237</v>
      </c>
      <c r="F1548">
        <v>26</v>
      </c>
      <c r="G1548" s="21" t="s">
        <v>16</v>
      </c>
      <c r="H1548" s="21" t="s">
        <v>168</v>
      </c>
      <c r="I1548" s="21" t="s">
        <v>870</v>
      </c>
    </row>
    <row r="1549" spans="1:9" x14ac:dyDescent="0.25">
      <c r="A1549" s="21" t="s">
        <v>888</v>
      </c>
      <c r="B1549">
        <v>96</v>
      </c>
      <c r="C1549" s="21" t="s">
        <v>19</v>
      </c>
      <c r="D1549" s="21" t="s">
        <v>24</v>
      </c>
      <c r="E1549">
        <v>310</v>
      </c>
      <c r="F1549">
        <v>27</v>
      </c>
      <c r="G1549" s="21" t="s">
        <v>100</v>
      </c>
      <c r="H1549" s="21" t="s">
        <v>556</v>
      </c>
      <c r="I1549" s="21" t="s">
        <v>870</v>
      </c>
    </row>
    <row r="1550" spans="1:9" x14ac:dyDescent="0.25">
      <c r="A1550" s="21" t="s">
        <v>889</v>
      </c>
      <c r="B1550">
        <v>12</v>
      </c>
      <c r="C1550" s="21" t="s">
        <v>10</v>
      </c>
      <c r="D1550" s="21" t="s">
        <v>35</v>
      </c>
      <c r="E1550">
        <v>215</v>
      </c>
      <c r="F1550">
        <v>23</v>
      </c>
      <c r="G1550" s="21" t="s">
        <v>30</v>
      </c>
      <c r="H1550" s="21" t="s">
        <v>98</v>
      </c>
      <c r="I1550" s="21" t="s">
        <v>870</v>
      </c>
    </row>
    <row r="1551" spans="1:9" x14ac:dyDescent="0.25">
      <c r="A1551" s="21" t="s">
        <v>890</v>
      </c>
      <c r="B1551">
        <v>18</v>
      </c>
      <c r="C1551" s="21" t="s">
        <v>10</v>
      </c>
      <c r="D1551" s="21" t="s">
        <v>44</v>
      </c>
      <c r="E1551">
        <v>205</v>
      </c>
      <c r="F1551">
        <v>29</v>
      </c>
      <c r="G1551" s="21" t="s">
        <v>21</v>
      </c>
      <c r="H1551" s="21" t="s">
        <v>196</v>
      </c>
      <c r="I1551" s="21" t="s">
        <v>870</v>
      </c>
    </row>
    <row r="1552" spans="1:9" x14ac:dyDescent="0.25">
      <c r="A1552" s="21" t="s">
        <v>891</v>
      </c>
      <c r="B1552">
        <v>13</v>
      </c>
      <c r="C1552" s="21" t="s">
        <v>10</v>
      </c>
      <c r="D1552" s="21" t="s">
        <v>125</v>
      </c>
      <c r="E1552">
        <v>183</v>
      </c>
      <c r="F1552">
        <v>28</v>
      </c>
      <c r="G1552" s="21" t="s">
        <v>64</v>
      </c>
      <c r="H1552" s="21" t="s">
        <v>374</v>
      </c>
      <c r="I1552" s="21" t="s">
        <v>870</v>
      </c>
    </row>
    <row r="1553" spans="1:9" x14ac:dyDescent="0.25">
      <c r="A1553" s="21" t="s">
        <v>892</v>
      </c>
      <c r="B1553">
        <v>72</v>
      </c>
      <c r="C1553" s="21" t="s">
        <v>28</v>
      </c>
      <c r="D1553" s="21" t="s">
        <v>67</v>
      </c>
      <c r="E1553">
        <v>325</v>
      </c>
      <c r="F1553">
        <v>24</v>
      </c>
      <c r="G1553" s="21" t="s">
        <v>25</v>
      </c>
      <c r="H1553" s="21" t="s">
        <v>80</v>
      </c>
      <c r="I1553" s="21" t="s">
        <v>870</v>
      </c>
    </row>
    <row r="1554" spans="1:9" x14ac:dyDescent="0.25">
      <c r="A1554" s="21" t="s">
        <v>893</v>
      </c>
      <c r="B1554">
        <v>93</v>
      </c>
      <c r="C1554" s="21" t="s">
        <v>19</v>
      </c>
      <c r="D1554" s="21" t="s">
        <v>44</v>
      </c>
      <c r="E1554">
        <v>325</v>
      </c>
      <c r="F1554">
        <v>22</v>
      </c>
      <c r="G1554" s="21" t="s">
        <v>25</v>
      </c>
      <c r="H1554" s="21" t="s">
        <v>556</v>
      </c>
      <c r="I1554" s="21" t="s">
        <v>870</v>
      </c>
    </row>
    <row r="1555" spans="1:9" x14ac:dyDescent="0.25">
      <c r="A1555" s="21" t="s">
        <v>894</v>
      </c>
      <c r="B1555">
        <v>14</v>
      </c>
      <c r="C1555" s="21" t="s">
        <v>10</v>
      </c>
      <c r="D1555" s="21" t="s">
        <v>54</v>
      </c>
      <c r="E1555">
        <v>199</v>
      </c>
      <c r="F1555">
        <v>25</v>
      </c>
      <c r="G1555" s="21" t="s">
        <v>30</v>
      </c>
      <c r="H1555" s="21" t="s">
        <v>895</v>
      </c>
      <c r="I1555" s="21" t="s">
        <v>870</v>
      </c>
    </row>
    <row r="1556" spans="1:9" x14ac:dyDescent="0.25">
      <c r="A1556" s="21" t="s">
        <v>896</v>
      </c>
      <c r="B1556">
        <v>19</v>
      </c>
      <c r="C1556" s="21" t="s">
        <v>15</v>
      </c>
      <c r="D1556" s="21" t="s">
        <v>52</v>
      </c>
      <c r="E1556">
        <v>224</v>
      </c>
      <c r="F1556">
        <v>25</v>
      </c>
      <c r="G1556" s="21" t="s">
        <v>45</v>
      </c>
      <c r="H1556" s="21" t="s">
        <v>718</v>
      </c>
      <c r="I1556" s="21" t="s">
        <v>870</v>
      </c>
    </row>
    <row r="1557" spans="1:9" x14ac:dyDescent="0.25">
      <c r="A1557" s="21" t="s">
        <v>897</v>
      </c>
      <c r="B1557">
        <v>76</v>
      </c>
      <c r="C1557" s="21" t="s">
        <v>28</v>
      </c>
      <c r="D1557" s="21" t="s">
        <v>29</v>
      </c>
      <c r="E1557">
        <v>321</v>
      </c>
      <c r="F1557">
        <v>23</v>
      </c>
      <c r="G1557" s="21" t="s">
        <v>25</v>
      </c>
      <c r="H1557" s="21" t="s">
        <v>267</v>
      </c>
      <c r="I1557" s="21" t="s">
        <v>870</v>
      </c>
    </row>
    <row r="1558" spans="1:9" x14ac:dyDescent="0.25">
      <c r="A1558" s="21" t="s">
        <v>898</v>
      </c>
      <c r="B1558">
        <v>4</v>
      </c>
      <c r="C1558" s="21" t="s">
        <v>10</v>
      </c>
      <c r="D1558" s="21" t="s">
        <v>125</v>
      </c>
      <c r="E1558">
        <v>192</v>
      </c>
      <c r="F1558">
        <v>29</v>
      </c>
      <c r="G1558" s="21" t="s">
        <v>21</v>
      </c>
      <c r="H1558" s="21" t="s">
        <v>385</v>
      </c>
      <c r="I1558" s="21" t="s">
        <v>870</v>
      </c>
    </row>
    <row r="1559" spans="1:9" x14ac:dyDescent="0.25">
      <c r="A1559" s="21" t="s">
        <v>899</v>
      </c>
      <c r="B1559">
        <v>6</v>
      </c>
      <c r="C1559" s="21" t="s">
        <v>70</v>
      </c>
      <c r="D1559" s="21" t="s">
        <v>35</v>
      </c>
      <c r="E1559">
        <v>235</v>
      </c>
      <c r="F1559">
        <v>29</v>
      </c>
      <c r="G1559" s="21" t="s">
        <v>100</v>
      </c>
      <c r="H1559" s="21" t="s">
        <v>572</v>
      </c>
      <c r="I1559" s="21" t="s">
        <v>870</v>
      </c>
    </row>
    <row r="1560" spans="1:9" x14ac:dyDescent="0.25">
      <c r="A1560" s="21" t="s">
        <v>900</v>
      </c>
      <c r="B1560">
        <v>98</v>
      </c>
      <c r="C1560" s="21" t="s">
        <v>19</v>
      </c>
      <c r="D1560" s="21" t="s">
        <v>52</v>
      </c>
      <c r="E1560">
        <v>296</v>
      </c>
      <c r="F1560">
        <v>24</v>
      </c>
      <c r="G1560" s="21" t="s">
        <v>83</v>
      </c>
      <c r="H1560" s="21" t="s">
        <v>120</v>
      </c>
      <c r="I1560" s="21" t="s">
        <v>870</v>
      </c>
    </row>
    <row r="1561" spans="1:9" x14ac:dyDescent="0.25">
      <c r="A1561" s="21" t="s">
        <v>901</v>
      </c>
      <c r="B1561">
        <v>81</v>
      </c>
      <c r="C1561" s="21" t="s">
        <v>10</v>
      </c>
      <c r="D1561" s="21" t="s">
        <v>11</v>
      </c>
      <c r="E1561">
        <v>196</v>
      </c>
      <c r="G1561" s="21" t="s">
        <v>25</v>
      </c>
      <c r="H1561" s="21" t="s">
        <v>87</v>
      </c>
      <c r="I1561" s="21" t="s">
        <v>870</v>
      </c>
    </row>
    <row r="1562" spans="1:9" x14ac:dyDescent="0.25">
      <c r="A1562" s="21" t="s">
        <v>902</v>
      </c>
      <c r="B1562">
        <v>7</v>
      </c>
      <c r="C1562" s="21" t="s">
        <v>76</v>
      </c>
      <c r="D1562" s="21" t="s">
        <v>11</v>
      </c>
      <c r="E1562">
        <v>183</v>
      </c>
      <c r="F1562">
        <v>28</v>
      </c>
      <c r="G1562" s="21" t="s">
        <v>100</v>
      </c>
      <c r="H1562" s="21" t="s">
        <v>39</v>
      </c>
      <c r="I1562" s="21" t="s">
        <v>870</v>
      </c>
    </row>
    <row r="1563" spans="1:9" x14ac:dyDescent="0.25">
      <c r="A1563" s="21" t="s">
        <v>903</v>
      </c>
      <c r="B1563">
        <v>38</v>
      </c>
      <c r="C1563" s="21" t="s">
        <v>124</v>
      </c>
      <c r="D1563" s="21" t="s">
        <v>54</v>
      </c>
      <c r="E1563">
        <v>193</v>
      </c>
      <c r="G1563" s="21" t="s">
        <v>25</v>
      </c>
      <c r="H1563" s="21" t="s">
        <v>627</v>
      </c>
      <c r="I1563" s="21" t="s">
        <v>870</v>
      </c>
    </row>
    <row r="1564" spans="1:9" x14ac:dyDescent="0.25">
      <c r="A1564" s="21" t="s">
        <v>904</v>
      </c>
      <c r="B1564">
        <v>26</v>
      </c>
      <c r="C1564" s="21" t="s">
        <v>51</v>
      </c>
      <c r="D1564" s="21" t="s">
        <v>11</v>
      </c>
      <c r="E1564">
        <v>238</v>
      </c>
      <c r="F1564">
        <v>26</v>
      </c>
      <c r="G1564" s="21" t="s">
        <v>45</v>
      </c>
      <c r="H1564" s="21" t="s">
        <v>22</v>
      </c>
      <c r="I1564" s="21" t="s">
        <v>870</v>
      </c>
    </row>
    <row r="1565" spans="1:9" x14ac:dyDescent="0.25">
      <c r="A1565" s="21" t="s">
        <v>905</v>
      </c>
      <c r="B1565">
        <v>59</v>
      </c>
      <c r="C1565" s="21" t="s">
        <v>28</v>
      </c>
      <c r="D1565" s="21" t="s">
        <v>35</v>
      </c>
      <c r="E1565">
        <v>323</v>
      </c>
      <c r="F1565">
        <v>21</v>
      </c>
      <c r="G1565" s="21" t="s">
        <v>25</v>
      </c>
      <c r="H1565" s="21" t="s">
        <v>152</v>
      </c>
      <c r="I1565" s="21" t="s">
        <v>870</v>
      </c>
    </row>
    <row r="1566" spans="1:9" x14ac:dyDescent="0.25">
      <c r="A1566" s="21" t="s">
        <v>906</v>
      </c>
      <c r="B1566">
        <v>92</v>
      </c>
      <c r="C1566" s="21" t="s">
        <v>19</v>
      </c>
      <c r="D1566" s="21" t="s">
        <v>35</v>
      </c>
      <c r="E1566">
        <v>279</v>
      </c>
      <c r="F1566">
        <v>25</v>
      </c>
      <c r="G1566" s="21" t="s">
        <v>45</v>
      </c>
      <c r="H1566" s="21" t="s">
        <v>280</v>
      </c>
      <c r="I1566" s="21" t="s">
        <v>870</v>
      </c>
    </row>
    <row r="1567" spans="1:9" x14ac:dyDescent="0.25">
      <c r="A1567" s="21" t="s">
        <v>907</v>
      </c>
      <c r="B1567">
        <v>87</v>
      </c>
      <c r="C1567" s="21" t="s">
        <v>57</v>
      </c>
      <c r="D1567" s="21" t="s">
        <v>35</v>
      </c>
      <c r="E1567">
        <v>240</v>
      </c>
      <c r="F1567">
        <v>24</v>
      </c>
      <c r="G1567" s="21" t="s">
        <v>25</v>
      </c>
      <c r="H1567" s="21" t="s">
        <v>320</v>
      </c>
      <c r="I1567" s="21" t="s">
        <v>870</v>
      </c>
    </row>
    <row r="1568" spans="1:9" x14ac:dyDescent="0.25">
      <c r="A1568" s="21" t="s">
        <v>908</v>
      </c>
      <c r="B1568">
        <v>52</v>
      </c>
      <c r="C1568" s="21" t="s">
        <v>19</v>
      </c>
      <c r="D1568" s="21" t="s">
        <v>44</v>
      </c>
      <c r="E1568">
        <v>263</v>
      </c>
      <c r="F1568">
        <v>25</v>
      </c>
      <c r="G1568" s="21" t="s">
        <v>12</v>
      </c>
      <c r="H1568" s="21" t="s">
        <v>251</v>
      </c>
      <c r="I1568" s="21" t="s">
        <v>870</v>
      </c>
    </row>
    <row r="1569" spans="1:9" x14ac:dyDescent="0.25">
      <c r="A1569" s="21" t="s">
        <v>909</v>
      </c>
      <c r="B1569">
        <v>51</v>
      </c>
      <c r="C1569" s="21" t="s">
        <v>15</v>
      </c>
      <c r="D1569" s="21" t="s">
        <v>24</v>
      </c>
      <c r="E1569">
        <v>230</v>
      </c>
      <c r="F1569">
        <v>28</v>
      </c>
      <c r="G1569" s="21" t="s">
        <v>100</v>
      </c>
      <c r="H1569" s="21" t="s">
        <v>71</v>
      </c>
      <c r="I1569" s="21" t="s">
        <v>870</v>
      </c>
    </row>
    <row r="1570" spans="1:9" x14ac:dyDescent="0.25">
      <c r="A1570" s="21" t="s">
        <v>910</v>
      </c>
      <c r="B1570">
        <v>34</v>
      </c>
      <c r="C1570" s="21" t="s">
        <v>19</v>
      </c>
      <c r="D1570" s="21" t="s">
        <v>54</v>
      </c>
      <c r="E1570">
        <v>245</v>
      </c>
      <c r="G1570" s="21" t="s">
        <v>25</v>
      </c>
      <c r="H1570" s="21" t="s">
        <v>442</v>
      </c>
      <c r="I1570" s="21" t="s">
        <v>870</v>
      </c>
    </row>
    <row r="1571" spans="1:9" x14ac:dyDescent="0.25">
      <c r="A1571" s="21" t="s">
        <v>911</v>
      </c>
      <c r="B1571">
        <v>49</v>
      </c>
      <c r="C1571" s="21" t="s">
        <v>15</v>
      </c>
      <c r="D1571" s="21" t="s">
        <v>52</v>
      </c>
      <c r="E1571">
        <v>235</v>
      </c>
      <c r="F1571">
        <v>24</v>
      </c>
      <c r="G1571" s="21" t="s">
        <v>25</v>
      </c>
      <c r="H1571" s="21" t="s">
        <v>176</v>
      </c>
      <c r="I1571" s="21" t="s">
        <v>870</v>
      </c>
    </row>
    <row r="1572" spans="1:9" x14ac:dyDescent="0.25">
      <c r="A1572" s="21" t="s">
        <v>912</v>
      </c>
      <c r="B1572">
        <v>48</v>
      </c>
      <c r="C1572" s="21" t="s">
        <v>15</v>
      </c>
      <c r="D1572" s="21" t="s">
        <v>52</v>
      </c>
      <c r="E1572">
        <v>226</v>
      </c>
      <c r="F1572">
        <v>21</v>
      </c>
      <c r="G1572" s="21" t="s">
        <v>25</v>
      </c>
      <c r="H1572" s="21" t="s">
        <v>233</v>
      </c>
      <c r="I1572" s="21" t="s">
        <v>870</v>
      </c>
    </row>
    <row r="1573" spans="1:9" x14ac:dyDescent="0.25">
      <c r="A1573" s="21" t="s">
        <v>913</v>
      </c>
      <c r="B1573">
        <v>94</v>
      </c>
      <c r="C1573" s="21" t="s">
        <v>19</v>
      </c>
      <c r="D1573" s="21" t="s">
        <v>35</v>
      </c>
      <c r="E1573">
        <v>272</v>
      </c>
      <c r="F1573">
        <v>26</v>
      </c>
      <c r="G1573" s="21" t="s">
        <v>12</v>
      </c>
      <c r="H1573" s="21" t="s">
        <v>504</v>
      </c>
      <c r="I1573" s="21" t="s">
        <v>870</v>
      </c>
    </row>
    <row r="1574" spans="1:9" x14ac:dyDescent="0.25">
      <c r="A1574" s="21" t="s">
        <v>914</v>
      </c>
      <c r="B1574">
        <v>67</v>
      </c>
      <c r="C1574" s="21" t="s">
        <v>28</v>
      </c>
      <c r="D1574" s="21" t="s">
        <v>141</v>
      </c>
      <c r="E1574">
        <v>311</v>
      </c>
      <c r="F1574">
        <v>25</v>
      </c>
      <c r="G1574" s="21" t="s">
        <v>12</v>
      </c>
      <c r="H1574" s="21" t="s">
        <v>73</v>
      </c>
      <c r="I1574" s="21" t="s">
        <v>870</v>
      </c>
    </row>
    <row r="1575" spans="1:9" x14ac:dyDescent="0.25">
      <c r="A1575" s="21" t="s">
        <v>915</v>
      </c>
      <c r="B1575">
        <v>43</v>
      </c>
      <c r="C1575" s="21" t="s">
        <v>15</v>
      </c>
      <c r="D1575" s="21" t="s">
        <v>24</v>
      </c>
      <c r="E1575">
        <v>234</v>
      </c>
      <c r="F1575">
        <v>29</v>
      </c>
      <c r="G1575" s="21" t="s">
        <v>21</v>
      </c>
      <c r="H1575" s="21" t="s">
        <v>705</v>
      </c>
      <c r="I1575" s="21" t="s">
        <v>870</v>
      </c>
    </row>
    <row r="1576" spans="1:9" x14ac:dyDescent="0.25">
      <c r="A1576" s="21" t="s">
        <v>916</v>
      </c>
      <c r="B1576">
        <v>69</v>
      </c>
      <c r="C1576" s="21" t="s">
        <v>19</v>
      </c>
      <c r="D1576" s="21" t="s">
        <v>24</v>
      </c>
      <c r="E1576">
        <v>300</v>
      </c>
      <c r="G1576" s="21" t="s">
        <v>25</v>
      </c>
      <c r="H1576" s="21" t="s">
        <v>31</v>
      </c>
      <c r="I1576" s="21" t="s">
        <v>870</v>
      </c>
    </row>
    <row r="1577" spans="1:9" x14ac:dyDescent="0.25">
      <c r="A1577" s="21" t="s">
        <v>917</v>
      </c>
      <c r="B1577">
        <v>16</v>
      </c>
      <c r="C1577" s="21" t="s">
        <v>70</v>
      </c>
      <c r="D1577" s="21" t="s">
        <v>44</v>
      </c>
      <c r="E1577">
        <v>217</v>
      </c>
      <c r="F1577">
        <v>29</v>
      </c>
      <c r="G1577" s="21" t="s">
        <v>16</v>
      </c>
      <c r="H1577" s="21" t="s">
        <v>165</v>
      </c>
      <c r="I1577" s="21" t="s">
        <v>870</v>
      </c>
    </row>
    <row r="1578" spans="1:9" x14ac:dyDescent="0.25">
      <c r="A1578" s="21" t="s">
        <v>918</v>
      </c>
      <c r="B1578">
        <v>71</v>
      </c>
      <c r="C1578" s="21" t="s">
        <v>28</v>
      </c>
      <c r="D1578" s="21" t="s">
        <v>29</v>
      </c>
      <c r="E1578">
        <v>322</v>
      </c>
      <c r="F1578">
        <v>26</v>
      </c>
      <c r="G1578" s="21" t="s">
        <v>16</v>
      </c>
      <c r="H1578" s="21" t="s">
        <v>919</v>
      </c>
      <c r="I1578" s="21" t="s">
        <v>870</v>
      </c>
    </row>
    <row r="1579" spans="1:9" x14ac:dyDescent="0.25">
      <c r="A1579" s="21" t="s">
        <v>920</v>
      </c>
      <c r="B1579">
        <v>55</v>
      </c>
      <c r="C1579" s="21" t="s">
        <v>19</v>
      </c>
      <c r="D1579" s="21" t="s">
        <v>24</v>
      </c>
      <c r="E1579">
        <v>254</v>
      </c>
      <c r="F1579">
        <v>33</v>
      </c>
      <c r="G1579" s="21" t="s">
        <v>407</v>
      </c>
      <c r="H1579" s="21" t="s">
        <v>618</v>
      </c>
      <c r="I1579" s="21" t="s">
        <v>870</v>
      </c>
    </row>
    <row r="1580" spans="1:9" x14ac:dyDescent="0.25">
      <c r="A1580" s="21" t="s">
        <v>921</v>
      </c>
      <c r="B1580">
        <v>41</v>
      </c>
      <c r="C1580" s="21" t="s">
        <v>91</v>
      </c>
      <c r="D1580" s="21" t="s">
        <v>52</v>
      </c>
      <c r="E1580">
        <v>238</v>
      </c>
      <c r="F1580">
        <v>29</v>
      </c>
      <c r="G1580" s="21" t="s">
        <v>100</v>
      </c>
      <c r="H1580" s="21" t="s">
        <v>556</v>
      </c>
      <c r="I1580" s="21" t="s">
        <v>870</v>
      </c>
    </row>
    <row r="1581" spans="1:9" x14ac:dyDescent="0.25">
      <c r="A1581" s="21" t="s">
        <v>922</v>
      </c>
      <c r="B1581">
        <v>50</v>
      </c>
      <c r="C1581" s="21" t="s">
        <v>19</v>
      </c>
      <c r="D1581" s="21" t="s">
        <v>44</v>
      </c>
      <c r="E1581">
        <v>260</v>
      </c>
      <c r="F1581">
        <v>28</v>
      </c>
      <c r="G1581" s="21" t="s">
        <v>100</v>
      </c>
      <c r="H1581" s="21" t="s">
        <v>196</v>
      </c>
      <c r="I1581" s="21" t="s">
        <v>870</v>
      </c>
    </row>
    <row r="1582" spans="1:9" x14ac:dyDescent="0.25">
      <c r="A1582" s="21" t="s">
        <v>923</v>
      </c>
      <c r="B1582">
        <v>89</v>
      </c>
      <c r="C1582" s="21" t="s">
        <v>10</v>
      </c>
      <c r="D1582" s="21" t="s">
        <v>52</v>
      </c>
      <c r="E1582">
        <v>199</v>
      </c>
      <c r="F1582">
        <v>23</v>
      </c>
      <c r="G1582" s="21" t="s">
        <v>25</v>
      </c>
      <c r="H1582" s="21" t="s">
        <v>22</v>
      </c>
      <c r="I1582" s="21" t="s">
        <v>870</v>
      </c>
    </row>
    <row r="1583" spans="1:9" x14ac:dyDescent="0.25">
      <c r="A1583" s="21" t="s">
        <v>924</v>
      </c>
      <c r="B1583">
        <v>11</v>
      </c>
      <c r="C1583" s="21" t="s">
        <v>193</v>
      </c>
      <c r="D1583" s="21" t="s">
        <v>54</v>
      </c>
      <c r="E1583">
        <v>194</v>
      </c>
      <c r="F1583">
        <v>30</v>
      </c>
      <c r="G1583" s="21" t="s">
        <v>45</v>
      </c>
      <c r="H1583" s="21" t="s">
        <v>36</v>
      </c>
      <c r="I1583" s="21" t="s">
        <v>870</v>
      </c>
    </row>
    <row r="1584" spans="1:9" x14ac:dyDescent="0.25">
      <c r="A1584" s="21" t="s">
        <v>925</v>
      </c>
      <c r="B1584">
        <v>9</v>
      </c>
      <c r="C1584" s="21" t="s">
        <v>57</v>
      </c>
      <c r="D1584" s="21" t="s">
        <v>44</v>
      </c>
      <c r="E1584">
        <v>245</v>
      </c>
      <c r="F1584">
        <v>22</v>
      </c>
      <c r="G1584" s="21" t="s">
        <v>30</v>
      </c>
      <c r="H1584" s="21" t="s">
        <v>385</v>
      </c>
      <c r="I1584" s="21" t="s">
        <v>870</v>
      </c>
    </row>
    <row r="1585" spans="1:9" x14ac:dyDescent="0.25">
      <c r="A1585" s="21" t="s">
        <v>926</v>
      </c>
      <c r="B1585">
        <v>25</v>
      </c>
      <c r="C1585" s="21" t="s">
        <v>124</v>
      </c>
      <c r="D1585" s="21" t="s">
        <v>125</v>
      </c>
      <c r="E1585">
        <v>200</v>
      </c>
      <c r="F1585">
        <v>27</v>
      </c>
      <c r="G1585" s="21" t="s">
        <v>38</v>
      </c>
      <c r="H1585" s="21" t="s">
        <v>117</v>
      </c>
      <c r="I1585" s="21" t="s">
        <v>870</v>
      </c>
    </row>
    <row r="1586" spans="1:9" x14ac:dyDescent="0.25">
      <c r="A1586" s="21" t="s">
        <v>927</v>
      </c>
      <c r="B1586">
        <v>58</v>
      </c>
      <c r="C1586" s="21" t="s">
        <v>15</v>
      </c>
      <c r="D1586" s="21" t="s">
        <v>24</v>
      </c>
      <c r="E1586">
        <v>235</v>
      </c>
      <c r="F1586">
        <v>29</v>
      </c>
      <c r="G1586" s="21" t="s">
        <v>64</v>
      </c>
      <c r="H1586" s="21" t="s">
        <v>117</v>
      </c>
      <c r="I1586" s="21" t="s">
        <v>870</v>
      </c>
    </row>
    <row r="1587" spans="1:9" x14ac:dyDescent="0.25">
      <c r="A1587" s="21" t="s">
        <v>928</v>
      </c>
      <c r="B1587">
        <v>91</v>
      </c>
      <c r="C1587" s="21" t="s">
        <v>19</v>
      </c>
      <c r="D1587" s="21" t="s">
        <v>24</v>
      </c>
      <c r="E1587">
        <v>318</v>
      </c>
      <c r="F1587">
        <v>24</v>
      </c>
      <c r="G1587" s="21" t="s">
        <v>30</v>
      </c>
      <c r="H1587" s="21" t="s">
        <v>62</v>
      </c>
      <c r="I1587" s="21" t="s">
        <v>870</v>
      </c>
    </row>
    <row r="1588" spans="1:9" x14ac:dyDescent="0.25">
      <c r="A1588" s="21" t="s">
        <v>929</v>
      </c>
      <c r="B1588">
        <v>2</v>
      </c>
      <c r="C1588" s="21" t="s">
        <v>51</v>
      </c>
      <c r="D1588" s="21" t="s">
        <v>11</v>
      </c>
      <c r="E1588">
        <v>212</v>
      </c>
      <c r="F1588">
        <v>26</v>
      </c>
      <c r="G1588" s="21" t="s">
        <v>38</v>
      </c>
      <c r="H1588" s="21" t="s">
        <v>522</v>
      </c>
      <c r="I1588" s="21" t="s">
        <v>870</v>
      </c>
    </row>
    <row r="1589" spans="1:9" x14ac:dyDescent="0.25">
      <c r="A1589" s="21" t="s">
        <v>930</v>
      </c>
      <c r="B1589">
        <v>39</v>
      </c>
      <c r="C1589" s="21" t="s">
        <v>124</v>
      </c>
      <c r="D1589" s="21" t="s">
        <v>44</v>
      </c>
      <c r="E1589">
        <v>195</v>
      </c>
      <c r="G1589" s="21" t="s">
        <v>25</v>
      </c>
      <c r="H1589" s="21" t="s">
        <v>895</v>
      </c>
      <c r="I1589" s="21" t="s">
        <v>870</v>
      </c>
    </row>
    <row r="1590" spans="1:9" x14ac:dyDescent="0.25">
      <c r="A1590" s="21" t="s">
        <v>931</v>
      </c>
      <c r="B1590">
        <v>64</v>
      </c>
      <c r="C1590" s="21" t="s">
        <v>28</v>
      </c>
      <c r="D1590" s="21" t="s">
        <v>44</v>
      </c>
      <c r="E1590">
        <v>315</v>
      </c>
      <c r="F1590">
        <v>30</v>
      </c>
      <c r="G1590" s="21" t="s">
        <v>38</v>
      </c>
      <c r="H1590" s="21" t="s">
        <v>3252</v>
      </c>
      <c r="I1590" s="21" t="s">
        <v>870</v>
      </c>
    </row>
    <row r="1591" spans="1:9" x14ac:dyDescent="0.25">
      <c r="A1591" s="21" t="s">
        <v>932</v>
      </c>
      <c r="B1591">
        <v>88</v>
      </c>
      <c r="C1591" s="21" t="s">
        <v>10</v>
      </c>
      <c r="D1591" s="21" t="s">
        <v>54</v>
      </c>
      <c r="E1591">
        <v>187</v>
      </c>
      <c r="F1591">
        <v>22</v>
      </c>
      <c r="G1591" s="21" t="s">
        <v>25</v>
      </c>
      <c r="H1591" s="21" t="s">
        <v>233</v>
      </c>
      <c r="I1591" s="21" t="s">
        <v>870</v>
      </c>
    </row>
    <row r="1592" spans="1:9" x14ac:dyDescent="0.25">
      <c r="A1592" s="21" t="s">
        <v>933</v>
      </c>
      <c r="B1592">
        <v>10</v>
      </c>
      <c r="C1592" s="21" t="s">
        <v>70</v>
      </c>
      <c r="D1592" s="21" t="s">
        <v>35</v>
      </c>
      <c r="E1592">
        <v>225</v>
      </c>
      <c r="F1592">
        <v>23</v>
      </c>
      <c r="G1592" s="21" t="s">
        <v>30</v>
      </c>
      <c r="H1592" s="21" t="s">
        <v>165</v>
      </c>
      <c r="I1592" s="21" t="s">
        <v>870</v>
      </c>
    </row>
    <row r="1593" spans="1:9" x14ac:dyDescent="0.25">
      <c r="A1593" s="21" t="s">
        <v>934</v>
      </c>
      <c r="B1593">
        <v>15</v>
      </c>
      <c r="C1593" s="21" t="s">
        <v>10</v>
      </c>
      <c r="D1593" s="21" t="s">
        <v>52</v>
      </c>
      <c r="E1593">
        <v>200</v>
      </c>
      <c r="F1593">
        <v>29</v>
      </c>
      <c r="G1593" s="21" t="s">
        <v>100</v>
      </c>
      <c r="H1593" s="21" t="s">
        <v>304</v>
      </c>
      <c r="I1593" s="21" t="s">
        <v>870</v>
      </c>
    </row>
    <row r="1594" spans="1:9" x14ac:dyDescent="0.25">
      <c r="A1594" s="21" t="s">
        <v>935</v>
      </c>
      <c r="B1594">
        <v>22</v>
      </c>
      <c r="C1594" s="21" t="s">
        <v>124</v>
      </c>
      <c r="D1594" s="21" t="s">
        <v>11</v>
      </c>
      <c r="E1594">
        <v>204</v>
      </c>
      <c r="F1594">
        <v>28</v>
      </c>
      <c r="G1594" s="21" t="s">
        <v>38</v>
      </c>
      <c r="H1594" s="21" t="s">
        <v>39</v>
      </c>
      <c r="I1594" s="21" t="s">
        <v>870</v>
      </c>
    </row>
    <row r="1595" spans="1:9" x14ac:dyDescent="0.25">
      <c r="A1595" s="21" t="s">
        <v>936</v>
      </c>
      <c r="B1595">
        <v>79</v>
      </c>
      <c r="C1595" s="21" t="s">
        <v>28</v>
      </c>
      <c r="D1595" s="21" t="s">
        <v>44</v>
      </c>
      <c r="E1595">
        <v>303</v>
      </c>
      <c r="F1595">
        <v>24</v>
      </c>
      <c r="G1595" s="21" t="s">
        <v>30</v>
      </c>
      <c r="H1595" s="21" t="s">
        <v>128</v>
      </c>
      <c r="I1595" s="21" t="s">
        <v>870</v>
      </c>
    </row>
    <row r="1596" spans="1:9" x14ac:dyDescent="0.25">
      <c r="A1596" s="21" t="s">
        <v>937</v>
      </c>
      <c r="B1596">
        <v>23</v>
      </c>
      <c r="C1596" s="21" t="s">
        <v>124</v>
      </c>
      <c r="D1596" s="21" t="s">
        <v>54</v>
      </c>
      <c r="E1596">
        <v>199</v>
      </c>
      <c r="F1596">
        <v>28</v>
      </c>
      <c r="G1596" s="21" t="s">
        <v>100</v>
      </c>
      <c r="H1596" s="21" t="s">
        <v>168</v>
      </c>
      <c r="I1596" s="21" t="s">
        <v>870</v>
      </c>
    </row>
    <row r="1597" spans="1:9" x14ac:dyDescent="0.25">
      <c r="A1597" s="21" t="s">
        <v>938</v>
      </c>
      <c r="B1597">
        <v>21</v>
      </c>
      <c r="C1597" s="21" t="s">
        <v>124</v>
      </c>
      <c r="D1597" s="21" t="s">
        <v>54</v>
      </c>
      <c r="E1597">
        <v>194</v>
      </c>
      <c r="F1597">
        <v>29</v>
      </c>
      <c r="G1597" s="21" t="s">
        <v>21</v>
      </c>
      <c r="H1597" s="21" t="s">
        <v>374</v>
      </c>
      <c r="I1597" s="21" t="s">
        <v>870</v>
      </c>
    </row>
    <row r="1598" spans="1:9" x14ac:dyDescent="0.25">
      <c r="A1598" s="21" t="s">
        <v>939</v>
      </c>
      <c r="B1598">
        <v>75</v>
      </c>
      <c r="C1598" s="21" t="s">
        <v>19</v>
      </c>
      <c r="D1598" s="21" t="s">
        <v>29</v>
      </c>
      <c r="E1598">
        <v>271</v>
      </c>
      <c r="G1598" s="21" t="s">
        <v>25</v>
      </c>
      <c r="H1598" s="21" t="s">
        <v>940</v>
      </c>
      <c r="I1598" s="21" t="s">
        <v>870</v>
      </c>
    </row>
    <row r="1599" spans="1:9" x14ac:dyDescent="0.25">
      <c r="A1599" s="21" t="s">
        <v>941</v>
      </c>
      <c r="B1599">
        <v>77</v>
      </c>
      <c r="C1599" s="21" t="s">
        <v>28</v>
      </c>
      <c r="D1599" s="21" t="s">
        <v>29</v>
      </c>
      <c r="E1599">
        <v>308</v>
      </c>
      <c r="F1599">
        <v>30</v>
      </c>
      <c r="G1599" s="21" t="s">
        <v>21</v>
      </c>
      <c r="H1599" s="21" t="s">
        <v>152</v>
      </c>
      <c r="I1599" s="21" t="s">
        <v>870</v>
      </c>
    </row>
    <row r="1600" spans="1:9" x14ac:dyDescent="0.25">
      <c r="A1600" s="21" t="s">
        <v>942</v>
      </c>
      <c r="B1600">
        <v>33</v>
      </c>
      <c r="C1600" s="21" t="s">
        <v>51</v>
      </c>
      <c r="D1600" s="21" t="s">
        <v>54</v>
      </c>
      <c r="E1600">
        <v>205</v>
      </c>
      <c r="F1600">
        <v>28</v>
      </c>
      <c r="G1600" s="21" t="s">
        <v>16</v>
      </c>
      <c r="H1600" s="21" t="s">
        <v>68</v>
      </c>
      <c r="I1600" s="21" t="s">
        <v>870</v>
      </c>
    </row>
    <row r="1601" spans="1:9" x14ac:dyDescent="0.25">
      <c r="A1601" s="21" t="s">
        <v>943</v>
      </c>
      <c r="B1601">
        <v>45</v>
      </c>
      <c r="C1601" s="21" t="s">
        <v>19</v>
      </c>
      <c r="D1601" s="21" t="s">
        <v>24</v>
      </c>
      <c r="E1601">
        <v>253</v>
      </c>
      <c r="F1601">
        <v>27</v>
      </c>
      <c r="G1601" s="21" t="s">
        <v>45</v>
      </c>
      <c r="H1601" s="21" t="s">
        <v>187</v>
      </c>
      <c r="I1601" s="21" t="s">
        <v>870</v>
      </c>
    </row>
    <row r="1602" spans="1:9" x14ac:dyDescent="0.25">
      <c r="A1602" s="21" t="s">
        <v>944</v>
      </c>
      <c r="B1602">
        <v>36</v>
      </c>
      <c r="C1602" s="21" t="s">
        <v>124</v>
      </c>
      <c r="D1602" s="21" t="s">
        <v>54</v>
      </c>
      <c r="E1602">
        <v>210</v>
      </c>
      <c r="F1602">
        <v>27</v>
      </c>
      <c r="G1602" s="21" t="s">
        <v>16</v>
      </c>
      <c r="H1602" s="21" t="s">
        <v>945</v>
      </c>
      <c r="I1602" s="21" t="s">
        <v>870</v>
      </c>
    </row>
    <row r="1603" spans="1:9" x14ac:dyDescent="0.25">
      <c r="A1603" s="21" t="s">
        <v>946</v>
      </c>
      <c r="B1603">
        <v>31</v>
      </c>
      <c r="C1603" s="21" t="s">
        <v>51</v>
      </c>
      <c r="D1603" s="21" t="s">
        <v>125</v>
      </c>
      <c r="E1603">
        <v>218</v>
      </c>
      <c r="F1603">
        <v>22</v>
      </c>
      <c r="G1603" s="21" t="s">
        <v>25</v>
      </c>
      <c r="H1603" s="21" t="s">
        <v>251</v>
      </c>
      <c r="I1603" s="21" t="s">
        <v>870</v>
      </c>
    </row>
    <row r="1604" spans="1:9" x14ac:dyDescent="0.25">
      <c r="A1604" s="21" t="s">
        <v>947</v>
      </c>
      <c r="B1604">
        <v>57</v>
      </c>
      <c r="C1604" s="21" t="s">
        <v>15</v>
      </c>
      <c r="D1604" s="21" t="s">
        <v>11</v>
      </c>
      <c r="E1604">
        <v>231</v>
      </c>
      <c r="F1604">
        <v>30</v>
      </c>
      <c r="G1604" s="21" t="s">
        <v>64</v>
      </c>
      <c r="H1604" s="21" t="s">
        <v>278</v>
      </c>
      <c r="I1604" s="21" t="s">
        <v>870</v>
      </c>
    </row>
    <row r="1605" spans="1:9" x14ac:dyDescent="0.25">
      <c r="A1605" s="21" t="s">
        <v>948</v>
      </c>
      <c r="B1605">
        <v>5</v>
      </c>
      <c r="C1605" s="21" t="s">
        <v>124</v>
      </c>
      <c r="D1605" s="21" t="s">
        <v>54</v>
      </c>
      <c r="E1605">
        <v>198</v>
      </c>
      <c r="F1605">
        <v>23</v>
      </c>
      <c r="G1605" s="21" t="s">
        <v>25</v>
      </c>
      <c r="H1605" s="21" t="s">
        <v>87</v>
      </c>
      <c r="I1605" s="21" t="s">
        <v>870</v>
      </c>
    </row>
    <row r="1606" spans="1:9" x14ac:dyDescent="0.25">
      <c r="A1606" s="21" t="s">
        <v>949</v>
      </c>
      <c r="B1606">
        <v>40</v>
      </c>
      <c r="C1606" s="21" t="s">
        <v>91</v>
      </c>
      <c r="D1606" s="21" t="s">
        <v>24</v>
      </c>
      <c r="E1606">
        <v>250</v>
      </c>
      <c r="F1606">
        <v>30</v>
      </c>
      <c r="G1606" s="21" t="s">
        <v>83</v>
      </c>
      <c r="H1606" s="21" t="s">
        <v>950</v>
      </c>
      <c r="I1606" s="21" t="s">
        <v>870</v>
      </c>
    </row>
    <row r="1607" spans="1:9" x14ac:dyDescent="0.25">
      <c r="A1607" s="21" t="s">
        <v>951</v>
      </c>
      <c r="B1607">
        <v>54</v>
      </c>
      <c r="C1607" s="21" t="s">
        <v>28</v>
      </c>
      <c r="D1607" s="21" t="s">
        <v>44</v>
      </c>
      <c r="E1607">
        <v>310</v>
      </c>
      <c r="F1607">
        <v>27</v>
      </c>
      <c r="G1607" s="21" t="s">
        <v>45</v>
      </c>
      <c r="H1607" s="21" t="s">
        <v>39</v>
      </c>
      <c r="I1607" s="21" t="s">
        <v>870</v>
      </c>
    </row>
    <row r="1608" spans="1:9" x14ac:dyDescent="0.25">
      <c r="A1608" s="21" t="s">
        <v>952</v>
      </c>
      <c r="B1608">
        <v>84</v>
      </c>
      <c r="C1608" s="21" t="s">
        <v>57</v>
      </c>
      <c r="D1608" s="21" t="s">
        <v>67</v>
      </c>
      <c r="E1608">
        <v>259</v>
      </c>
      <c r="F1608">
        <v>22</v>
      </c>
      <c r="G1608" s="21" t="s">
        <v>25</v>
      </c>
      <c r="H1608" s="21" t="s">
        <v>374</v>
      </c>
      <c r="I1608" s="21" t="s">
        <v>870</v>
      </c>
    </row>
    <row r="1609" spans="1:9" x14ac:dyDescent="0.25">
      <c r="A1609" s="21" t="s">
        <v>953</v>
      </c>
      <c r="B1609">
        <v>44</v>
      </c>
      <c r="C1609" s="21" t="s">
        <v>15</v>
      </c>
      <c r="D1609" s="21" t="s">
        <v>52</v>
      </c>
      <c r="E1609">
        <v>230</v>
      </c>
      <c r="F1609">
        <v>27</v>
      </c>
      <c r="G1609" s="21" t="s">
        <v>38</v>
      </c>
      <c r="H1609" s="21" t="s">
        <v>104</v>
      </c>
      <c r="I1609" s="21" t="s">
        <v>870</v>
      </c>
    </row>
    <row r="1610" spans="1:9" x14ac:dyDescent="0.25">
      <c r="A1610" s="21" t="s">
        <v>954</v>
      </c>
      <c r="B1610">
        <v>95</v>
      </c>
      <c r="C1610" s="21" t="s">
        <v>19</v>
      </c>
      <c r="D1610" s="21" t="s">
        <v>29</v>
      </c>
      <c r="E1610">
        <v>250</v>
      </c>
      <c r="F1610">
        <v>28</v>
      </c>
      <c r="G1610" s="21" t="s">
        <v>38</v>
      </c>
      <c r="H1610" s="21" t="s">
        <v>955</v>
      </c>
      <c r="I1610" s="21" t="s">
        <v>870</v>
      </c>
    </row>
    <row r="1611" spans="1:9" x14ac:dyDescent="0.25">
      <c r="A1611" s="21" t="s">
        <v>956</v>
      </c>
      <c r="B1611">
        <v>74</v>
      </c>
      <c r="C1611" s="21" t="s">
        <v>28</v>
      </c>
      <c r="D1611" s="21" t="s">
        <v>67</v>
      </c>
      <c r="E1611">
        <v>327</v>
      </c>
      <c r="F1611">
        <v>25</v>
      </c>
      <c r="G1611" s="21" t="s">
        <v>16</v>
      </c>
      <c r="H1611" s="21" t="s">
        <v>181</v>
      </c>
      <c r="I1611" s="21" t="s">
        <v>870</v>
      </c>
    </row>
    <row r="1612" spans="1:9" x14ac:dyDescent="0.25">
      <c r="A1612" s="21" t="s">
        <v>957</v>
      </c>
      <c r="B1612">
        <v>47</v>
      </c>
      <c r="C1612" s="21" t="s">
        <v>57</v>
      </c>
      <c r="D1612" s="21" t="s">
        <v>29</v>
      </c>
      <c r="E1612">
        <v>252</v>
      </c>
      <c r="F1612">
        <v>28</v>
      </c>
      <c r="G1612" s="21" t="s">
        <v>16</v>
      </c>
      <c r="H1612" s="21" t="s">
        <v>504</v>
      </c>
      <c r="I1612" s="21" t="s">
        <v>870</v>
      </c>
    </row>
    <row r="1613" spans="1:9" x14ac:dyDescent="0.25">
      <c r="A1613" s="21" t="s">
        <v>958</v>
      </c>
      <c r="B1613">
        <v>27</v>
      </c>
      <c r="C1613" s="21" t="s">
        <v>124</v>
      </c>
      <c r="D1613" s="21" t="s">
        <v>125</v>
      </c>
      <c r="E1613">
        <v>212</v>
      </c>
      <c r="F1613">
        <v>26</v>
      </c>
      <c r="G1613" s="21" t="s">
        <v>16</v>
      </c>
      <c r="H1613" s="21" t="s">
        <v>36</v>
      </c>
      <c r="I1613" s="21" t="s">
        <v>870</v>
      </c>
    </row>
    <row r="1614" spans="1:9" x14ac:dyDescent="0.25">
      <c r="A1614" s="21" t="s">
        <v>959</v>
      </c>
      <c r="B1614">
        <v>1</v>
      </c>
      <c r="C1614" s="21" t="s">
        <v>124</v>
      </c>
      <c r="D1614" s="21" t="s">
        <v>54</v>
      </c>
      <c r="E1614">
        <v>190</v>
      </c>
      <c r="F1614">
        <v>26</v>
      </c>
      <c r="G1614" s="21" t="s">
        <v>45</v>
      </c>
      <c r="H1614" s="21" t="s">
        <v>154</v>
      </c>
      <c r="I1614" s="21" t="s">
        <v>870</v>
      </c>
    </row>
    <row r="1615" spans="1:9" x14ac:dyDescent="0.25">
      <c r="A1615" s="21" t="s">
        <v>960</v>
      </c>
      <c r="B1615">
        <v>70</v>
      </c>
      <c r="C1615" s="21" t="s">
        <v>28</v>
      </c>
      <c r="D1615" s="21" t="s">
        <v>29</v>
      </c>
      <c r="E1615">
        <v>305</v>
      </c>
      <c r="F1615">
        <v>26</v>
      </c>
      <c r="G1615" s="21" t="s">
        <v>83</v>
      </c>
      <c r="H1615" s="21" t="s">
        <v>181</v>
      </c>
      <c r="I1615" s="21" t="s">
        <v>870</v>
      </c>
    </row>
    <row r="1616" spans="1:9" x14ac:dyDescent="0.25">
      <c r="A1616" s="21" t="s">
        <v>961</v>
      </c>
      <c r="B1616">
        <v>29</v>
      </c>
      <c r="C1616" s="21" t="s">
        <v>124</v>
      </c>
      <c r="D1616" s="21" t="s">
        <v>54</v>
      </c>
      <c r="E1616">
        <v>200</v>
      </c>
      <c r="F1616">
        <v>26</v>
      </c>
      <c r="G1616" s="21" t="s">
        <v>45</v>
      </c>
      <c r="H1616" s="21" t="s">
        <v>73</v>
      </c>
      <c r="I1616" s="21" t="s">
        <v>870</v>
      </c>
    </row>
    <row r="1617" spans="1:9" x14ac:dyDescent="0.25">
      <c r="A1617" s="21" t="s">
        <v>962</v>
      </c>
      <c r="B1617">
        <v>24</v>
      </c>
      <c r="C1617" s="21" t="s">
        <v>124</v>
      </c>
      <c r="D1617" s="21" t="s">
        <v>52</v>
      </c>
      <c r="E1617">
        <v>195</v>
      </c>
      <c r="F1617">
        <v>21</v>
      </c>
      <c r="G1617" s="21" t="s">
        <v>25</v>
      </c>
      <c r="H1617" s="21" t="s">
        <v>267</v>
      </c>
      <c r="I1617" s="21" t="s">
        <v>870</v>
      </c>
    </row>
    <row r="1618" spans="1:9" x14ac:dyDescent="0.25">
      <c r="A1618" s="21" t="s">
        <v>963</v>
      </c>
      <c r="B1618">
        <v>37</v>
      </c>
      <c r="C1618" s="21" t="s">
        <v>124</v>
      </c>
      <c r="D1618" s="21" t="s">
        <v>125</v>
      </c>
      <c r="E1618">
        <v>205</v>
      </c>
      <c r="F1618">
        <v>26</v>
      </c>
      <c r="G1618" s="21" t="s">
        <v>45</v>
      </c>
      <c r="H1618" s="21" t="s">
        <v>216</v>
      </c>
      <c r="I1618" s="21" t="s">
        <v>870</v>
      </c>
    </row>
    <row r="1619" spans="1:9" x14ac:dyDescent="0.25">
      <c r="A1619" s="21" t="s">
        <v>964</v>
      </c>
      <c r="B1619">
        <v>78</v>
      </c>
      <c r="C1619" s="21" t="s">
        <v>28</v>
      </c>
      <c r="D1619" s="21" t="s">
        <v>29</v>
      </c>
      <c r="E1619">
        <v>313</v>
      </c>
      <c r="F1619">
        <v>27</v>
      </c>
      <c r="G1619" s="21" t="s">
        <v>100</v>
      </c>
      <c r="H1619" s="21" t="s">
        <v>516</v>
      </c>
      <c r="I1619" s="21" t="s">
        <v>870</v>
      </c>
    </row>
    <row r="1620" spans="1:9" x14ac:dyDescent="0.25">
      <c r="A1620" s="21" t="s">
        <v>965</v>
      </c>
      <c r="B1620">
        <v>73</v>
      </c>
      <c r="C1620" s="21" t="s">
        <v>28</v>
      </c>
      <c r="D1620" s="21" t="s">
        <v>29</v>
      </c>
      <c r="E1620">
        <v>330</v>
      </c>
      <c r="F1620">
        <v>24</v>
      </c>
      <c r="G1620" s="21" t="s">
        <v>83</v>
      </c>
      <c r="H1620" s="21" t="s">
        <v>335</v>
      </c>
      <c r="I1620" s="21" t="s">
        <v>870</v>
      </c>
    </row>
    <row r="1621" spans="1:9" x14ac:dyDescent="0.25">
      <c r="A1621" s="21" t="s">
        <v>966</v>
      </c>
      <c r="B1621">
        <v>32</v>
      </c>
      <c r="C1621" s="21" t="s">
        <v>15</v>
      </c>
      <c r="D1621" s="21" t="s">
        <v>24</v>
      </c>
      <c r="E1621">
        <v>230</v>
      </c>
      <c r="F1621">
        <v>23</v>
      </c>
      <c r="G1621" s="21" t="s">
        <v>30</v>
      </c>
      <c r="H1621" s="21" t="s">
        <v>618</v>
      </c>
      <c r="I1621" s="21" t="s">
        <v>870</v>
      </c>
    </row>
    <row r="1622" spans="1:9" x14ac:dyDescent="0.25">
      <c r="A1622" s="21" t="s">
        <v>967</v>
      </c>
      <c r="B1622">
        <v>82</v>
      </c>
      <c r="C1622" s="21" t="s">
        <v>10</v>
      </c>
      <c r="D1622" s="21" t="s">
        <v>11</v>
      </c>
      <c r="E1622">
        <v>197</v>
      </c>
      <c r="F1622">
        <v>23</v>
      </c>
      <c r="G1622" s="21" t="s">
        <v>83</v>
      </c>
      <c r="H1622" s="21" t="s">
        <v>165</v>
      </c>
      <c r="I1622" s="21" t="s">
        <v>870</v>
      </c>
    </row>
    <row r="1623" spans="1:9" x14ac:dyDescent="0.25">
      <c r="A1623" s="21" t="s">
        <v>968</v>
      </c>
      <c r="B1623">
        <v>46</v>
      </c>
      <c r="C1623" s="21" t="s">
        <v>158</v>
      </c>
      <c r="D1623" s="21" t="s">
        <v>125</v>
      </c>
      <c r="E1623">
        <v>242</v>
      </c>
      <c r="F1623">
        <v>36</v>
      </c>
      <c r="G1623" s="21" t="s">
        <v>407</v>
      </c>
      <c r="H1623" s="21" t="s">
        <v>87</v>
      </c>
      <c r="I1623" s="21" t="s">
        <v>870</v>
      </c>
    </row>
    <row r="1624" spans="1:9" x14ac:dyDescent="0.25">
      <c r="A1624" s="21" t="s">
        <v>969</v>
      </c>
      <c r="B1624">
        <v>20</v>
      </c>
      <c r="C1624" s="21" t="s">
        <v>124</v>
      </c>
      <c r="D1624" s="21" t="s">
        <v>52</v>
      </c>
      <c r="E1624">
        <v>188</v>
      </c>
      <c r="F1624">
        <v>26</v>
      </c>
      <c r="G1624" s="21" t="s">
        <v>45</v>
      </c>
      <c r="H1624" s="21" t="s">
        <v>278</v>
      </c>
      <c r="I1624" s="21" t="s">
        <v>870</v>
      </c>
    </row>
    <row r="1625" spans="1:9" x14ac:dyDescent="0.25">
      <c r="A1625" s="21" t="s">
        <v>764</v>
      </c>
      <c r="B1625">
        <v>59</v>
      </c>
      <c r="C1625" s="21" t="s">
        <v>15</v>
      </c>
      <c r="D1625" s="21" t="s">
        <v>24</v>
      </c>
      <c r="E1625">
        <v>228</v>
      </c>
      <c r="F1625">
        <v>30</v>
      </c>
      <c r="G1625" s="21" t="s">
        <v>38</v>
      </c>
      <c r="H1625" s="21" t="s">
        <v>765</v>
      </c>
      <c r="I1625" s="21" t="s">
        <v>763</v>
      </c>
    </row>
    <row r="1626" spans="1:9" x14ac:dyDescent="0.25">
      <c r="A1626" s="21" t="s">
        <v>766</v>
      </c>
      <c r="B1626">
        <v>39</v>
      </c>
      <c r="C1626" s="21" t="s">
        <v>10</v>
      </c>
      <c r="D1626" s="21" t="s">
        <v>125</v>
      </c>
      <c r="E1626">
        <v>190</v>
      </c>
      <c r="F1626">
        <v>27</v>
      </c>
      <c r="G1626" s="21" t="s">
        <v>38</v>
      </c>
      <c r="H1626" s="21" t="s">
        <v>58</v>
      </c>
      <c r="I1626" s="21" t="s">
        <v>763</v>
      </c>
    </row>
    <row r="1627" spans="1:9" x14ac:dyDescent="0.25">
      <c r="A1627" s="21" t="s">
        <v>455</v>
      </c>
      <c r="B1627">
        <v>41</v>
      </c>
      <c r="C1627" s="21" t="s">
        <v>319</v>
      </c>
      <c r="D1627" s="21" t="s">
        <v>29</v>
      </c>
      <c r="E1627">
        <v>262</v>
      </c>
      <c r="F1627">
        <v>25</v>
      </c>
      <c r="G1627" s="21" t="s">
        <v>16</v>
      </c>
      <c r="H1627" s="21" t="s">
        <v>683</v>
      </c>
      <c r="I1627" s="21" t="s">
        <v>763</v>
      </c>
    </row>
    <row r="1628" spans="1:9" x14ac:dyDescent="0.25">
      <c r="A1628" s="21" t="s">
        <v>767</v>
      </c>
      <c r="B1628">
        <v>93</v>
      </c>
      <c r="C1628" s="21" t="s">
        <v>19</v>
      </c>
      <c r="D1628" s="21" t="s">
        <v>44</v>
      </c>
      <c r="E1628">
        <v>309</v>
      </c>
      <c r="F1628">
        <v>22</v>
      </c>
      <c r="G1628" s="21" t="s">
        <v>25</v>
      </c>
      <c r="H1628" s="21" t="s">
        <v>130</v>
      </c>
      <c r="I1628" s="21" t="s">
        <v>763</v>
      </c>
    </row>
    <row r="1629" spans="1:9" x14ac:dyDescent="0.25">
      <c r="A1629" s="21" t="s">
        <v>768</v>
      </c>
      <c r="B1629">
        <v>23</v>
      </c>
      <c r="C1629" s="21" t="s">
        <v>51</v>
      </c>
      <c r="D1629" s="21" t="s">
        <v>54</v>
      </c>
      <c r="E1629">
        <v>220</v>
      </c>
      <c r="F1629">
        <v>25</v>
      </c>
      <c r="G1629" s="21" t="s">
        <v>12</v>
      </c>
      <c r="H1629" s="21" t="s">
        <v>256</v>
      </c>
      <c r="I1629" s="21" t="s">
        <v>763</v>
      </c>
    </row>
    <row r="1630" spans="1:9" x14ac:dyDescent="0.25">
      <c r="A1630" s="21" t="s">
        <v>769</v>
      </c>
      <c r="B1630">
        <v>85</v>
      </c>
      <c r="C1630" s="21" t="s">
        <v>57</v>
      </c>
      <c r="D1630" s="21" t="s">
        <v>67</v>
      </c>
      <c r="E1630">
        <v>220</v>
      </c>
      <c r="F1630">
        <v>27</v>
      </c>
      <c r="G1630" s="21" t="s">
        <v>38</v>
      </c>
      <c r="H1630" s="21" t="s">
        <v>770</v>
      </c>
      <c r="I1630" s="21" t="s">
        <v>763</v>
      </c>
    </row>
    <row r="1631" spans="1:9" x14ac:dyDescent="0.25">
      <c r="A1631" s="21" t="s">
        <v>771</v>
      </c>
      <c r="B1631">
        <v>80</v>
      </c>
      <c r="C1631" s="21" t="s">
        <v>10</v>
      </c>
      <c r="D1631" s="21" t="s">
        <v>24</v>
      </c>
      <c r="E1631">
        <v>215</v>
      </c>
      <c r="F1631">
        <v>22</v>
      </c>
      <c r="G1631" s="21" t="s">
        <v>25</v>
      </c>
      <c r="H1631" s="21" t="s">
        <v>31</v>
      </c>
      <c r="I1631" s="21" t="s">
        <v>763</v>
      </c>
    </row>
    <row r="1632" spans="1:9" x14ac:dyDescent="0.25">
      <c r="A1632" s="21" t="s">
        <v>772</v>
      </c>
      <c r="B1632">
        <v>78</v>
      </c>
      <c r="C1632" s="21" t="s">
        <v>28</v>
      </c>
      <c r="D1632" s="21" t="s">
        <v>67</v>
      </c>
      <c r="E1632">
        <v>309</v>
      </c>
      <c r="F1632">
        <v>24</v>
      </c>
      <c r="G1632" s="21" t="s">
        <v>12</v>
      </c>
      <c r="H1632" s="21" t="s">
        <v>773</v>
      </c>
      <c r="I1632" s="21" t="s">
        <v>763</v>
      </c>
    </row>
    <row r="1633" spans="1:9" x14ac:dyDescent="0.25">
      <c r="A1633" s="21" t="s">
        <v>774</v>
      </c>
      <c r="B1633">
        <v>3</v>
      </c>
      <c r="C1633" s="21" t="s">
        <v>70</v>
      </c>
      <c r="D1633" s="21" t="s">
        <v>24</v>
      </c>
      <c r="E1633">
        <v>215</v>
      </c>
      <c r="F1633">
        <v>28</v>
      </c>
      <c r="G1633" s="21" t="s">
        <v>38</v>
      </c>
      <c r="H1633" s="21" t="s">
        <v>117</v>
      </c>
      <c r="I1633" s="21" t="s">
        <v>763</v>
      </c>
    </row>
    <row r="1634" spans="1:9" x14ac:dyDescent="0.25">
      <c r="A1634" s="21" t="s">
        <v>775</v>
      </c>
      <c r="B1634">
        <v>56</v>
      </c>
      <c r="C1634" s="21" t="s">
        <v>213</v>
      </c>
      <c r="D1634" s="21" t="s">
        <v>35</v>
      </c>
      <c r="E1634">
        <v>255</v>
      </c>
      <c r="F1634">
        <v>25</v>
      </c>
      <c r="G1634" s="21" t="s">
        <v>30</v>
      </c>
      <c r="H1634" s="21" t="s">
        <v>36</v>
      </c>
      <c r="I1634" s="21" t="s">
        <v>763</v>
      </c>
    </row>
    <row r="1635" spans="1:9" x14ac:dyDescent="0.25">
      <c r="A1635" s="21" t="s">
        <v>776</v>
      </c>
      <c r="B1635">
        <v>47</v>
      </c>
      <c r="C1635" s="21" t="s">
        <v>57</v>
      </c>
      <c r="D1635" s="21" t="s">
        <v>29</v>
      </c>
      <c r="E1635">
        <v>232</v>
      </c>
      <c r="G1635" s="21" t="s">
        <v>25</v>
      </c>
      <c r="H1635" s="21" t="s">
        <v>136</v>
      </c>
      <c r="I1635" s="21" t="s">
        <v>763</v>
      </c>
    </row>
    <row r="1636" spans="1:9" x14ac:dyDescent="0.25">
      <c r="A1636" s="21" t="s">
        <v>777</v>
      </c>
      <c r="B1636">
        <v>90</v>
      </c>
      <c r="C1636" s="21" t="s">
        <v>114</v>
      </c>
      <c r="D1636" s="21" t="s">
        <v>24</v>
      </c>
      <c r="E1636">
        <v>320</v>
      </c>
      <c r="F1636">
        <v>28</v>
      </c>
      <c r="G1636" s="21" t="s">
        <v>21</v>
      </c>
      <c r="H1636" s="21" t="s">
        <v>109</v>
      </c>
      <c r="I1636" s="21" t="s">
        <v>763</v>
      </c>
    </row>
    <row r="1637" spans="1:9" x14ac:dyDescent="0.25">
      <c r="A1637" s="21" t="s">
        <v>778</v>
      </c>
      <c r="B1637">
        <v>30</v>
      </c>
      <c r="C1637" s="21" t="s">
        <v>48</v>
      </c>
      <c r="D1637" s="21" t="s">
        <v>11</v>
      </c>
      <c r="E1637">
        <v>190</v>
      </c>
      <c r="F1637">
        <v>22</v>
      </c>
      <c r="G1637" s="21" t="s">
        <v>25</v>
      </c>
      <c r="H1637" s="21" t="s">
        <v>80</v>
      </c>
      <c r="I1637" s="21" t="s">
        <v>763</v>
      </c>
    </row>
    <row r="1638" spans="1:9" x14ac:dyDescent="0.25">
      <c r="A1638" s="21" t="s">
        <v>779</v>
      </c>
      <c r="B1638">
        <v>32</v>
      </c>
      <c r="C1638" s="21" t="s">
        <v>48</v>
      </c>
      <c r="D1638" s="21" t="s">
        <v>52</v>
      </c>
      <c r="E1638">
        <v>195</v>
      </c>
      <c r="F1638">
        <v>22</v>
      </c>
      <c r="G1638" s="21" t="s">
        <v>30</v>
      </c>
      <c r="H1638" s="21" t="s">
        <v>196</v>
      </c>
      <c r="I1638" s="21" t="s">
        <v>763</v>
      </c>
    </row>
    <row r="1639" spans="1:9" x14ac:dyDescent="0.25">
      <c r="A1639" s="21" t="s">
        <v>780</v>
      </c>
      <c r="B1639">
        <v>45</v>
      </c>
      <c r="C1639" s="21" t="s">
        <v>319</v>
      </c>
      <c r="D1639" s="21" t="s">
        <v>44</v>
      </c>
      <c r="E1639">
        <v>254</v>
      </c>
      <c r="F1639">
        <v>23</v>
      </c>
      <c r="G1639" s="21" t="s">
        <v>12</v>
      </c>
      <c r="H1639" s="21" t="s">
        <v>267</v>
      </c>
      <c r="I1639" s="21" t="s">
        <v>763</v>
      </c>
    </row>
    <row r="1640" spans="1:9" x14ac:dyDescent="0.25">
      <c r="A1640" s="21" t="s">
        <v>781</v>
      </c>
      <c r="B1640">
        <v>38</v>
      </c>
      <c r="C1640" s="21" t="s">
        <v>89</v>
      </c>
      <c r="D1640" s="21" t="s">
        <v>11</v>
      </c>
      <c r="E1640">
        <v>209</v>
      </c>
      <c r="F1640">
        <v>22</v>
      </c>
      <c r="G1640" s="21" t="s">
        <v>30</v>
      </c>
      <c r="H1640" s="21" t="s">
        <v>355</v>
      </c>
      <c r="I1640" s="21" t="s">
        <v>763</v>
      </c>
    </row>
    <row r="1641" spans="1:9" x14ac:dyDescent="0.25">
      <c r="A1641" s="21" t="s">
        <v>782</v>
      </c>
      <c r="B1641">
        <v>27</v>
      </c>
      <c r="C1641" s="21" t="s">
        <v>48</v>
      </c>
      <c r="D1641" s="21" t="s">
        <v>135</v>
      </c>
      <c r="E1641">
        <v>179</v>
      </c>
      <c r="F1641">
        <v>25</v>
      </c>
      <c r="G1641" s="21" t="s">
        <v>12</v>
      </c>
      <c r="H1641" s="21" t="s">
        <v>627</v>
      </c>
      <c r="I1641" s="21" t="s">
        <v>763</v>
      </c>
    </row>
    <row r="1642" spans="1:9" x14ac:dyDescent="0.25">
      <c r="A1642" s="21" t="s">
        <v>783</v>
      </c>
      <c r="B1642">
        <v>24</v>
      </c>
      <c r="C1642" s="21" t="s">
        <v>51</v>
      </c>
      <c r="D1642" s="21" t="s">
        <v>125</v>
      </c>
      <c r="E1642">
        <v>222</v>
      </c>
      <c r="F1642">
        <v>21</v>
      </c>
      <c r="G1642" s="21" t="s">
        <v>25</v>
      </c>
      <c r="H1642" s="21" t="s">
        <v>516</v>
      </c>
      <c r="I1642" s="21" t="s">
        <v>763</v>
      </c>
    </row>
    <row r="1643" spans="1:9" x14ac:dyDescent="0.25">
      <c r="A1643" s="21" t="s">
        <v>784</v>
      </c>
      <c r="B1643">
        <v>9</v>
      </c>
      <c r="C1643" s="21" t="s">
        <v>193</v>
      </c>
      <c r="D1643" s="21" t="s">
        <v>29</v>
      </c>
      <c r="E1643">
        <v>230</v>
      </c>
      <c r="F1643">
        <v>27</v>
      </c>
      <c r="G1643" s="21" t="s">
        <v>45</v>
      </c>
      <c r="H1643" s="21" t="s">
        <v>558</v>
      </c>
      <c r="I1643" s="21" t="s">
        <v>763</v>
      </c>
    </row>
    <row r="1644" spans="1:9" x14ac:dyDescent="0.25">
      <c r="A1644" s="21" t="s">
        <v>785</v>
      </c>
      <c r="B1644">
        <v>88</v>
      </c>
      <c r="C1644" s="21" t="s">
        <v>10</v>
      </c>
      <c r="D1644" s="21" t="s">
        <v>24</v>
      </c>
      <c r="E1644">
        <v>206</v>
      </c>
      <c r="F1644">
        <v>25</v>
      </c>
      <c r="G1644" s="21" t="s">
        <v>83</v>
      </c>
      <c r="H1644" s="21" t="s">
        <v>786</v>
      </c>
      <c r="I1644" s="21" t="s">
        <v>763</v>
      </c>
    </row>
    <row r="1645" spans="1:9" x14ac:dyDescent="0.25">
      <c r="A1645" s="21" t="s">
        <v>787</v>
      </c>
      <c r="B1645">
        <v>31</v>
      </c>
      <c r="C1645" s="21" t="s">
        <v>51</v>
      </c>
      <c r="D1645" s="21" t="s">
        <v>54</v>
      </c>
      <c r="E1645">
        <v>193</v>
      </c>
      <c r="F1645">
        <v>25</v>
      </c>
      <c r="G1645" s="21" t="s">
        <v>30</v>
      </c>
      <c r="H1645" s="21" t="s">
        <v>132</v>
      </c>
      <c r="I1645" s="21" t="s">
        <v>763</v>
      </c>
    </row>
    <row r="1646" spans="1:9" x14ac:dyDescent="0.25">
      <c r="A1646" s="21" t="s">
        <v>788</v>
      </c>
      <c r="B1646">
        <v>22</v>
      </c>
      <c r="C1646" s="21" t="s">
        <v>124</v>
      </c>
      <c r="D1646" s="21" t="s">
        <v>54</v>
      </c>
      <c r="E1646">
        <v>185</v>
      </c>
      <c r="F1646">
        <v>26</v>
      </c>
      <c r="G1646" s="21" t="s">
        <v>12</v>
      </c>
      <c r="H1646" s="21" t="s">
        <v>442</v>
      </c>
      <c r="I1646" s="21" t="s">
        <v>763</v>
      </c>
    </row>
    <row r="1647" spans="1:9" x14ac:dyDescent="0.25">
      <c r="A1647" s="21" t="s">
        <v>789</v>
      </c>
      <c r="B1647">
        <v>64</v>
      </c>
      <c r="C1647" s="21" t="s">
        <v>140</v>
      </c>
      <c r="D1647" s="21" t="s">
        <v>35</v>
      </c>
      <c r="E1647">
        <v>318</v>
      </c>
      <c r="F1647">
        <v>24</v>
      </c>
      <c r="G1647" s="21" t="s">
        <v>83</v>
      </c>
      <c r="H1647" s="21" t="s">
        <v>117</v>
      </c>
      <c r="I1647" s="21" t="s">
        <v>763</v>
      </c>
    </row>
    <row r="1648" spans="1:9" x14ac:dyDescent="0.25">
      <c r="A1648" s="21" t="s">
        <v>790</v>
      </c>
      <c r="B1648">
        <v>31</v>
      </c>
      <c r="C1648" s="21" t="s">
        <v>124</v>
      </c>
      <c r="D1648" s="21" t="s">
        <v>52</v>
      </c>
      <c r="E1648">
        <v>186</v>
      </c>
      <c r="F1648">
        <v>25</v>
      </c>
      <c r="G1648" s="21" t="s">
        <v>25</v>
      </c>
      <c r="H1648" s="21" t="s">
        <v>238</v>
      </c>
      <c r="I1648" s="21" t="s">
        <v>763</v>
      </c>
    </row>
    <row r="1649" spans="1:9" x14ac:dyDescent="0.25">
      <c r="A1649" s="21" t="s">
        <v>791</v>
      </c>
      <c r="B1649">
        <v>47</v>
      </c>
      <c r="C1649" s="21" t="s">
        <v>319</v>
      </c>
      <c r="D1649" s="21" t="s">
        <v>29</v>
      </c>
      <c r="E1649">
        <v>260</v>
      </c>
      <c r="F1649">
        <v>23</v>
      </c>
      <c r="G1649" s="21" t="s">
        <v>25</v>
      </c>
      <c r="H1649" s="21" t="s">
        <v>792</v>
      </c>
      <c r="I1649" s="21" t="s">
        <v>763</v>
      </c>
    </row>
    <row r="1650" spans="1:9" x14ac:dyDescent="0.25">
      <c r="A1650" s="21" t="s">
        <v>793</v>
      </c>
      <c r="B1650">
        <v>17</v>
      </c>
      <c r="C1650" s="21" t="s">
        <v>57</v>
      </c>
      <c r="D1650" s="21" t="s">
        <v>44</v>
      </c>
      <c r="E1650">
        <v>240</v>
      </c>
      <c r="F1650">
        <v>27</v>
      </c>
      <c r="G1650" s="21" t="s">
        <v>38</v>
      </c>
      <c r="H1650" s="21" t="s">
        <v>516</v>
      </c>
      <c r="I1650" s="21" t="s">
        <v>763</v>
      </c>
    </row>
    <row r="1651" spans="1:9" x14ac:dyDescent="0.25">
      <c r="A1651" s="21" t="s">
        <v>794</v>
      </c>
      <c r="B1651">
        <v>1</v>
      </c>
      <c r="C1651" s="21" t="s">
        <v>51</v>
      </c>
      <c r="D1651" s="21" t="s">
        <v>125</v>
      </c>
      <c r="E1651">
        <v>215</v>
      </c>
      <c r="F1651">
        <v>23</v>
      </c>
      <c r="G1651" s="21" t="s">
        <v>30</v>
      </c>
      <c r="H1651" s="21" t="s">
        <v>136</v>
      </c>
      <c r="I1651" s="21" t="s">
        <v>763</v>
      </c>
    </row>
    <row r="1652" spans="1:9" x14ac:dyDescent="0.25">
      <c r="A1652" s="21" t="s">
        <v>795</v>
      </c>
      <c r="B1652">
        <v>89</v>
      </c>
      <c r="C1652" s="21" t="s">
        <v>57</v>
      </c>
      <c r="D1652" s="21" t="s">
        <v>29</v>
      </c>
      <c r="E1652">
        <v>258</v>
      </c>
      <c r="F1652">
        <v>24</v>
      </c>
      <c r="G1652" s="21" t="s">
        <v>30</v>
      </c>
      <c r="H1652" s="21" t="s">
        <v>36</v>
      </c>
      <c r="I1652" s="21" t="s">
        <v>763</v>
      </c>
    </row>
    <row r="1653" spans="1:9" x14ac:dyDescent="0.25">
      <c r="A1653" s="21" t="s">
        <v>796</v>
      </c>
      <c r="B1653">
        <v>94</v>
      </c>
      <c r="C1653" s="21" t="s">
        <v>114</v>
      </c>
      <c r="D1653" s="21" t="s">
        <v>35</v>
      </c>
      <c r="E1653">
        <v>318</v>
      </c>
      <c r="F1653">
        <v>27</v>
      </c>
      <c r="G1653" s="21" t="s">
        <v>45</v>
      </c>
      <c r="H1653" s="21" t="s">
        <v>797</v>
      </c>
      <c r="I1653" s="21" t="s">
        <v>763</v>
      </c>
    </row>
    <row r="1654" spans="1:9" x14ac:dyDescent="0.25">
      <c r="A1654" s="21" t="s">
        <v>798</v>
      </c>
      <c r="B1654">
        <v>5</v>
      </c>
      <c r="C1654" s="21" t="s">
        <v>89</v>
      </c>
      <c r="D1654" s="21" t="s">
        <v>11</v>
      </c>
      <c r="E1654">
        <v>204</v>
      </c>
      <c r="F1654">
        <v>27</v>
      </c>
      <c r="G1654" s="21" t="s">
        <v>38</v>
      </c>
      <c r="H1654" s="21" t="s">
        <v>65</v>
      </c>
      <c r="I1654" s="21" t="s">
        <v>763</v>
      </c>
    </row>
    <row r="1655" spans="1:9" x14ac:dyDescent="0.25">
      <c r="A1655" s="21" t="s">
        <v>799</v>
      </c>
      <c r="B1655">
        <v>77</v>
      </c>
      <c r="C1655" s="21" t="s">
        <v>28</v>
      </c>
      <c r="D1655" s="21" t="s">
        <v>29</v>
      </c>
      <c r="E1655">
        <v>310</v>
      </c>
      <c r="F1655">
        <v>22</v>
      </c>
      <c r="G1655" s="21" t="s">
        <v>25</v>
      </c>
      <c r="H1655" s="21" t="s">
        <v>194</v>
      </c>
      <c r="I1655" s="21" t="s">
        <v>763</v>
      </c>
    </row>
    <row r="1656" spans="1:9" x14ac:dyDescent="0.25">
      <c r="A1656" s="21" t="s">
        <v>800</v>
      </c>
      <c r="B1656">
        <v>79</v>
      </c>
      <c r="C1656" s="21" t="s">
        <v>28</v>
      </c>
      <c r="D1656" s="21" t="s">
        <v>67</v>
      </c>
      <c r="E1656">
        <v>300</v>
      </c>
      <c r="F1656">
        <v>24</v>
      </c>
      <c r="G1656" s="21" t="s">
        <v>25</v>
      </c>
      <c r="H1656" s="21" t="s">
        <v>683</v>
      </c>
      <c r="I1656" s="21" t="s">
        <v>763</v>
      </c>
    </row>
    <row r="1657" spans="1:9" x14ac:dyDescent="0.25">
      <c r="A1657" s="21" t="s">
        <v>801</v>
      </c>
      <c r="B1657">
        <v>36</v>
      </c>
      <c r="C1657" s="21" t="s">
        <v>124</v>
      </c>
      <c r="D1657" s="21" t="s">
        <v>11</v>
      </c>
      <c r="E1657">
        <v>185</v>
      </c>
      <c r="F1657">
        <v>25</v>
      </c>
      <c r="G1657" s="21" t="s">
        <v>25</v>
      </c>
      <c r="H1657" s="21" t="s">
        <v>802</v>
      </c>
      <c r="I1657" s="21" t="s">
        <v>763</v>
      </c>
    </row>
    <row r="1658" spans="1:9" x14ac:dyDescent="0.25">
      <c r="A1658" s="21" t="s">
        <v>803</v>
      </c>
      <c r="B1658">
        <v>96</v>
      </c>
      <c r="C1658" s="21" t="s">
        <v>19</v>
      </c>
      <c r="D1658" s="21" t="s">
        <v>35</v>
      </c>
      <c r="E1658">
        <v>287</v>
      </c>
      <c r="F1658">
        <v>29</v>
      </c>
      <c r="G1658" s="21" t="s">
        <v>100</v>
      </c>
      <c r="H1658" s="21" t="s">
        <v>132</v>
      </c>
      <c r="I1658" s="21" t="s">
        <v>763</v>
      </c>
    </row>
    <row r="1659" spans="1:9" x14ac:dyDescent="0.25">
      <c r="A1659" s="21" t="s">
        <v>804</v>
      </c>
      <c r="B1659">
        <v>26</v>
      </c>
      <c r="C1659" s="21" t="s">
        <v>48</v>
      </c>
      <c r="D1659" s="21" t="s">
        <v>11</v>
      </c>
      <c r="E1659">
        <v>198</v>
      </c>
      <c r="F1659">
        <v>27</v>
      </c>
      <c r="G1659" s="21" t="s">
        <v>38</v>
      </c>
      <c r="H1659" s="21" t="s">
        <v>3252</v>
      </c>
      <c r="I1659" s="21" t="s">
        <v>763</v>
      </c>
    </row>
    <row r="1660" spans="1:9" x14ac:dyDescent="0.25">
      <c r="A1660" s="21" t="s">
        <v>805</v>
      </c>
      <c r="B1660">
        <v>87</v>
      </c>
      <c r="C1660" s="21" t="s">
        <v>57</v>
      </c>
      <c r="D1660" s="21" t="s">
        <v>29</v>
      </c>
      <c r="E1660">
        <v>247</v>
      </c>
      <c r="G1660" s="21" t="s">
        <v>25</v>
      </c>
      <c r="H1660" s="21" t="s">
        <v>149</v>
      </c>
      <c r="I1660" s="21" t="s">
        <v>763</v>
      </c>
    </row>
    <row r="1661" spans="1:9" x14ac:dyDescent="0.25">
      <c r="A1661" s="21" t="s">
        <v>806</v>
      </c>
      <c r="B1661">
        <v>14</v>
      </c>
      <c r="C1661" s="21" t="s">
        <v>10</v>
      </c>
      <c r="D1661" s="21" t="s">
        <v>125</v>
      </c>
      <c r="E1661">
        <v>190</v>
      </c>
      <c r="F1661">
        <v>29</v>
      </c>
      <c r="G1661" s="21" t="s">
        <v>45</v>
      </c>
      <c r="H1661" s="21" t="s">
        <v>274</v>
      </c>
      <c r="I1661" s="21" t="s">
        <v>763</v>
      </c>
    </row>
    <row r="1662" spans="1:9" x14ac:dyDescent="0.25">
      <c r="A1662" s="21" t="s">
        <v>807</v>
      </c>
      <c r="B1662">
        <v>52</v>
      </c>
      <c r="C1662" s="21" t="s">
        <v>114</v>
      </c>
      <c r="D1662" s="21" t="s">
        <v>35</v>
      </c>
      <c r="E1662">
        <v>320</v>
      </c>
      <c r="F1662">
        <v>25</v>
      </c>
      <c r="G1662" s="21" t="s">
        <v>12</v>
      </c>
      <c r="H1662" s="21" t="s">
        <v>36</v>
      </c>
      <c r="I1662" s="21" t="s">
        <v>763</v>
      </c>
    </row>
    <row r="1663" spans="1:9" x14ac:dyDescent="0.25">
      <c r="A1663" s="21" t="s">
        <v>808</v>
      </c>
      <c r="B1663">
        <v>37</v>
      </c>
      <c r="C1663" s="21" t="s">
        <v>48</v>
      </c>
      <c r="D1663" s="21" t="s">
        <v>54</v>
      </c>
      <c r="E1663">
        <v>185</v>
      </c>
      <c r="F1663">
        <v>26</v>
      </c>
      <c r="G1663" s="21" t="s">
        <v>45</v>
      </c>
      <c r="H1663" s="21" t="s">
        <v>46</v>
      </c>
      <c r="I1663" s="21" t="s">
        <v>763</v>
      </c>
    </row>
    <row r="1664" spans="1:9" x14ac:dyDescent="0.25">
      <c r="A1664" s="21" t="s">
        <v>809</v>
      </c>
      <c r="B1664">
        <v>70</v>
      </c>
      <c r="C1664" s="21" t="s">
        <v>28</v>
      </c>
      <c r="D1664" s="21" t="s">
        <v>29</v>
      </c>
      <c r="E1664">
        <v>325</v>
      </c>
      <c r="F1664">
        <v>24</v>
      </c>
      <c r="G1664" s="21" t="s">
        <v>83</v>
      </c>
      <c r="H1664" s="21" t="s">
        <v>152</v>
      </c>
      <c r="I1664" s="21" t="s">
        <v>763</v>
      </c>
    </row>
    <row r="1665" spans="1:9" x14ac:dyDescent="0.25">
      <c r="A1665" s="21" t="s">
        <v>810</v>
      </c>
      <c r="B1665">
        <v>2</v>
      </c>
      <c r="C1665" s="21" t="s">
        <v>89</v>
      </c>
      <c r="D1665" s="21" t="s">
        <v>52</v>
      </c>
      <c r="E1665">
        <v>220</v>
      </c>
      <c r="F1665">
        <v>28</v>
      </c>
      <c r="G1665" s="21" t="s">
        <v>38</v>
      </c>
      <c r="H1665" s="21" t="s">
        <v>385</v>
      </c>
      <c r="I1665" s="21" t="s">
        <v>763</v>
      </c>
    </row>
    <row r="1666" spans="1:9" x14ac:dyDescent="0.25">
      <c r="A1666" s="21" t="s">
        <v>811</v>
      </c>
      <c r="B1666">
        <v>81</v>
      </c>
      <c r="C1666" s="21" t="s">
        <v>10</v>
      </c>
      <c r="D1666" s="21" t="s">
        <v>11</v>
      </c>
      <c r="E1666">
        <v>178</v>
      </c>
      <c r="G1666" s="21" t="s">
        <v>25</v>
      </c>
      <c r="H1666" s="21" t="s">
        <v>705</v>
      </c>
      <c r="I1666" s="21" t="s">
        <v>763</v>
      </c>
    </row>
    <row r="1667" spans="1:9" x14ac:dyDescent="0.25">
      <c r="A1667" s="21" t="s">
        <v>812</v>
      </c>
      <c r="B1667">
        <v>7</v>
      </c>
      <c r="C1667" s="21" t="s">
        <v>10</v>
      </c>
      <c r="D1667" s="21" t="s">
        <v>24</v>
      </c>
      <c r="E1667">
        <v>200</v>
      </c>
      <c r="F1667">
        <v>27</v>
      </c>
      <c r="G1667" s="21" t="s">
        <v>38</v>
      </c>
      <c r="H1667" s="21" t="s">
        <v>813</v>
      </c>
      <c r="I1667" s="21" t="s">
        <v>763</v>
      </c>
    </row>
    <row r="1668" spans="1:9" x14ac:dyDescent="0.25">
      <c r="A1668" s="21" t="s">
        <v>814</v>
      </c>
      <c r="B1668">
        <v>40</v>
      </c>
      <c r="C1668" s="21" t="s">
        <v>319</v>
      </c>
      <c r="D1668" s="21" t="s">
        <v>44</v>
      </c>
      <c r="E1668">
        <v>255</v>
      </c>
      <c r="F1668">
        <v>24</v>
      </c>
      <c r="G1668" s="21" t="s">
        <v>30</v>
      </c>
      <c r="H1668" s="21" t="s">
        <v>31</v>
      </c>
      <c r="I1668" s="21" t="s">
        <v>763</v>
      </c>
    </row>
    <row r="1669" spans="1:9" x14ac:dyDescent="0.25">
      <c r="A1669" s="21" t="s">
        <v>815</v>
      </c>
      <c r="B1669">
        <v>11</v>
      </c>
      <c r="C1669" s="21" t="s">
        <v>10</v>
      </c>
      <c r="D1669" s="21" t="s">
        <v>24</v>
      </c>
      <c r="E1669">
        <v>199</v>
      </c>
      <c r="F1669">
        <v>32</v>
      </c>
      <c r="G1669" s="21" t="s">
        <v>254</v>
      </c>
      <c r="H1669" s="21" t="s">
        <v>226</v>
      </c>
      <c r="I1669" s="21" t="s">
        <v>763</v>
      </c>
    </row>
    <row r="1670" spans="1:9" x14ac:dyDescent="0.25">
      <c r="A1670" s="21" t="s">
        <v>816</v>
      </c>
      <c r="B1670">
        <v>83</v>
      </c>
      <c r="C1670" s="21" t="s">
        <v>10</v>
      </c>
      <c r="D1670" s="21" t="s">
        <v>52</v>
      </c>
      <c r="E1670">
        <v>210</v>
      </c>
      <c r="F1670">
        <v>24</v>
      </c>
      <c r="G1670" s="21" t="s">
        <v>83</v>
      </c>
      <c r="H1670" s="21" t="s">
        <v>149</v>
      </c>
      <c r="I1670" s="21" t="s">
        <v>763</v>
      </c>
    </row>
    <row r="1671" spans="1:9" x14ac:dyDescent="0.25">
      <c r="A1671" s="21" t="s">
        <v>817</v>
      </c>
      <c r="B1671">
        <v>34</v>
      </c>
      <c r="C1671" s="21" t="s">
        <v>48</v>
      </c>
      <c r="D1671" s="21" t="s">
        <v>11</v>
      </c>
      <c r="E1671">
        <v>190</v>
      </c>
      <c r="F1671">
        <v>23</v>
      </c>
      <c r="G1671" s="21" t="s">
        <v>25</v>
      </c>
      <c r="H1671" s="21" t="s">
        <v>818</v>
      </c>
      <c r="I1671" s="21" t="s">
        <v>763</v>
      </c>
    </row>
    <row r="1672" spans="1:9" x14ac:dyDescent="0.25">
      <c r="A1672" s="21" t="s">
        <v>819</v>
      </c>
      <c r="B1672">
        <v>49</v>
      </c>
      <c r="C1672" s="21" t="s">
        <v>19</v>
      </c>
      <c r="D1672" s="21" t="s">
        <v>29</v>
      </c>
      <c r="E1672">
        <v>240</v>
      </c>
      <c r="F1672">
        <v>26</v>
      </c>
      <c r="G1672" s="21" t="s">
        <v>45</v>
      </c>
      <c r="H1672" s="21" t="s">
        <v>267</v>
      </c>
      <c r="I1672" s="21" t="s">
        <v>763</v>
      </c>
    </row>
    <row r="1673" spans="1:9" x14ac:dyDescent="0.25">
      <c r="A1673" s="21" t="s">
        <v>820</v>
      </c>
      <c r="B1673">
        <v>13</v>
      </c>
      <c r="C1673" s="21" t="s">
        <v>10</v>
      </c>
      <c r="D1673" s="21" t="s">
        <v>54</v>
      </c>
      <c r="E1673">
        <v>200</v>
      </c>
      <c r="F1673">
        <v>25</v>
      </c>
      <c r="G1673" s="21" t="s">
        <v>45</v>
      </c>
      <c r="H1673" s="21" t="s">
        <v>152</v>
      </c>
      <c r="I1673" s="21" t="s">
        <v>763</v>
      </c>
    </row>
    <row r="1674" spans="1:9" x14ac:dyDescent="0.25">
      <c r="A1674" s="21" t="s">
        <v>821</v>
      </c>
      <c r="B1674">
        <v>16</v>
      </c>
      <c r="C1674" s="21" t="s">
        <v>70</v>
      </c>
      <c r="D1674" s="21" t="s">
        <v>67</v>
      </c>
      <c r="E1674">
        <v>213</v>
      </c>
      <c r="F1674">
        <v>22</v>
      </c>
      <c r="G1674" s="21" t="s">
        <v>30</v>
      </c>
      <c r="H1674" s="21" t="s">
        <v>136</v>
      </c>
      <c r="I1674" s="21" t="s">
        <v>763</v>
      </c>
    </row>
    <row r="1675" spans="1:9" x14ac:dyDescent="0.25">
      <c r="A1675" s="21" t="s">
        <v>822</v>
      </c>
      <c r="B1675">
        <v>98</v>
      </c>
      <c r="C1675" s="21" t="s">
        <v>19</v>
      </c>
      <c r="D1675" s="21" t="s">
        <v>44</v>
      </c>
      <c r="E1675">
        <v>299</v>
      </c>
      <c r="F1675">
        <v>28</v>
      </c>
      <c r="G1675" s="21" t="s">
        <v>30</v>
      </c>
      <c r="H1675" s="21" t="s">
        <v>80</v>
      </c>
      <c r="I1675" s="21" t="s">
        <v>763</v>
      </c>
    </row>
    <row r="1676" spans="1:9" x14ac:dyDescent="0.25">
      <c r="A1676" s="21" t="s">
        <v>823</v>
      </c>
      <c r="B1676">
        <v>72</v>
      </c>
      <c r="C1676" s="21" t="s">
        <v>28</v>
      </c>
      <c r="D1676" s="21" t="s">
        <v>20</v>
      </c>
      <c r="E1676">
        <v>309</v>
      </c>
      <c r="F1676">
        <v>23</v>
      </c>
      <c r="G1676" s="21" t="s">
        <v>30</v>
      </c>
      <c r="H1676" s="21" t="s">
        <v>165</v>
      </c>
      <c r="I1676" s="21" t="s">
        <v>763</v>
      </c>
    </row>
    <row r="1677" spans="1:9" x14ac:dyDescent="0.25">
      <c r="A1677" s="21" t="s">
        <v>824</v>
      </c>
      <c r="B1677">
        <v>33</v>
      </c>
      <c r="C1677" s="21" t="s">
        <v>15</v>
      </c>
      <c r="D1677" s="21" t="s">
        <v>44</v>
      </c>
      <c r="E1677">
        <v>235</v>
      </c>
      <c r="F1677">
        <v>23</v>
      </c>
      <c r="G1677" s="21" t="s">
        <v>25</v>
      </c>
      <c r="H1677" s="21" t="s">
        <v>194</v>
      </c>
      <c r="I1677" s="21" t="s">
        <v>763</v>
      </c>
    </row>
    <row r="1678" spans="1:9" x14ac:dyDescent="0.25">
      <c r="A1678" s="21" t="s">
        <v>825</v>
      </c>
      <c r="B1678">
        <v>6</v>
      </c>
      <c r="C1678" s="21" t="s">
        <v>70</v>
      </c>
      <c r="D1678" s="21" t="s">
        <v>67</v>
      </c>
      <c r="E1678">
        <v>225</v>
      </c>
      <c r="F1678">
        <v>26</v>
      </c>
      <c r="G1678" s="21" t="s">
        <v>30</v>
      </c>
      <c r="H1678" s="21" t="s">
        <v>374</v>
      </c>
      <c r="I1678" s="21" t="s">
        <v>763</v>
      </c>
    </row>
    <row r="1679" spans="1:9" x14ac:dyDescent="0.25">
      <c r="A1679" s="21" t="s">
        <v>826</v>
      </c>
      <c r="B1679">
        <v>84</v>
      </c>
      <c r="C1679" s="21" t="s">
        <v>57</v>
      </c>
      <c r="D1679" s="21" t="s">
        <v>67</v>
      </c>
      <c r="E1679">
        <v>255</v>
      </c>
      <c r="F1679">
        <v>30</v>
      </c>
      <c r="G1679" s="21" t="s">
        <v>100</v>
      </c>
      <c r="H1679" s="21" t="s">
        <v>827</v>
      </c>
      <c r="I1679" s="21" t="s">
        <v>763</v>
      </c>
    </row>
    <row r="1680" spans="1:9" x14ac:dyDescent="0.25">
      <c r="A1680" s="21" t="s">
        <v>828</v>
      </c>
      <c r="B1680">
        <v>67</v>
      </c>
      <c r="C1680" s="21" t="s">
        <v>277</v>
      </c>
      <c r="D1680" s="21" t="s">
        <v>44</v>
      </c>
      <c r="E1680">
        <v>315</v>
      </c>
      <c r="F1680">
        <v>26</v>
      </c>
      <c r="G1680" s="21" t="s">
        <v>16</v>
      </c>
      <c r="H1680" s="21" t="s">
        <v>138</v>
      </c>
      <c r="I1680" s="21" t="s">
        <v>763</v>
      </c>
    </row>
    <row r="1681" spans="1:9" x14ac:dyDescent="0.25">
      <c r="A1681" s="21" t="s">
        <v>829</v>
      </c>
      <c r="B1681">
        <v>46</v>
      </c>
      <c r="C1681" s="21" t="s">
        <v>158</v>
      </c>
      <c r="D1681" s="21" t="s">
        <v>11</v>
      </c>
      <c r="E1681">
        <v>235</v>
      </c>
      <c r="F1681">
        <v>25</v>
      </c>
      <c r="G1681" s="21" t="s">
        <v>12</v>
      </c>
      <c r="H1681" s="21" t="s">
        <v>87</v>
      </c>
      <c r="I1681" s="21" t="s">
        <v>763</v>
      </c>
    </row>
    <row r="1682" spans="1:9" x14ac:dyDescent="0.25">
      <c r="A1682" s="21" t="s">
        <v>830</v>
      </c>
      <c r="B1682">
        <v>19</v>
      </c>
      <c r="C1682" s="21" t="s">
        <v>10</v>
      </c>
      <c r="D1682" s="21" t="s">
        <v>24</v>
      </c>
      <c r="E1682">
        <v>215</v>
      </c>
      <c r="G1682" s="21" t="s">
        <v>25</v>
      </c>
      <c r="H1682" s="21" t="s">
        <v>831</v>
      </c>
      <c r="I1682" s="21" t="s">
        <v>763</v>
      </c>
    </row>
    <row r="1683" spans="1:9" x14ac:dyDescent="0.25">
      <c r="A1683" s="21" t="s">
        <v>832</v>
      </c>
      <c r="B1683">
        <v>62</v>
      </c>
      <c r="C1683" s="21" t="s">
        <v>28</v>
      </c>
      <c r="D1683" s="21" t="s">
        <v>29</v>
      </c>
      <c r="E1683">
        <v>311</v>
      </c>
      <c r="F1683">
        <v>26</v>
      </c>
      <c r="G1683" s="21" t="s">
        <v>16</v>
      </c>
      <c r="H1683" s="21" t="s">
        <v>385</v>
      </c>
      <c r="I1683" s="21" t="s">
        <v>763</v>
      </c>
    </row>
    <row r="1684" spans="1:9" x14ac:dyDescent="0.25">
      <c r="A1684" s="21" t="s">
        <v>833</v>
      </c>
      <c r="B1684">
        <v>12</v>
      </c>
      <c r="C1684" s="21" t="s">
        <v>76</v>
      </c>
      <c r="D1684" s="21" t="s">
        <v>54</v>
      </c>
      <c r="E1684">
        <v>207</v>
      </c>
      <c r="F1684">
        <v>23</v>
      </c>
      <c r="G1684" s="21" t="s">
        <v>25</v>
      </c>
      <c r="H1684" s="21" t="s">
        <v>162</v>
      </c>
      <c r="I1684" s="21" t="s">
        <v>763</v>
      </c>
    </row>
    <row r="1685" spans="1:9" x14ac:dyDescent="0.25">
      <c r="A1685" s="21" t="s">
        <v>834</v>
      </c>
      <c r="B1685">
        <v>55</v>
      </c>
      <c r="C1685" s="21" t="s">
        <v>15</v>
      </c>
      <c r="D1685" s="21" t="s">
        <v>54</v>
      </c>
      <c r="E1685">
        <v>224</v>
      </c>
      <c r="F1685">
        <v>24</v>
      </c>
      <c r="G1685" s="21" t="s">
        <v>25</v>
      </c>
      <c r="H1685" s="21" t="s">
        <v>80</v>
      </c>
      <c r="I1685" s="21" t="s">
        <v>763</v>
      </c>
    </row>
    <row r="1686" spans="1:9" x14ac:dyDescent="0.25">
      <c r="A1686" s="21" t="s">
        <v>835</v>
      </c>
      <c r="B1686">
        <v>48</v>
      </c>
      <c r="C1686" s="21" t="s">
        <v>15</v>
      </c>
      <c r="D1686" s="21" t="s">
        <v>44</v>
      </c>
      <c r="E1686">
        <v>239</v>
      </c>
      <c r="F1686">
        <v>22</v>
      </c>
      <c r="G1686" s="21" t="s">
        <v>25</v>
      </c>
      <c r="H1686" s="21" t="s">
        <v>456</v>
      </c>
      <c r="I1686" s="21" t="s">
        <v>763</v>
      </c>
    </row>
    <row r="1687" spans="1:9" x14ac:dyDescent="0.25">
      <c r="A1687" s="21" t="s">
        <v>836</v>
      </c>
      <c r="B1687">
        <v>54</v>
      </c>
      <c r="C1687" s="21" t="s">
        <v>15</v>
      </c>
      <c r="D1687" s="21" t="s">
        <v>24</v>
      </c>
      <c r="E1687">
        <v>229</v>
      </c>
      <c r="F1687">
        <v>26</v>
      </c>
      <c r="G1687" s="21" t="s">
        <v>45</v>
      </c>
      <c r="H1687" s="21" t="s">
        <v>837</v>
      </c>
      <c r="I1687" s="21" t="s">
        <v>763</v>
      </c>
    </row>
    <row r="1688" spans="1:9" x14ac:dyDescent="0.25">
      <c r="A1688" s="21" t="s">
        <v>838</v>
      </c>
      <c r="B1688">
        <v>35</v>
      </c>
      <c r="C1688" s="21" t="s">
        <v>89</v>
      </c>
      <c r="D1688" s="21" t="s">
        <v>54</v>
      </c>
      <c r="E1688">
        <v>213</v>
      </c>
      <c r="F1688">
        <v>23</v>
      </c>
      <c r="G1688" s="21" t="s">
        <v>25</v>
      </c>
      <c r="H1688" s="21" t="s">
        <v>839</v>
      </c>
      <c r="I1688" s="21" t="s">
        <v>763</v>
      </c>
    </row>
    <row r="1689" spans="1:9" x14ac:dyDescent="0.25">
      <c r="A1689" s="21" t="s">
        <v>840</v>
      </c>
      <c r="B1689">
        <v>12</v>
      </c>
      <c r="C1689" s="21" t="s">
        <v>70</v>
      </c>
      <c r="D1689" s="21" t="s">
        <v>24</v>
      </c>
      <c r="E1689">
        <v>210</v>
      </c>
      <c r="F1689">
        <v>23</v>
      </c>
      <c r="G1689" s="21" t="s">
        <v>25</v>
      </c>
      <c r="H1689" s="21" t="s">
        <v>841</v>
      </c>
      <c r="I1689" s="21" t="s">
        <v>763</v>
      </c>
    </row>
    <row r="1690" spans="1:9" x14ac:dyDescent="0.25">
      <c r="A1690" s="21" t="s">
        <v>842</v>
      </c>
      <c r="B1690">
        <v>86</v>
      </c>
      <c r="C1690" s="21" t="s">
        <v>57</v>
      </c>
      <c r="D1690" s="21" t="s">
        <v>29</v>
      </c>
      <c r="E1690">
        <v>240</v>
      </c>
      <c r="F1690">
        <v>24</v>
      </c>
      <c r="G1690" s="21" t="s">
        <v>25</v>
      </c>
      <c r="H1690" s="21" t="s">
        <v>308</v>
      </c>
      <c r="I1690" s="21" t="s">
        <v>763</v>
      </c>
    </row>
    <row r="1691" spans="1:9" x14ac:dyDescent="0.25">
      <c r="A1691" s="21" t="s">
        <v>843</v>
      </c>
      <c r="B1691">
        <v>50</v>
      </c>
      <c r="C1691" s="21" t="s">
        <v>15</v>
      </c>
      <c r="D1691" s="21" t="s">
        <v>11</v>
      </c>
      <c r="E1691">
        <v>234</v>
      </c>
      <c r="F1691">
        <v>24</v>
      </c>
      <c r="G1691" s="21" t="s">
        <v>12</v>
      </c>
      <c r="H1691" s="21" t="s">
        <v>385</v>
      </c>
      <c r="I1691" s="21" t="s">
        <v>763</v>
      </c>
    </row>
    <row r="1692" spans="1:9" x14ac:dyDescent="0.25">
      <c r="A1692" s="21" t="s">
        <v>844</v>
      </c>
      <c r="B1692">
        <v>58</v>
      </c>
      <c r="C1692" s="21" t="s">
        <v>213</v>
      </c>
      <c r="D1692" s="21" t="s">
        <v>44</v>
      </c>
      <c r="E1692">
        <v>255</v>
      </c>
      <c r="F1692">
        <v>25</v>
      </c>
      <c r="G1692" s="21" t="s">
        <v>30</v>
      </c>
      <c r="H1692" s="21" t="s">
        <v>278</v>
      </c>
      <c r="I1692" s="21" t="s">
        <v>763</v>
      </c>
    </row>
    <row r="1693" spans="1:9" x14ac:dyDescent="0.25">
      <c r="A1693" s="21" t="s">
        <v>845</v>
      </c>
      <c r="B1693">
        <v>76</v>
      </c>
      <c r="C1693" s="21" t="s">
        <v>28</v>
      </c>
      <c r="D1693" s="21" t="s">
        <v>67</v>
      </c>
      <c r="E1693">
        <v>306</v>
      </c>
      <c r="F1693">
        <v>26</v>
      </c>
      <c r="G1693" s="21" t="s">
        <v>45</v>
      </c>
      <c r="H1693" s="21" t="s">
        <v>106</v>
      </c>
      <c r="I1693" s="21" t="s">
        <v>763</v>
      </c>
    </row>
    <row r="1694" spans="1:9" x14ac:dyDescent="0.25">
      <c r="A1694" s="21" t="s">
        <v>846</v>
      </c>
      <c r="B1694">
        <v>95</v>
      </c>
      <c r="C1694" s="21" t="s">
        <v>19</v>
      </c>
      <c r="D1694" s="21" t="s">
        <v>29</v>
      </c>
      <c r="E1694">
        <v>298</v>
      </c>
      <c r="F1694">
        <v>29</v>
      </c>
      <c r="G1694" s="21" t="s">
        <v>38</v>
      </c>
      <c r="H1694" s="21" t="s">
        <v>377</v>
      </c>
      <c r="I1694" s="21" t="s">
        <v>763</v>
      </c>
    </row>
    <row r="1695" spans="1:9" x14ac:dyDescent="0.25">
      <c r="A1695" s="21" t="s">
        <v>847</v>
      </c>
      <c r="B1695">
        <v>74</v>
      </c>
      <c r="C1695" s="21" t="s">
        <v>28</v>
      </c>
      <c r="D1695" s="21" t="s">
        <v>67</v>
      </c>
      <c r="E1695">
        <v>320</v>
      </c>
      <c r="F1695">
        <v>26</v>
      </c>
      <c r="G1695" s="21" t="s">
        <v>38</v>
      </c>
      <c r="H1695" s="21" t="s">
        <v>233</v>
      </c>
      <c r="I1695" s="21" t="s">
        <v>763</v>
      </c>
    </row>
    <row r="1696" spans="1:9" x14ac:dyDescent="0.25">
      <c r="A1696" s="21" t="s">
        <v>848</v>
      </c>
      <c r="B1696">
        <v>25</v>
      </c>
      <c r="C1696" s="21" t="s">
        <v>51</v>
      </c>
      <c r="D1696" s="21" t="s">
        <v>135</v>
      </c>
      <c r="E1696">
        <v>219</v>
      </c>
      <c r="F1696">
        <v>23</v>
      </c>
      <c r="G1696" s="21" t="s">
        <v>12</v>
      </c>
      <c r="H1696" s="21" t="s">
        <v>849</v>
      </c>
      <c r="I1696" s="21" t="s">
        <v>763</v>
      </c>
    </row>
    <row r="1697" spans="1:9" x14ac:dyDescent="0.25">
      <c r="A1697" s="21" t="s">
        <v>850</v>
      </c>
      <c r="B1697">
        <v>29</v>
      </c>
      <c r="C1697" s="21" t="s">
        <v>124</v>
      </c>
      <c r="D1697" s="21" t="s">
        <v>54</v>
      </c>
      <c r="E1697">
        <v>200</v>
      </c>
      <c r="F1697">
        <v>27</v>
      </c>
      <c r="G1697" s="21" t="s">
        <v>12</v>
      </c>
      <c r="H1697" s="21" t="s">
        <v>98</v>
      </c>
      <c r="I1697" s="21" t="s">
        <v>763</v>
      </c>
    </row>
    <row r="1698" spans="1:9" x14ac:dyDescent="0.25">
      <c r="A1698" s="21" t="s">
        <v>851</v>
      </c>
      <c r="B1698">
        <v>53</v>
      </c>
      <c r="C1698" s="21" t="s">
        <v>15</v>
      </c>
      <c r="D1698" s="21" t="s">
        <v>24</v>
      </c>
      <c r="E1698">
        <v>236</v>
      </c>
      <c r="F1698">
        <v>25</v>
      </c>
      <c r="G1698" s="21" t="s">
        <v>12</v>
      </c>
      <c r="H1698" s="21" t="s">
        <v>256</v>
      </c>
      <c r="I1698" s="21" t="s">
        <v>763</v>
      </c>
    </row>
    <row r="1699" spans="1:9" x14ac:dyDescent="0.25">
      <c r="A1699" s="21" t="s">
        <v>852</v>
      </c>
      <c r="B1699">
        <v>19</v>
      </c>
      <c r="C1699" s="21" t="s">
        <v>76</v>
      </c>
      <c r="D1699" s="21" t="s">
        <v>29</v>
      </c>
      <c r="E1699">
        <v>258</v>
      </c>
      <c r="F1699">
        <v>26</v>
      </c>
      <c r="G1699" s="21" t="s">
        <v>83</v>
      </c>
      <c r="H1699" s="21" t="s">
        <v>168</v>
      </c>
      <c r="I1699" s="21" t="s">
        <v>763</v>
      </c>
    </row>
    <row r="1700" spans="1:9" x14ac:dyDescent="0.25">
      <c r="A1700" s="21" t="s">
        <v>853</v>
      </c>
      <c r="B1700">
        <v>36</v>
      </c>
      <c r="C1700" s="21" t="s">
        <v>51</v>
      </c>
      <c r="D1700" s="21" t="s">
        <v>86</v>
      </c>
      <c r="E1700">
        <v>208</v>
      </c>
      <c r="F1700">
        <v>24</v>
      </c>
      <c r="G1700" s="21" t="s">
        <v>30</v>
      </c>
      <c r="H1700" s="21" t="s">
        <v>117</v>
      </c>
      <c r="I1700" s="21" t="s">
        <v>763</v>
      </c>
    </row>
    <row r="1701" spans="1:9" x14ac:dyDescent="0.25">
      <c r="A1701" s="21" t="s">
        <v>854</v>
      </c>
      <c r="B1701">
        <v>68</v>
      </c>
      <c r="C1701" s="21" t="s">
        <v>277</v>
      </c>
      <c r="D1701" s="21" t="s">
        <v>29</v>
      </c>
      <c r="E1701">
        <v>319</v>
      </c>
      <c r="F1701">
        <v>30</v>
      </c>
      <c r="G1701" s="21" t="s">
        <v>21</v>
      </c>
      <c r="H1701" s="21" t="s">
        <v>117</v>
      </c>
      <c r="I1701" s="21" t="s">
        <v>763</v>
      </c>
    </row>
    <row r="1702" spans="1:9" x14ac:dyDescent="0.25">
      <c r="A1702" s="21" t="s">
        <v>855</v>
      </c>
      <c r="B1702">
        <v>69</v>
      </c>
      <c r="C1702" s="21" t="s">
        <v>28</v>
      </c>
      <c r="D1702" s="21" t="s">
        <v>44</v>
      </c>
      <c r="E1702">
        <v>310</v>
      </c>
      <c r="F1702">
        <v>31</v>
      </c>
      <c r="G1702" s="21" t="s">
        <v>64</v>
      </c>
      <c r="H1702" s="21" t="s">
        <v>136</v>
      </c>
      <c r="I1702" s="21" t="s">
        <v>763</v>
      </c>
    </row>
    <row r="1703" spans="1:9" x14ac:dyDescent="0.25">
      <c r="A1703" s="21" t="s">
        <v>856</v>
      </c>
      <c r="B1703">
        <v>10</v>
      </c>
      <c r="C1703" s="21" t="s">
        <v>10</v>
      </c>
      <c r="D1703" s="21" t="s">
        <v>52</v>
      </c>
      <c r="E1703">
        <v>227</v>
      </c>
      <c r="F1703">
        <v>23</v>
      </c>
      <c r="G1703" s="21" t="s">
        <v>12</v>
      </c>
      <c r="H1703" s="21" t="s">
        <v>272</v>
      </c>
      <c r="I1703" s="21" t="s">
        <v>763</v>
      </c>
    </row>
    <row r="1704" spans="1:9" x14ac:dyDescent="0.25">
      <c r="A1704" s="21" t="s">
        <v>857</v>
      </c>
      <c r="B1704">
        <v>91</v>
      </c>
      <c r="C1704" s="21" t="s">
        <v>19</v>
      </c>
      <c r="D1704" s="21" t="s">
        <v>44</v>
      </c>
      <c r="E1704">
        <v>264</v>
      </c>
      <c r="F1704">
        <v>27</v>
      </c>
      <c r="G1704" s="21" t="s">
        <v>38</v>
      </c>
      <c r="H1704" s="21" t="s">
        <v>176</v>
      </c>
      <c r="I1704" s="21" t="s">
        <v>763</v>
      </c>
    </row>
    <row r="1705" spans="1:9" x14ac:dyDescent="0.25">
      <c r="A1705" s="21" t="s">
        <v>858</v>
      </c>
      <c r="B1705">
        <v>75</v>
      </c>
      <c r="C1705" s="21" t="s">
        <v>28</v>
      </c>
      <c r="D1705" s="21" t="s">
        <v>29</v>
      </c>
      <c r="E1705">
        <v>312</v>
      </c>
      <c r="F1705">
        <v>24</v>
      </c>
      <c r="G1705" s="21" t="s">
        <v>16</v>
      </c>
      <c r="H1705" s="21" t="s">
        <v>251</v>
      </c>
      <c r="I1705" s="21" t="s">
        <v>763</v>
      </c>
    </row>
    <row r="1706" spans="1:9" x14ac:dyDescent="0.25">
      <c r="A1706" s="21" t="s">
        <v>859</v>
      </c>
      <c r="B1706">
        <v>20</v>
      </c>
      <c r="C1706" s="21" t="s">
        <v>89</v>
      </c>
      <c r="D1706" s="21" t="s">
        <v>125</v>
      </c>
      <c r="E1706">
        <v>215</v>
      </c>
      <c r="F1706">
        <v>24</v>
      </c>
      <c r="G1706" s="21" t="s">
        <v>12</v>
      </c>
      <c r="H1706" s="21" t="s">
        <v>65</v>
      </c>
      <c r="I1706" s="21" t="s">
        <v>763</v>
      </c>
    </row>
    <row r="1707" spans="1:9" x14ac:dyDescent="0.25">
      <c r="A1707" s="21" t="s">
        <v>860</v>
      </c>
      <c r="B1707">
        <v>23</v>
      </c>
      <c r="C1707" s="21" t="s">
        <v>48</v>
      </c>
      <c r="D1707" s="21" t="s">
        <v>11</v>
      </c>
      <c r="E1707">
        <v>194</v>
      </c>
      <c r="F1707">
        <v>23</v>
      </c>
      <c r="G1707" s="21" t="s">
        <v>25</v>
      </c>
      <c r="H1707" s="21" t="s">
        <v>109</v>
      </c>
      <c r="I1707" s="21" t="s">
        <v>763</v>
      </c>
    </row>
    <row r="1708" spans="1:9" x14ac:dyDescent="0.25">
      <c r="A1708" s="21" t="s">
        <v>861</v>
      </c>
      <c r="B1708">
        <v>73</v>
      </c>
      <c r="C1708" s="21" t="s">
        <v>140</v>
      </c>
      <c r="D1708" s="21" t="s">
        <v>20</v>
      </c>
      <c r="E1708">
        <v>320</v>
      </c>
      <c r="F1708">
        <v>25</v>
      </c>
      <c r="G1708" s="21" t="s">
        <v>83</v>
      </c>
      <c r="H1708" s="21" t="s">
        <v>267</v>
      </c>
      <c r="I1708" s="21" t="s">
        <v>763</v>
      </c>
    </row>
    <row r="1709" spans="1:9" x14ac:dyDescent="0.25">
      <c r="A1709" s="21" t="s">
        <v>862</v>
      </c>
      <c r="B1709">
        <v>18</v>
      </c>
      <c r="C1709" s="21" t="s">
        <v>10</v>
      </c>
      <c r="D1709" s="21" t="s">
        <v>24</v>
      </c>
      <c r="E1709">
        <v>215</v>
      </c>
      <c r="F1709">
        <v>27</v>
      </c>
      <c r="G1709" s="21" t="s">
        <v>45</v>
      </c>
      <c r="H1709" s="21" t="s">
        <v>516</v>
      </c>
      <c r="I1709" s="21" t="s">
        <v>763</v>
      </c>
    </row>
    <row r="1710" spans="1:9" x14ac:dyDescent="0.25">
      <c r="A1710" s="21" t="s">
        <v>863</v>
      </c>
      <c r="B1710">
        <v>97</v>
      </c>
      <c r="C1710" s="21" t="s">
        <v>114</v>
      </c>
      <c r="D1710" s="21" t="s">
        <v>44</v>
      </c>
      <c r="E1710">
        <v>305</v>
      </c>
      <c r="F1710">
        <v>23</v>
      </c>
      <c r="G1710" s="21" t="s">
        <v>30</v>
      </c>
      <c r="H1710" s="21" t="s">
        <v>280</v>
      </c>
      <c r="I1710" s="21" t="s">
        <v>763</v>
      </c>
    </row>
    <row r="1711" spans="1:9" x14ac:dyDescent="0.25">
      <c r="A1711" s="21" t="s">
        <v>864</v>
      </c>
      <c r="B1711">
        <v>44</v>
      </c>
      <c r="C1711" s="21" t="s">
        <v>213</v>
      </c>
      <c r="D1711" s="21" t="s">
        <v>29</v>
      </c>
      <c r="E1711">
        <v>275</v>
      </c>
      <c r="F1711">
        <v>21</v>
      </c>
      <c r="G1711" s="21" t="s">
        <v>25</v>
      </c>
      <c r="H1711" s="21" t="s">
        <v>196</v>
      </c>
      <c r="I1711" s="21" t="s">
        <v>763</v>
      </c>
    </row>
    <row r="1712" spans="1:9" x14ac:dyDescent="0.25">
      <c r="A1712" s="21" t="s">
        <v>865</v>
      </c>
      <c r="B1712">
        <v>21</v>
      </c>
      <c r="C1712" s="21" t="s">
        <v>124</v>
      </c>
      <c r="D1712" s="21" t="s">
        <v>135</v>
      </c>
      <c r="E1712">
        <v>187</v>
      </c>
      <c r="F1712">
        <v>29</v>
      </c>
      <c r="G1712" s="21" t="s">
        <v>45</v>
      </c>
      <c r="H1712" s="21" t="s">
        <v>308</v>
      </c>
      <c r="I1712" s="21" t="s">
        <v>763</v>
      </c>
    </row>
    <row r="1713" spans="1:9" x14ac:dyDescent="0.25">
      <c r="A1713" s="21" t="s">
        <v>866</v>
      </c>
      <c r="B1713">
        <v>99</v>
      </c>
      <c r="C1713" s="21" t="s">
        <v>114</v>
      </c>
      <c r="D1713" s="21" t="s">
        <v>35</v>
      </c>
      <c r="E1713">
        <v>305</v>
      </c>
      <c r="F1713">
        <v>25</v>
      </c>
      <c r="G1713" s="21" t="s">
        <v>30</v>
      </c>
      <c r="H1713" s="21" t="s">
        <v>55</v>
      </c>
      <c r="I1713" s="21" t="s">
        <v>763</v>
      </c>
    </row>
    <row r="1714" spans="1:9" x14ac:dyDescent="0.25">
      <c r="A1714" s="21" t="s">
        <v>867</v>
      </c>
      <c r="B1714">
        <v>42</v>
      </c>
      <c r="C1714" s="21" t="s">
        <v>89</v>
      </c>
      <c r="D1714" s="21" t="s">
        <v>11</v>
      </c>
      <c r="E1714">
        <v>209</v>
      </c>
      <c r="F1714">
        <v>25</v>
      </c>
      <c r="G1714" s="21" t="s">
        <v>16</v>
      </c>
      <c r="H1714" s="21" t="s">
        <v>456</v>
      </c>
      <c r="I1714" s="21" t="s">
        <v>763</v>
      </c>
    </row>
    <row r="1715" spans="1:9" x14ac:dyDescent="0.25">
      <c r="A1715" s="21" t="s">
        <v>868</v>
      </c>
      <c r="B1715">
        <v>15</v>
      </c>
      <c r="C1715" s="21" t="s">
        <v>10</v>
      </c>
      <c r="D1715" s="21" t="s">
        <v>44</v>
      </c>
      <c r="E1715">
        <v>195</v>
      </c>
      <c r="G1715" s="21" t="s">
        <v>25</v>
      </c>
      <c r="H1715" s="21" t="s">
        <v>154</v>
      </c>
      <c r="I1715" s="21" t="s">
        <v>763</v>
      </c>
    </row>
    <row r="1716" spans="1:9" x14ac:dyDescent="0.25">
      <c r="A1716" s="21" t="s">
        <v>869</v>
      </c>
      <c r="B1716">
        <v>92</v>
      </c>
      <c r="C1716" s="21" t="s">
        <v>319</v>
      </c>
      <c r="D1716" s="21" t="s">
        <v>67</v>
      </c>
      <c r="E1716">
        <v>255</v>
      </c>
      <c r="F1716">
        <v>24</v>
      </c>
      <c r="G1716" s="21" t="s">
        <v>30</v>
      </c>
      <c r="H1716" s="21" t="s">
        <v>308</v>
      </c>
      <c r="I1716" s="21" t="s">
        <v>763</v>
      </c>
    </row>
    <row r="1717" spans="1:9" x14ac:dyDescent="0.25">
      <c r="A1717" s="21" t="s">
        <v>1357</v>
      </c>
      <c r="B1717">
        <v>26</v>
      </c>
      <c r="C1717" s="21" t="s">
        <v>51</v>
      </c>
      <c r="D1717" s="21" t="s">
        <v>54</v>
      </c>
      <c r="E1717">
        <v>197</v>
      </c>
      <c r="F1717">
        <v>23</v>
      </c>
      <c r="G1717" s="21" t="s">
        <v>12</v>
      </c>
      <c r="H1717" s="21" t="s">
        <v>274</v>
      </c>
      <c r="I1717" s="21" t="s">
        <v>1356</v>
      </c>
    </row>
    <row r="1718" spans="1:9" x14ac:dyDescent="0.25">
      <c r="A1718" s="21" t="s">
        <v>1358</v>
      </c>
      <c r="B1718">
        <v>71</v>
      </c>
      <c r="C1718" s="21" t="s">
        <v>28</v>
      </c>
      <c r="D1718" s="21" t="s">
        <v>20</v>
      </c>
      <c r="E1718">
        <v>308</v>
      </c>
      <c r="F1718">
        <v>24</v>
      </c>
      <c r="G1718" s="21" t="s">
        <v>25</v>
      </c>
      <c r="H1718" s="21" t="s">
        <v>168</v>
      </c>
      <c r="I1718" s="21" t="s">
        <v>1356</v>
      </c>
    </row>
    <row r="1719" spans="1:9" x14ac:dyDescent="0.25">
      <c r="A1719" s="21" t="s">
        <v>1359</v>
      </c>
      <c r="B1719">
        <v>72</v>
      </c>
      <c r="C1719" s="21" t="s">
        <v>140</v>
      </c>
      <c r="D1719" s="21" t="s">
        <v>29</v>
      </c>
      <c r="E1719">
        <v>304</v>
      </c>
      <c r="F1719">
        <v>31</v>
      </c>
      <c r="G1719" s="21" t="s">
        <v>111</v>
      </c>
      <c r="H1719" s="21" t="s">
        <v>4780</v>
      </c>
      <c r="I1719" s="21" t="s">
        <v>1356</v>
      </c>
    </row>
    <row r="1720" spans="1:9" x14ac:dyDescent="0.25">
      <c r="A1720" s="21" t="s">
        <v>1360</v>
      </c>
      <c r="B1720">
        <v>55</v>
      </c>
      <c r="C1720" s="21" t="s">
        <v>15</v>
      </c>
      <c r="D1720" s="21" t="s">
        <v>24</v>
      </c>
      <c r="E1720">
        <v>225</v>
      </c>
      <c r="F1720">
        <v>25</v>
      </c>
      <c r="G1720" s="21" t="s">
        <v>45</v>
      </c>
      <c r="H1720" s="21" t="s">
        <v>36</v>
      </c>
      <c r="I1720" s="21" t="s">
        <v>1356</v>
      </c>
    </row>
    <row r="1721" spans="1:9" x14ac:dyDescent="0.25">
      <c r="A1721" s="21" t="s">
        <v>1361</v>
      </c>
      <c r="B1721">
        <v>61</v>
      </c>
      <c r="C1721" s="21" t="s">
        <v>28</v>
      </c>
      <c r="D1721" s="21" t="s">
        <v>35</v>
      </c>
      <c r="E1721">
        <v>298</v>
      </c>
      <c r="F1721">
        <v>24</v>
      </c>
      <c r="G1721" s="21" t="s">
        <v>83</v>
      </c>
      <c r="H1721" s="21" t="s">
        <v>117</v>
      </c>
      <c r="I1721" s="21" t="s">
        <v>1356</v>
      </c>
    </row>
    <row r="1722" spans="1:9" x14ac:dyDescent="0.25">
      <c r="A1722" s="21" t="s">
        <v>1362</v>
      </c>
      <c r="B1722">
        <v>3</v>
      </c>
      <c r="C1722" s="21" t="s">
        <v>10</v>
      </c>
      <c r="D1722" s="21" t="s">
        <v>54</v>
      </c>
      <c r="E1722">
        <v>197</v>
      </c>
      <c r="F1722">
        <v>24</v>
      </c>
      <c r="G1722" s="21" t="s">
        <v>12</v>
      </c>
      <c r="H1722" s="21" t="s">
        <v>683</v>
      </c>
      <c r="I1722" s="21" t="s">
        <v>1356</v>
      </c>
    </row>
    <row r="1723" spans="1:9" x14ac:dyDescent="0.25">
      <c r="A1723" s="21" t="s">
        <v>1363</v>
      </c>
      <c r="B1723">
        <v>5</v>
      </c>
      <c r="C1723" s="21" t="s">
        <v>70</v>
      </c>
      <c r="D1723" s="21" t="s">
        <v>24</v>
      </c>
      <c r="E1723">
        <v>215</v>
      </c>
      <c r="F1723">
        <v>29</v>
      </c>
      <c r="G1723" s="21" t="s">
        <v>64</v>
      </c>
      <c r="H1723" s="21" t="s">
        <v>231</v>
      </c>
      <c r="I1723" s="21" t="s">
        <v>1356</v>
      </c>
    </row>
    <row r="1724" spans="1:9" x14ac:dyDescent="0.25">
      <c r="A1724" s="21" t="s">
        <v>1364</v>
      </c>
      <c r="B1724">
        <v>70</v>
      </c>
      <c r="C1724" s="21" t="s">
        <v>19</v>
      </c>
      <c r="D1724" s="21" t="s">
        <v>29</v>
      </c>
      <c r="E1724">
        <v>295</v>
      </c>
      <c r="F1724">
        <v>28</v>
      </c>
      <c r="G1724" s="21" t="s">
        <v>38</v>
      </c>
      <c r="H1724" s="21" t="s">
        <v>46</v>
      </c>
      <c r="I1724" s="21" t="s">
        <v>1356</v>
      </c>
    </row>
    <row r="1725" spans="1:9" x14ac:dyDescent="0.25">
      <c r="A1725" s="21" t="s">
        <v>1365</v>
      </c>
      <c r="B1725">
        <v>22</v>
      </c>
      <c r="C1725" s="21" t="s">
        <v>124</v>
      </c>
      <c r="D1725" s="21" t="s">
        <v>54</v>
      </c>
      <c r="E1725">
        <v>190</v>
      </c>
      <c r="F1725">
        <v>26</v>
      </c>
      <c r="G1725" s="21" t="s">
        <v>30</v>
      </c>
      <c r="H1725" s="21" t="s">
        <v>473</v>
      </c>
      <c r="I1725" s="21" t="s">
        <v>1356</v>
      </c>
    </row>
    <row r="1726" spans="1:9" x14ac:dyDescent="0.25">
      <c r="A1726" s="21" t="s">
        <v>1366</v>
      </c>
      <c r="B1726">
        <v>93</v>
      </c>
      <c r="C1726" s="21" t="s">
        <v>19</v>
      </c>
      <c r="D1726" s="21" t="s">
        <v>44</v>
      </c>
      <c r="E1726">
        <v>269</v>
      </c>
      <c r="F1726">
        <v>23</v>
      </c>
      <c r="G1726" s="21" t="s">
        <v>25</v>
      </c>
      <c r="H1726" s="21" t="s">
        <v>176</v>
      </c>
      <c r="I1726" s="21" t="s">
        <v>1356</v>
      </c>
    </row>
    <row r="1727" spans="1:9" x14ac:dyDescent="0.25">
      <c r="A1727" s="21" t="s">
        <v>1367</v>
      </c>
      <c r="B1727">
        <v>82</v>
      </c>
      <c r="C1727" s="21" t="s">
        <v>57</v>
      </c>
      <c r="D1727" s="21" t="s">
        <v>44</v>
      </c>
      <c r="E1727">
        <v>248</v>
      </c>
      <c r="F1727">
        <v>26</v>
      </c>
      <c r="G1727" s="21" t="s">
        <v>38</v>
      </c>
      <c r="H1727" s="21" t="s">
        <v>556</v>
      </c>
      <c r="I1727" s="21" t="s">
        <v>1356</v>
      </c>
    </row>
    <row r="1728" spans="1:9" x14ac:dyDescent="0.25">
      <c r="A1728" s="21" t="s">
        <v>1368</v>
      </c>
      <c r="B1728">
        <v>79</v>
      </c>
      <c r="C1728" s="21" t="s">
        <v>140</v>
      </c>
      <c r="D1728" s="21" t="s">
        <v>67</v>
      </c>
      <c r="E1728">
        <v>313</v>
      </c>
      <c r="F1728">
        <v>24</v>
      </c>
      <c r="G1728" s="21" t="s">
        <v>30</v>
      </c>
      <c r="H1728" s="21" t="s">
        <v>328</v>
      </c>
      <c r="I1728" s="21" t="s">
        <v>1356</v>
      </c>
    </row>
    <row r="1729" spans="1:9" x14ac:dyDescent="0.25">
      <c r="A1729" s="21" t="s">
        <v>1369</v>
      </c>
      <c r="B1729">
        <v>48</v>
      </c>
      <c r="C1729" s="21" t="s">
        <v>57</v>
      </c>
      <c r="D1729" s="21" t="s">
        <v>44</v>
      </c>
      <c r="E1729">
        <v>226</v>
      </c>
      <c r="F1729">
        <v>24</v>
      </c>
      <c r="G1729" s="21" t="s">
        <v>25</v>
      </c>
      <c r="H1729" s="21" t="s">
        <v>1370</v>
      </c>
      <c r="I1729" s="21" t="s">
        <v>1356</v>
      </c>
    </row>
    <row r="1730" spans="1:9" x14ac:dyDescent="0.25">
      <c r="A1730" s="21" t="s">
        <v>1371</v>
      </c>
      <c r="B1730">
        <v>89</v>
      </c>
      <c r="C1730" s="21" t="s">
        <v>10</v>
      </c>
      <c r="D1730" s="21" t="s">
        <v>44</v>
      </c>
      <c r="E1730">
        <v>205</v>
      </c>
      <c r="F1730">
        <v>28</v>
      </c>
      <c r="G1730" s="21" t="s">
        <v>38</v>
      </c>
      <c r="H1730" s="21" t="s">
        <v>516</v>
      </c>
      <c r="I1730" s="21" t="s">
        <v>1356</v>
      </c>
    </row>
    <row r="1731" spans="1:9" x14ac:dyDescent="0.25">
      <c r="A1731" s="21" t="s">
        <v>1372</v>
      </c>
      <c r="B1731">
        <v>85</v>
      </c>
      <c r="C1731" s="21" t="s">
        <v>10</v>
      </c>
      <c r="D1731" s="21" t="s">
        <v>11</v>
      </c>
      <c r="E1731">
        <v>198</v>
      </c>
      <c r="F1731">
        <v>27</v>
      </c>
      <c r="G1731" s="21" t="s">
        <v>16</v>
      </c>
      <c r="H1731" s="21" t="s">
        <v>370</v>
      </c>
      <c r="I1731" s="21" t="s">
        <v>1356</v>
      </c>
    </row>
    <row r="1732" spans="1:9" x14ac:dyDescent="0.25">
      <c r="A1732" s="21" t="s">
        <v>1373</v>
      </c>
      <c r="B1732">
        <v>27</v>
      </c>
      <c r="C1732" s="21" t="s">
        <v>124</v>
      </c>
      <c r="D1732" s="21" t="s">
        <v>125</v>
      </c>
      <c r="E1732">
        <v>185</v>
      </c>
      <c r="F1732">
        <v>26</v>
      </c>
      <c r="G1732" s="21" t="s">
        <v>45</v>
      </c>
      <c r="H1732" s="21" t="s">
        <v>1374</v>
      </c>
      <c r="I1732" s="21" t="s">
        <v>1356</v>
      </c>
    </row>
    <row r="1733" spans="1:9" x14ac:dyDescent="0.25">
      <c r="A1733" s="21" t="s">
        <v>1375</v>
      </c>
      <c r="B1733">
        <v>98</v>
      </c>
      <c r="C1733" s="21" t="s">
        <v>114</v>
      </c>
      <c r="D1733" s="21" t="s">
        <v>20</v>
      </c>
      <c r="E1733">
        <v>330</v>
      </c>
      <c r="F1733">
        <v>25</v>
      </c>
      <c r="G1733" s="21" t="s">
        <v>12</v>
      </c>
      <c r="H1733" s="21" t="s">
        <v>233</v>
      </c>
      <c r="I1733" s="21" t="s">
        <v>1356</v>
      </c>
    </row>
    <row r="1734" spans="1:9" x14ac:dyDescent="0.25">
      <c r="A1734" s="21" t="s">
        <v>1376</v>
      </c>
      <c r="B1734">
        <v>83</v>
      </c>
      <c r="C1734" s="21" t="s">
        <v>10</v>
      </c>
      <c r="D1734" s="21" t="s">
        <v>125</v>
      </c>
      <c r="E1734">
        <v>200</v>
      </c>
      <c r="F1734">
        <v>26</v>
      </c>
      <c r="G1734" s="21" t="s">
        <v>83</v>
      </c>
      <c r="H1734" s="21" t="s">
        <v>1220</v>
      </c>
      <c r="I1734" s="21" t="s">
        <v>1356</v>
      </c>
    </row>
    <row r="1735" spans="1:9" x14ac:dyDescent="0.25">
      <c r="A1735" s="21" t="s">
        <v>1377</v>
      </c>
      <c r="B1735">
        <v>63</v>
      </c>
      <c r="C1735" s="21" t="s">
        <v>28</v>
      </c>
      <c r="D1735" s="21" t="s">
        <v>67</v>
      </c>
      <c r="E1735">
        <v>315</v>
      </c>
      <c r="F1735">
        <v>25</v>
      </c>
      <c r="G1735" s="21" t="s">
        <v>16</v>
      </c>
      <c r="H1735" s="21" t="s">
        <v>68</v>
      </c>
      <c r="I1735" s="21" t="s">
        <v>1356</v>
      </c>
    </row>
    <row r="1736" spans="1:9" x14ac:dyDescent="0.25">
      <c r="A1736" s="21" t="s">
        <v>1378</v>
      </c>
      <c r="B1736">
        <v>64</v>
      </c>
      <c r="C1736" s="21" t="s">
        <v>28</v>
      </c>
      <c r="D1736" s="21" t="s">
        <v>20</v>
      </c>
      <c r="E1736">
        <v>301</v>
      </c>
      <c r="F1736">
        <v>24</v>
      </c>
      <c r="G1736" s="21" t="s">
        <v>25</v>
      </c>
      <c r="H1736" s="21" t="s">
        <v>13</v>
      </c>
      <c r="I1736" s="21" t="s">
        <v>1356</v>
      </c>
    </row>
    <row r="1737" spans="1:9" x14ac:dyDescent="0.25">
      <c r="A1737" s="21" t="s">
        <v>1379</v>
      </c>
      <c r="B1737">
        <v>23</v>
      </c>
      <c r="C1737" s="21" t="s">
        <v>51</v>
      </c>
      <c r="D1737" s="21" t="s">
        <v>54</v>
      </c>
      <c r="E1737">
        <v>228</v>
      </c>
      <c r="F1737">
        <v>24</v>
      </c>
      <c r="G1737" s="21" t="s">
        <v>83</v>
      </c>
      <c r="H1737" s="21" t="s">
        <v>304</v>
      </c>
      <c r="I1737" s="21" t="s">
        <v>1356</v>
      </c>
    </row>
    <row r="1738" spans="1:9" x14ac:dyDescent="0.25">
      <c r="A1738" s="21" t="s">
        <v>1380</v>
      </c>
      <c r="B1738">
        <v>2</v>
      </c>
      <c r="C1738" s="21" t="s">
        <v>51</v>
      </c>
      <c r="D1738" s="21" t="s">
        <v>135</v>
      </c>
      <c r="E1738">
        <v>210</v>
      </c>
      <c r="F1738">
        <v>26</v>
      </c>
      <c r="G1738" s="21" t="s">
        <v>45</v>
      </c>
      <c r="H1738" s="21" t="s">
        <v>199</v>
      </c>
      <c r="I1738" s="21" t="s">
        <v>1356</v>
      </c>
    </row>
    <row r="1739" spans="1:9" x14ac:dyDescent="0.25">
      <c r="A1739" s="21" t="s">
        <v>1381</v>
      </c>
      <c r="B1739">
        <v>49</v>
      </c>
      <c r="C1739" s="21" t="s">
        <v>15</v>
      </c>
      <c r="D1739" s="21" t="s">
        <v>52</v>
      </c>
      <c r="E1739">
        <v>236</v>
      </c>
      <c r="F1739">
        <v>29</v>
      </c>
      <c r="G1739" s="21" t="s">
        <v>16</v>
      </c>
      <c r="H1739" s="21" t="s">
        <v>101</v>
      </c>
      <c r="I1739" s="21" t="s">
        <v>1356</v>
      </c>
    </row>
    <row r="1740" spans="1:9" x14ac:dyDescent="0.25">
      <c r="A1740" s="21" t="s">
        <v>1382</v>
      </c>
      <c r="B1740">
        <v>74</v>
      </c>
      <c r="C1740" s="21" t="s">
        <v>140</v>
      </c>
      <c r="D1740" s="21" t="s">
        <v>29</v>
      </c>
      <c r="E1740">
        <v>310</v>
      </c>
      <c r="F1740">
        <v>24</v>
      </c>
      <c r="G1740" s="21" t="s">
        <v>30</v>
      </c>
      <c r="H1740" s="21" t="s">
        <v>31</v>
      </c>
      <c r="I1740" s="21" t="s">
        <v>1356</v>
      </c>
    </row>
    <row r="1741" spans="1:9" x14ac:dyDescent="0.25">
      <c r="A1741" s="21" t="s">
        <v>1383</v>
      </c>
      <c r="B1741">
        <v>87</v>
      </c>
      <c r="C1741" s="21" t="s">
        <v>10</v>
      </c>
      <c r="D1741" s="21" t="s">
        <v>24</v>
      </c>
      <c r="E1741">
        <v>206</v>
      </c>
      <c r="F1741">
        <v>22</v>
      </c>
      <c r="G1741" s="21" t="s">
        <v>25</v>
      </c>
      <c r="H1741" s="21" t="s">
        <v>101</v>
      </c>
      <c r="I1741" s="21" t="s">
        <v>1356</v>
      </c>
    </row>
    <row r="1742" spans="1:9" x14ac:dyDescent="0.25">
      <c r="A1742" s="21" t="s">
        <v>1384</v>
      </c>
      <c r="B1742">
        <v>42</v>
      </c>
      <c r="C1742" s="21" t="s">
        <v>89</v>
      </c>
      <c r="D1742" s="21" t="s">
        <v>52</v>
      </c>
      <c r="E1742">
        <v>205</v>
      </c>
      <c r="F1742">
        <v>29</v>
      </c>
      <c r="G1742" s="21" t="s">
        <v>100</v>
      </c>
      <c r="H1742" s="21" t="s">
        <v>176</v>
      </c>
      <c r="I1742" s="21" t="s">
        <v>1356</v>
      </c>
    </row>
    <row r="1743" spans="1:9" x14ac:dyDescent="0.25">
      <c r="A1743" s="21" t="s">
        <v>1385</v>
      </c>
      <c r="B1743">
        <v>44</v>
      </c>
      <c r="C1743" s="21" t="s">
        <v>158</v>
      </c>
      <c r="D1743" s="21" t="s">
        <v>44</v>
      </c>
      <c r="E1743">
        <v>237</v>
      </c>
      <c r="F1743">
        <v>25</v>
      </c>
      <c r="G1743" s="21" t="s">
        <v>12</v>
      </c>
      <c r="H1743" s="21" t="s">
        <v>267</v>
      </c>
      <c r="I1743" s="21" t="s">
        <v>1356</v>
      </c>
    </row>
    <row r="1744" spans="1:9" x14ac:dyDescent="0.25">
      <c r="A1744" s="21" t="s">
        <v>1386</v>
      </c>
      <c r="B1744">
        <v>37</v>
      </c>
      <c r="C1744" s="21" t="s">
        <v>51</v>
      </c>
      <c r="D1744" s="21" t="s">
        <v>125</v>
      </c>
      <c r="E1744">
        <v>194</v>
      </c>
      <c r="F1744">
        <v>25</v>
      </c>
      <c r="G1744" s="21" t="s">
        <v>16</v>
      </c>
      <c r="H1744" s="21" t="s">
        <v>274</v>
      </c>
      <c r="I1744" s="21" t="s">
        <v>1356</v>
      </c>
    </row>
    <row r="1745" spans="1:9" x14ac:dyDescent="0.25">
      <c r="A1745" s="21" t="s">
        <v>1387</v>
      </c>
      <c r="B1745">
        <v>88</v>
      </c>
      <c r="C1745" s="21" t="s">
        <v>57</v>
      </c>
      <c r="D1745" s="21" t="s">
        <v>67</v>
      </c>
      <c r="E1745">
        <v>247</v>
      </c>
      <c r="F1745">
        <v>26</v>
      </c>
      <c r="G1745" s="21" t="s">
        <v>45</v>
      </c>
      <c r="H1745" s="21" t="s">
        <v>3251</v>
      </c>
      <c r="I1745" s="21" t="s">
        <v>1356</v>
      </c>
    </row>
    <row r="1746" spans="1:9" x14ac:dyDescent="0.25">
      <c r="A1746" s="21" t="s">
        <v>1388</v>
      </c>
      <c r="B1746">
        <v>53</v>
      </c>
      <c r="C1746" s="21" t="s">
        <v>213</v>
      </c>
      <c r="D1746" s="21" t="s">
        <v>44</v>
      </c>
      <c r="E1746">
        <v>232</v>
      </c>
      <c r="F1746">
        <v>24</v>
      </c>
      <c r="G1746" s="21" t="s">
        <v>25</v>
      </c>
      <c r="H1746" s="21" t="s">
        <v>226</v>
      </c>
      <c r="I1746" s="21" t="s">
        <v>1356</v>
      </c>
    </row>
    <row r="1747" spans="1:9" x14ac:dyDescent="0.25">
      <c r="A1747" s="21" t="s">
        <v>1389</v>
      </c>
      <c r="B1747">
        <v>96</v>
      </c>
      <c r="C1747" s="21" t="s">
        <v>15</v>
      </c>
      <c r="D1747" s="21" t="s">
        <v>29</v>
      </c>
      <c r="E1747">
        <v>267</v>
      </c>
      <c r="F1747">
        <v>25</v>
      </c>
      <c r="G1747" s="21" t="s">
        <v>16</v>
      </c>
      <c r="H1747" s="21" t="s">
        <v>280</v>
      </c>
      <c r="I1747" s="21" t="s">
        <v>1356</v>
      </c>
    </row>
    <row r="1748" spans="1:9" x14ac:dyDescent="0.25">
      <c r="A1748" s="21" t="s">
        <v>1390</v>
      </c>
      <c r="B1748">
        <v>33</v>
      </c>
      <c r="C1748" s="21" t="s">
        <v>48</v>
      </c>
      <c r="D1748" s="21" t="s">
        <v>24</v>
      </c>
      <c r="E1748">
        <v>211</v>
      </c>
      <c r="F1748">
        <v>24</v>
      </c>
      <c r="G1748" s="21" t="s">
        <v>25</v>
      </c>
      <c r="H1748" s="21" t="s">
        <v>572</v>
      </c>
      <c r="I1748" s="21" t="s">
        <v>1356</v>
      </c>
    </row>
    <row r="1749" spans="1:9" x14ac:dyDescent="0.25">
      <c r="A1749" s="21" t="s">
        <v>1391</v>
      </c>
      <c r="B1749">
        <v>59</v>
      </c>
      <c r="C1749" s="21" t="s">
        <v>193</v>
      </c>
      <c r="D1749" s="21" t="s">
        <v>11</v>
      </c>
      <c r="E1749">
        <v>205</v>
      </c>
      <c r="G1749" s="21" t="s">
        <v>25</v>
      </c>
      <c r="H1749" s="21" t="s">
        <v>754</v>
      </c>
      <c r="I1749" s="21" t="s">
        <v>1356</v>
      </c>
    </row>
    <row r="1750" spans="1:9" x14ac:dyDescent="0.25">
      <c r="A1750" s="21" t="s">
        <v>1392</v>
      </c>
      <c r="B1750">
        <v>10</v>
      </c>
      <c r="C1750" s="21" t="s">
        <v>10</v>
      </c>
      <c r="D1750" s="21" t="s">
        <v>125</v>
      </c>
      <c r="E1750">
        <v>185</v>
      </c>
      <c r="F1750">
        <v>28</v>
      </c>
      <c r="G1750" s="21" t="s">
        <v>100</v>
      </c>
      <c r="H1750" s="21" t="s">
        <v>1175</v>
      </c>
      <c r="I1750" s="21" t="s">
        <v>1356</v>
      </c>
    </row>
    <row r="1751" spans="1:9" x14ac:dyDescent="0.25">
      <c r="A1751" s="21" t="s">
        <v>1393</v>
      </c>
      <c r="B1751">
        <v>41</v>
      </c>
      <c r="C1751" s="21" t="s">
        <v>15</v>
      </c>
      <c r="D1751" s="21" t="s">
        <v>52</v>
      </c>
      <c r="E1751">
        <v>245</v>
      </c>
      <c r="F1751">
        <v>24</v>
      </c>
      <c r="G1751" s="21" t="s">
        <v>30</v>
      </c>
      <c r="H1751" s="21" t="s">
        <v>705</v>
      </c>
      <c r="I1751" s="21" t="s">
        <v>1356</v>
      </c>
    </row>
    <row r="1752" spans="1:9" x14ac:dyDescent="0.25">
      <c r="A1752" s="21" t="s">
        <v>1394</v>
      </c>
      <c r="B1752">
        <v>8</v>
      </c>
      <c r="C1752" s="21" t="s">
        <v>89</v>
      </c>
      <c r="D1752" s="21" t="s">
        <v>52</v>
      </c>
      <c r="E1752">
        <v>196</v>
      </c>
      <c r="F1752">
        <v>22</v>
      </c>
      <c r="G1752" s="21" t="s">
        <v>30</v>
      </c>
      <c r="H1752" s="21" t="s">
        <v>22</v>
      </c>
      <c r="I1752" s="21" t="s">
        <v>1356</v>
      </c>
    </row>
    <row r="1753" spans="1:9" x14ac:dyDescent="0.25">
      <c r="A1753" s="21" t="s">
        <v>1395</v>
      </c>
      <c r="B1753">
        <v>25</v>
      </c>
      <c r="C1753" s="21" t="s">
        <v>48</v>
      </c>
      <c r="D1753" s="21" t="s">
        <v>52</v>
      </c>
      <c r="E1753">
        <v>203</v>
      </c>
      <c r="F1753">
        <v>29</v>
      </c>
      <c r="G1753" s="21" t="s">
        <v>100</v>
      </c>
      <c r="H1753" s="21" t="s">
        <v>87</v>
      </c>
      <c r="I1753" s="21" t="s">
        <v>1356</v>
      </c>
    </row>
    <row r="1754" spans="1:9" x14ac:dyDescent="0.25">
      <c r="A1754" s="21" t="s">
        <v>1396</v>
      </c>
      <c r="B1754">
        <v>68</v>
      </c>
      <c r="C1754" s="21" t="s">
        <v>277</v>
      </c>
      <c r="D1754" s="21" t="s">
        <v>67</v>
      </c>
      <c r="E1754">
        <v>327</v>
      </c>
      <c r="F1754">
        <v>25</v>
      </c>
      <c r="G1754" s="21" t="s">
        <v>12</v>
      </c>
      <c r="H1754" s="21" t="s">
        <v>145</v>
      </c>
      <c r="I1754" s="21" t="s">
        <v>1356</v>
      </c>
    </row>
    <row r="1755" spans="1:9" x14ac:dyDescent="0.25">
      <c r="A1755" s="21" t="s">
        <v>1397</v>
      </c>
      <c r="B1755">
        <v>9</v>
      </c>
      <c r="C1755" s="21" t="s">
        <v>48</v>
      </c>
      <c r="D1755" s="21" t="s">
        <v>54</v>
      </c>
      <c r="E1755">
        <v>197</v>
      </c>
      <c r="F1755">
        <v>22</v>
      </c>
      <c r="G1755" s="21" t="s">
        <v>12</v>
      </c>
      <c r="H1755" s="21" t="s">
        <v>65</v>
      </c>
      <c r="I1755" s="21" t="s">
        <v>1356</v>
      </c>
    </row>
    <row r="1756" spans="1:9" x14ac:dyDescent="0.25">
      <c r="A1756" s="21" t="s">
        <v>1398</v>
      </c>
      <c r="B1756">
        <v>30</v>
      </c>
      <c r="C1756" s="21" t="s">
        <v>91</v>
      </c>
      <c r="D1756" s="21" t="s">
        <v>52</v>
      </c>
      <c r="E1756">
        <v>240</v>
      </c>
      <c r="F1756">
        <v>26</v>
      </c>
      <c r="G1756" s="21" t="s">
        <v>16</v>
      </c>
      <c r="H1756" s="21" t="s">
        <v>68</v>
      </c>
      <c r="I1756" s="21" t="s">
        <v>1356</v>
      </c>
    </row>
    <row r="1757" spans="1:9" x14ac:dyDescent="0.25">
      <c r="A1757" s="21" t="s">
        <v>1399</v>
      </c>
      <c r="C1757" s="21" t="s">
        <v>15</v>
      </c>
      <c r="D1757" s="21" t="s">
        <v>24</v>
      </c>
      <c r="E1757">
        <v>247</v>
      </c>
      <c r="F1757">
        <v>33</v>
      </c>
      <c r="G1757" s="21" t="s">
        <v>186</v>
      </c>
      <c r="H1757" s="21" t="s">
        <v>115</v>
      </c>
      <c r="I1757" s="21" t="s">
        <v>1356</v>
      </c>
    </row>
    <row r="1758" spans="1:9" x14ac:dyDescent="0.25">
      <c r="A1758" s="21" t="s">
        <v>1400</v>
      </c>
      <c r="B1758">
        <v>73</v>
      </c>
      <c r="C1758" s="21" t="s">
        <v>277</v>
      </c>
      <c r="D1758" s="21" t="s">
        <v>29</v>
      </c>
      <c r="E1758">
        <v>325</v>
      </c>
      <c r="F1758">
        <v>22</v>
      </c>
      <c r="G1758" s="21" t="s">
        <v>12</v>
      </c>
      <c r="H1758" s="21" t="s">
        <v>280</v>
      </c>
      <c r="I1758" s="21" t="s">
        <v>1356</v>
      </c>
    </row>
    <row r="1759" spans="1:9" x14ac:dyDescent="0.25">
      <c r="A1759" s="21" t="s">
        <v>1401</v>
      </c>
      <c r="B1759">
        <v>77</v>
      </c>
      <c r="C1759" s="21" t="s">
        <v>114</v>
      </c>
      <c r="D1759" s="21" t="s">
        <v>44</v>
      </c>
      <c r="E1759">
        <v>335</v>
      </c>
      <c r="F1759">
        <v>33</v>
      </c>
      <c r="G1759" s="21" t="s">
        <v>111</v>
      </c>
      <c r="H1759" s="21" t="s">
        <v>196</v>
      </c>
      <c r="I1759" s="21" t="s">
        <v>1356</v>
      </c>
    </row>
    <row r="1760" spans="1:9" x14ac:dyDescent="0.25">
      <c r="A1760" s="21" t="s">
        <v>1402</v>
      </c>
      <c r="B1760">
        <v>56</v>
      </c>
      <c r="C1760" s="21" t="s">
        <v>15</v>
      </c>
      <c r="D1760" s="21" t="s">
        <v>44</v>
      </c>
      <c r="E1760">
        <v>252</v>
      </c>
      <c r="G1760" s="21" t="s">
        <v>25</v>
      </c>
      <c r="H1760" s="21" t="s">
        <v>385</v>
      </c>
      <c r="I1760" s="21" t="s">
        <v>1356</v>
      </c>
    </row>
    <row r="1761" spans="1:9" x14ac:dyDescent="0.25">
      <c r="A1761" s="21" t="s">
        <v>1403</v>
      </c>
      <c r="B1761">
        <v>95</v>
      </c>
      <c r="C1761" s="21" t="s">
        <v>114</v>
      </c>
      <c r="D1761" s="21" t="s">
        <v>52</v>
      </c>
      <c r="E1761">
        <v>318</v>
      </c>
      <c r="F1761">
        <v>24</v>
      </c>
      <c r="G1761" s="21" t="s">
        <v>30</v>
      </c>
      <c r="H1761" s="21" t="s">
        <v>516</v>
      </c>
      <c r="I1761" s="21" t="s">
        <v>1356</v>
      </c>
    </row>
    <row r="1762" spans="1:9" x14ac:dyDescent="0.25">
      <c r="A1762" s="21" t="s">
        <v>1404</v>
      </c>
      <c r="B1762">
        <v>29</v>
      </c>
      <c r="C1762" s="21" t="s">
        <v>89</v>
      </c>
      <c r="D1762" s="21" t="s">
        <v>52</v>
      </c>
      <c r="E1762">
        <v>191</v>
      </c>
      <c r="F1762">
        <v>24</v>
      </c>
      <c r="G1762" s="21" t="s">
        <v>12</v>
      </c>
      <c r="H1762" s="21" t="s">
        <v>109</v>
      </c>
      <c r="I1762" s="21" t="s">
        <v>1356</v>
      </c>
    </row>
    <row r="1763" spans="1:9" x14ac:dyDescent="0.25">
      <c r="A1763" s="21" t="s">
        <v>1405</v>
      </c>
      <c r="B1763">
        <v>24</v>
      </c>
      <c r="C1763" s="21" t="s">
        <v>48</v>
      </c>
      <c r="D1763" s="21" t="s">
        <v>52</v>
      </c>
      <c r="E1763">
        <v>194</v>
      </c>
      <c r="F1763">
        <v>29</v>
      </c>
      <c r="G1763" s="21" t="s">
        <v>21</v>
      </c>
      <c r="H1763" s="21" t="s">
        <v>797</v>
      </c>
      <c r="I1763" s="21" t="s">
        <v>1356</v>
      </c>
    </row>
    <row r="1764" spans="1:9" x14ac:dyDescent="0.25">
      <c r="A1764" s="21" t="s">
        <v>1406</v>
      </c>
      <c r="B1764">
        <v>65</v>
      </c>
      <c r="C1764" s="21" t="s">
        <v>277</v>
      </c>
      <c r="D1764" s="21" t="s">
        <v>35</v>
      </c>
      <c r="E1764">
        <v>322</v>
      </c>
      <c r="F1764">
        <v>23</v>
      </c>
      <c r="G1764" s="21" t="s">
        <v>30</v>
      </c>
      <c r="H1764" s="21" t="s">
        <v>179</v>
      </c>
      <c r="I1764" s="21" t="s">
        <v>1356</v>
      </c>
    </row>
    <row r="1765" spans="1:9" x14ac:dyDescent="0.25">
      <c r="A1765" s="21" t="s">
        <v>1407</v>
      </c>
      <c r="B1765">
        <v>66</v>
      </c>
      <c r="C1765" s="21" t="s">
        <v>277</v>
      </c>
      <c r="D1765" s="21" t="s">
        <v>35</v>
      </c>
      <c r="E1765">
        <v>335</v>
      </c>
      <c r="F1765">
        <v>24</v>
      </c>
      <c r="G1765" s="21" t="s">
        <v>12</v>
      </c>
      <c r="H1765" s="21" t="s">
        <v>196</v>
      </c>
      <c r="I1765" s="21" t="s">
        <v>1356</v>
      </c>
    </row>
    <row r="1766" spans="1:9" x14ac:dyDescent="0.25">
      <c r="A1766" s="21" t="s">
        <v>1408</v>
      </c>
      <c r="B1766">
        <v>38</v>
      </c>
      <c r="C1766" s="21" t="s">
        <v>48</v>
      </c>
      <c r="D1766" s="21" t="s">
        <v>125</v>
      </c>
      <c r="E1766">
        <v>192</v>
      </c>
      <c r="G1766" s="21" t="s">
        <v>25</v>
      </c>
      <c r="H1766" s="21" t="s">
        <v>1409</v>
      </c>
      <c r="I1766" s="21" t="s">
        <v>1356</v>
      </c>
    </row>
    <row r="1767" spans="1:9" x14ac:dyDescent="0.25">
      <c r="A1767" s="21" t="s">
        <v>1410</v>
      </c>
      <c r="B1767">
        <v>75</v>
      </c>
      <c r="C1767" s="21" t="s">
        <v>140</v>
      </c>
      <c r="D1767" s="21" t="s">
        <v>29</v>
      </c>
      <c r="E1767">
        <v>310</v>
      </c>
      <c r="F1767">
        <v>24</v>
      </c>
      <c r="G1767" s="21" t="s">
        <v>16</v>
      </c>
      <c r="H1767" s="21" t="s">
        <v>516</v>
      </c>
      <c r="I1767" s="21" t="s">
        <v>1356</v>
      </c>
    </row>
    <row r="1768" spans="1:9" x14ac:dyDescent="0.25">
      <c r="A1768" s="21" t="s">
        <v>1411</v>
      </c>
      <c r="B1768">
        <v>84</v>
      </c>
      <c r="C1768" s="21" t="s">
        <v>57</v>
      </c>
      <c r="D1768" s="21" t="s">
        <v>29</v>
      </c>
      <c r="E1768">
        <v>253</v>
      </c>
      <c r="F1768">
        <v>23</v>
      </c>
      <c r="G1768" s="21" t="s">
        <v>30</v>
      </c>
      <c r="H1768" s="21" t="s">
        <v>278</v>
      </c>
      <c r="I1768" s="21" t="s">
        <v>1356</v>
      </c>
    </row>
    <row r="1769" spans="1:9" x14ac:dyDescent="0.25">
      <c r="A1769" s="21" t="s">
        <v>1412</v>
      </c>
      <c r="B1769">
        <v>46</v>
      </c>
      <c r="C1769" s="21" t="s">
        <v>91</v>
      </c>
      <c r="D1769" s="21" t="s">
        <v>24</v>
      </c>
      <c r="E1769">
        <v>234</v>
      </c>
      <c r="F1769">
        <v>26</v>
      </c>
      <c r="G1769" s="21" t="s">
        <v>30</v>
      </c>
      <c r="H1769" s="21" t="s">
        <v>603</v>
      </c>
      <c r="I1769" s="21" t="s">
        <v>1356</v>
      </c>
    </row>
    <row r="1770" spans="1:9" x14ac:dyDescent="0.25">
      <c r="A1770" s="21" t="s">
        <v>1413</v>
      </c>
      <c r="B1770">
        <v>32</v>
      </c>
      <c r="C1770" s="21" t="s">
        <v>89</v>
      </c>
      <c r="D1770" s="21" t="s">
        <v>125</v>
      </c>
      <c r="E1770">
        <v>192</v>
      </c>
      <c r="F1770">
        <v>22</v>
      </c>
      <c r="G1770" s="21" t="s">
        <v>25</v>
      </c>
      <c r="H1770" s="21" t="s">
        <v>22</v>
      </c>
      <c r="I1770" s="21" t="s">
        <v>1356</v>
      </c>
    </row>
    <row r="1771" spans="1:9" x14ac:dyDescent="0.25">
      <c r="A1771" s="21" t="s">
        <v>1414</v>
      </c>
      <c r="B1771">
        <v>34</v>
      </c>
      <c r="C1771" s="21" t="s">
        <v>51</v>
      </c>
      <c r="D1771" s="21" t="s">
        <v>54</v>
      </c>
      <c r="E1771">
        <v>215</v>
      </c>
      <c r="F1771">
        <v>27</v>
      </c>
      <c r="G1771" s="21" t="s">
        <v>45</v>
      </c>
      <c r="H1771" s="21" t="s">
        <v>196</v>
      </c>
      <c r="I1771" s="21" t="s">
        <v>1356</v>
      </c>
    </row>
    <row r="1772" spans="1:9" x14ac:dyDescent="0.25">
      <c r="A1772" s="21" t="s">
        <v>1415</v>
      </c>
      <c r="B1772">
        <v>4</v>
      </c>
      <c r="C1772" s="21" t="s">
        <v>193</v>
      </c>
      <c r="D1772" s="21" t="s">
        <v>35</v>
      </c>
      <c r="E1772">
        <v>225</v>
      </c>
      <c r="F1772">
        <v>36</v>
      </c>
      <c r="G1772" s="21" t="s">
        <v>1199</v>
      </c>
      <c r="H1772" s="21" t="s">
        <v>674</v>
      </c>
      <c r="I1772" s="21" t="s">
        <v>1356</v>
      </c>
    </row>
    <row r="1773" spans="1:9" x14ac:dyDescent="0.25">
      <c r="A1773" s="21" t="s">
        <v>1416</v>
      </c>
      <c r="B1773">
        <v>31</v>
      </c>
      <c r="C1773" s="21" t="s">
        <v>51</v>
      </c>
      <c r="D1773" s="21" t="s">
        <v>125</v>
      </c>
      <c r="E1773">
        <v>205</v>
      </c>
      <c r="F1773">
        <v>30</v>
      </c>
      <c r="G1773" s="21" t="s">
        <v>21</v>
      </c>
      <c r="H1773" s="21" t="s">
        <v>400</v>
      </c>
      <c r="I1773" s="21" t="s">
        <v>1356</v>
      </c>
    </row>
    <row r="1774" spans="1:9" x14ac:dyDescent="0.25">
      <c r="A1774" s="21" t="s">
        <v>1417</v>
      </c>
      <c r="B1774">
        <v>50</v>
      </c>
      <c r="C1774" s="21" t="s">
        <v>15</v>
      </c>
      <c r="D1774" s="21" t="s">
        <v>52</v>
      </c>
      <c r="E1774">
        <v>235</v>
      </c>
      <c r="F1774">
        <v>27</v>
      </c>
      <c r="G1774" s="21" t="s">
        <v>16</v>
      </c>
      <c r="H1774" s="21" t="s">
        <v>33</v>
      </c>
      <c r="I1774" s="21" t="s">
        <v>1356</v>
      </c>
    </row>
    <row r="1775" spans="1:9" x14ac:dyDescent="0.25">
      <c r="A1775" s="21" t="s">
        <v>1418</v>
      </c>
      <c r="B1775">
        <v>40</v>
      </c>
      <c r="C1775" s="21" t="s">
        <v>48</v>
      </c>
      <c r="D1775" s="21" t="s">
        <v>52</v>
      </c>
      <c r="E1775">
        <v>196</v>
      </c>
      <c r="F1775">
        <v>25</v>
      </c>
      <c r="G1775" s="21" t="s">
        <v>16</v>
      </c>
      <c r="H1775" s="21" t="s">
        <v>377</v>
      </c>
      <c r="I1775" s="21" t="s">
        <v>1356</v>
      </c>
    </row>
    <row r="1776" spans="1:9" x14ac:dyDescent="0.25">
      <c r="A1776" s="21" t="s">
        <v>1419</v>
      </c>
      <c r="B1776">
        <v>91</v>
      </c>
      <c r="C1776" s="21" t="s">
        <v>319</v>
      </c>
      <c r="D1776" s="21" t="s">
        <v>35</v>
      </c>
      <c r="E1776">
        <v>275</v>
      </c>
      <c r="F1776">
        <v>28</v>
      </c>
      <c r="G1776" s="21" t="s">
        <v>100</v>
      </c>
      <c r="H1776" s="21" t="s">
        <v>130</v>
      </c>
      <c r="I1776" s="21" t="s">
        <v>1356</v>
      </c>
    </row>
    <row r="1777" spans="1:9" x14ac:dyDescent="0.25">
      <c r="A1777" s="21" t="s">
        <v>1420</v>
      </c>
      <c r="B1777">
        <v>78</v>
      </c>
      <c r="C1777" s="21" t="s">
        <v>140</v>
      </c>
      <c r="D1777" s="21" t="s">
        <v>29</v>
      </c>
      <c r="E1777">
        <v>313</v>
      </c>
      <c r="F1777">
        <v>28</v>
      </c>
      <c r="G1777" s="21" t="s">
        <v>16</v>
      </c>
      <c r="H1777" s="21" t="s">
        <v>143</v>
      </c>
      <c r="I1777" s="21" t="s">
        <v>1356</v>
      </c>
    </row>
    <row r="1778" spans="1:9" x14ac:dyDescent="0.25">
      <c r="A1778" s="21" t="s">
        <v>1421</v>
      </c>
      <c r="B1778">
        <v>15</v>
      </c>
      <c r="C1778" s="21" t="s">
        <v>15</v>
      </c>
      <c r="D1778" s="21" t="s">
        <v>29</v>
      </c>
      <c r="E1778">
        <v>266</v>
      </c>
      <c r="F1778">
        <v>23</v>
      </c>
      <c r="G1778" s="21" t="s">
        <v>30</v>
      </c>
      <c r="H1778" s="21" t="s">
        <v>385</v>
      </c>
      <c r="I1778" s="21" t="s">
        <v>1356</v>
      </c>
    </row>
    <row r="1779" spans="1:9" x14ac:dyDescent="0.25">
      <c r="A1779" s="21" t="s">
        <v>1422</v>
      </c>
      <c r="B1779">
        <v>20</v>
      </c>
      <c r="C1779" s="21" t="s">
        <v>89</v>
      </c>
      <c r="D1779" s="21" t="s">
        <v>11</v>
      </c>
      <c r="E1779">
        <v>195</v>
      </c>
      <c r="F1779">
        <v>25</v>
      </c>
      <c r="G1779" s="21" t="s">
        <v>16</v>
      </c>
      <c r="H1779" s="21" t="s">
        <v>385</v>
      </c>
      <c r="I1779" s="21" t="s">
        <v>1356</v>
      </c>
    </row>
    <row r="1780" spans="1:9" x14ac:dyDescent="0.25">
      <c r="A1780" s="21" t="s">
        <v>1423</v>
      </c>
      <c r="B1780">
        <v>45</v>
      </c>
      <c r="C1780" s="21" t="s">
        <v>15</v>
      </c>
      <c r="D1780" s="21" t="s">
        <v>52</v>
      </c>
      <c r="E1780">
        <v>230</v>
      </c>
      <c r="F1780">
        <v>27</v>
      </c>
      <c r="G1780" s="21" t="s">
        <v>38</v>
      </c>
      <c r="H1780" s="21" t="s">
        <v>267</v>
      </c>
      <c r="I1780" s="21" t="s">
        <v>1356</v>
      </c>
    </row>
    <row r="1781" spans="1:9" x14ac:dyDescent="0.25">
      <c r="A1781" s="21" t="s">
        <v>1424</v>
      </c>
      <c r="B1781">
        <v>52</v>
      </c>
      <c r="C1781" s="21" t="s">
        <v>15</v>
      </c>
      <c r="D1781" s="21" t="s">
        <v>52</v>
      </c>
      <c r="E1781">
        <v>238</v>
      </c>
      <c r="F1781">
        <v>28</v>
      </c>
      <c r="G1781" s="21" t="s">
        <v>100</v>
      </c>
      <c r="H1781" s="21" t="s">
        <v>320</v>
      </c>
      <c r="I1781" s="21" t="s">
        <v>1356</v>
      </c>
    </row>
    <row r="1782" spans="1:9" x14ac:dyDescent="0.25">
      <c r="A1782" s="21" t="s">
        <v>1425</v>
      </c>
      <c r="B1782">
        <v>35</v>
      </c>
      <c r="C1782" s="21" t="s">
        <v>124</v>
      </c>
      <c r="D1782" s="21" t="s">
        <v>135</v>
      </c>
      <c r="E1782">
        <v>190</v>
      </c>
      <c r="F1782">
        <v>25</v>
      </c>
      <c r="G1782" s="21" t="s">
        <v>30</v>
      </c>
      <c r="H1782" s="21" t="s">
        <v>1076</v>
      </c>
      <c r="I1782" s="21" t="s">
        <v>1356</v>
      </c>
    </row>
    <row r="1783" spans="1:9" x14ac:dyDescent="0.25">
      <c r="A1783" s="21" t="s">
        <v>1426</v>
      </c>
      <c r="B1783">
        <v>21</v>
      </c>
      <c r="C1783" s="21" t="s">
        <v>89</v>
      </c>
      <c r="D1783" s="21" t="s">
        <v>52</v>
      </c>
      <c r="E1783">
        <v>205</v>
      </c>
      <c r="F1783">
        <v>29</v>
      </c>
      <c r="G1783" s="21" t="s">
        <v>21</v>
      </c>
      <c r="H1783" s="21" t="s">
        <v>194</v>
      </c>
      <c r="I1783" s="21" t="s">
        <v>1356</v>
      </c>
    </row>
    <row r="1784" spans="1:9" x14ac:dyDescent="0.25">
      <c r="A1784" s="21" t="s">
        <v>1427</v>
      </c>
      <c r="B1784">
        <v>7</v>
      </c>
      <c r="C1784" s="21" t="s">
        <v>76</v>
      </c>
      <c r="D1784" s="21" t="s">
        <v>54</v>
      </c>
      <c r="E1784">
        <v>197</v>
      </c>
      <c r="F1784">
        <v>26</v>
      </c>
      <c r="G1784" s="21" t="s">
        <v>45</v>
      </c>
      <c r="H1784" s="21" t="s">
        <v>1076</v>
      </c>
      <c r="I1784" s="21" t="s">
        <v>1356</v>
      </c>
    </row>
    <row r="1785" spans="1:9" x14ac:dyDescent="0.25">
      <c r="A1785" s="21" t="s">
        <v>1428</v>
      </c>
      <c r="B1785">
        <v>86</v>
      </c>
      <c r="C1785" s="21" t="s">
        <v>10</v>
      </c>
      <c r="D1785" s="21" t="s">
        <v>52</v>
      </c>
      <c r="E1785">
        <v>194</v>
      </c>
      <c r="F1785">
        <v>23</v>
      </c>
      <c r="G1785" s="21" t="s">
        <v>25</v>
      </c>
      <c r="H1785" s="21" t="s">
        <v>516</v>
      </c>
      <c r="I1785" s="21" t="s">
        <v>1356</v>
      </c>
    </row>
    <row r="1786" spans="1:9" x14ac:dyDescent="0.25">
      <c r="A1786" s="21" t="s">
        <v>1429</v>
      </c>
      <c r="B1786">
        <v>57</v>
      </c>
      <c r="C1786" s="21" t="s">
        <v>15</v>
      </c>
      <c r="D1786" s="21" t="s">
        <v>35</v>
      </c>
      <c r="E1786">
        <v>263</v>
      </c>
      <c r="F1786">
        <v>28</v>
      </c>
      <c r="G1786" s="21" t="s">
        <v>100</v>
      </c>
      <c r="H1786" s="21" t="s">
        <v>165</v>
      </c>
      <c r="I1786" s="21" t="s">
        <v>1356</v>
      </c>
    </row>
    <row r="1787" spans="1:9" x14ac:dyDescent="0.25">
      <c r="A1787" s="21" t="s">
        <v>1430</v>
      </c>
      <c r="B1787">
        <v>80</v>
      </c>
      <c r="C1787" s="21" t="s">
        <v>57</v>
      </c>
      <c r="D1787" s="21" t="s">
        <v>20</v>
      </c>
      <c r="E1787">
        <v>257</v>
      </c>
      <c r="F1787">
        <v>27</v>
      </c>
      <c r="G1787" s="21" t="s">
        <v>38</v>
      </c>
      <c r="H1787" s="21" t="s">
        <v>1431</v>
      </c>
      <c r="I1787" s="21" t="s">
        <v>1356</v>
      </c>
    </row>
    <row r="1788" spans="1:9" x14ac:dyDescent="0.25">
      <c r="A1788" s="21" t="s">
        <v>1432</v>
      </c>
      <c r="B1788">
        <v>14</v>
      </c>
      <c r="C1788" s="21" t="s">
        <v>10</v>
      </c>
      <c r="D1788" s="21" t="s">
        <v>52</v>
      </c>
      <c r="E1788">
        <v>219</v>
      </c>
      <c r="F1788">
        <v>26</v>
      </c>
      <c r="G1788" s="21" t="s">
        <v>45</v>
      </c>
      <c r="H1788" s="21" t="s">
        <v>46</v>
      </c>
      <c r="I1788" s="21" t="s">
        <v>1356</v>
      </c>
    </row>
    <row r="1789" spans="1:9" x14ac:dyDescent="0.25">
      <c r="A1789" s="21" t="s">
        <v>1433</v>
      </c>
      <c r="B1789">
        <v>92</v>
      </c>
      <c r="C1789" s="21" t="s">
        <v>114</v>
      </c>
      <c r="D1789" s="21" t="s">
        <v>67</v>
      </c>
      <c r="E1789">
        <v>297</v>
      </c>
      <c r="F1789">
        <v>26</v>
      </c>
      <c r="G1789" s="21" t="s">
        <v>45</v>
      </c>
      <c r="H1789" s="21" t="s">
        <v>216</v>
      </c>
      <c r="I1789" s="21" t="s">
        <v>1356</v>
      </c>
    </row>
    <row r="1790" spans="1:9" x14ac:dyDescent="0.25">
      <c r="A1790" s="21" t="s">
        <v>1434</v>
      </c>
      <c r="B1790">
        <v>76</v>
      </c>
      <c r="C1790" s="21" t="s">
        <v>140</v>
      </c>
      <c r="D1790" s="21" t="s">
        <v>29</v>
      </c>
      <c r="E1790">
        <v>295</v>
      </c>
      <c r="F1790">
        <v>23</v>
      </c>
      <c r="G1790" s="21" t="s">
        <v>83</v>
      </c>
      <c r="H1790" s="21" t="s">
        <v>1435</v>
      </c>
      <c r="I1790" s="21" t="s">
        <v>1356</v>
      </c>
    </row>
    <row r="1791" spans="1:9" x14ac:dyDescent="0.25">
      <c r="A1791" s="21" t="s">
        <v>1436</v>
      </c>
      <c r="B1791">
        <v>81</v>
      </c>
      <c r="C1791" s="21" t="s">
        <v>57</v>
      </c>
      <c r="D1791" s="21" t="s">
        <v>67</v>
      </c>
      <c r="E1791">
        <v>246</v>
      </c>
      <c r="F1791">
        <v>26</v>
      </c>
      <c r="G1791" s="21" t="s">
        <v>45</v>
      </c>
      <c r="H1791" s="21" t="s">
        <v>31</v>
      </c>
      <c r="I1791" s="21" t="s">
        <v>1356</v>
      </c>
    </row>
    <row r="1792" spans="1:9" x14ac:dyDescent="0.25">
      <c r="A1792" s="21" t="s">
        <v>1437</v>
      </c>
      <c r="B1792">
        <v>90</v>
      </c>
      <c r="C1792" s="21" t="s">
        <v>19</v>
      </c>
      <c r="D1792" s="21" t="s">
        <v>35</v>
      </c>
      <c r="E1792">
        <v>300</v>
      </c>
      <c r="F1792">
        <v>24</v>
      </c>
      <c r="G1792" s="21" t="s">
        <v>25</v>
      </c>
      <c r="H1792" s="21" t="s">
        <v>556</v>
      </c>
      <c r="I1792" s="21" t="s">
        <v>1356</v>
      </c>
    </row>
    <row r="1793" spans="1:9" x14ac:dyDescent="0.25">
      <c r="A1793" s="21" t="s">
        <v>1438</v>
      </c>
      <c r="B1793">
        <v>1</v>
      </c>
      <c r="C1793" s="21" t="s">
        <v>70</v>
      </c>
      <c r="D1793" s="21" t="s">
        <v>52</v>
      </c>
      <c r="E1793">
        <v>217</v>
      </c>
      <c r="F1793">
        <v>24</v>
      </c>
      <c r="G1793" s="21" t="s">
        <v>12</v>
      </c>
      <c r="H1793" s="21" t="s">
        <v>233</v>
      </c>
      <c r="I1793" s="21" t="s">
        <v>1356</v>
      </c>
    </row>
    <row r="1794" spans="1:9" x14ac:dyDescent="0.25">
      <c r="A1794" s="21" t="s">
        <v>1439</v>
      </c>
      <c r="B1794">
        <v>19</v>
      </c>
      <c r="C1794" s="21" t="s">
        <v>70</v>
      </c>
      <c r="D1794" s="21" t="s">
        <v>24</v>
      </c>
      <c r="E1794">
        <v>217</v>
      </c>
      <c r="F1794">
        <v>25</v>
      </c>
      <c r="G1794" s="21" t="s">
        <v>25</v>
      </c>
      <c r="H1794" s="21" t="s">
        <v>189</v>
      </c>
      <c r="I1794" s="21" t="s">
        <v>1356</v>
      </c>
    </row>
    <row r="1795" spans="1:9" x14ac:dyDescent="0.25">
      <c r="A1795" s="21" t="s">
        <v>1440</v>
      </c>
      <c r="B1795">
        <v>51</v>
      </c>
      <c r="C1795" s="21" t="s">
        <v>15</v>
      </c>
      <c r="D1795" s="21" t="s">
        <v>24</v>
      </c>
      <c r="E1795">
        <v>230</v>
      </c>
      <c r="F1795">
        <v>22</v>
      </c>
      <c r="G1795" s="21" t="s">
        <v>25</v>
      </c>
      <c r="H1795" s="21" t="s">
        <v>196</v>
      </c>
      <c r="I1795" s="21" t="s">
        <v>1356</v>
      </c>
    </row>
    <row r="1796" spans="1:9" x14ac:dyDescent="0.25">
      <c r="A1796" s="21" t="s">
        <v>1441</v>
      </c>
      <c r="B1796">
        <v>43</v>
      </c>
      <c r="C1796" s="21" t="s">
        <v>15</v>
      </c>
      <c r="D1796" s="21" t="s">
        <v>35</v>
      </c>
      <c r="E1796">
        <v>242</v>
      </c>
      <c r="F1796">
        <v>27</v>
      </c>
      <c r="G1796" s="21" t="s">
        <v>16</v>
      </c>
      <c r="H1796" s="21" t="s">
        <v>68</v>
      </c>
      <c r="I1796" s="21" t="s">
        <v>1356</v>
      </c>
    </row>
    <row r="1797" spans="1:9" x14ac:dyDescent="0.25">
      <c r="A1797" s="21" t="s">
        <v>1442</v>
      </c>
      <c r="B1797">
        <v>17</v>
      </c>
      <c r="C1797" s="21" t="s">
        <v>10</v>
      </c>
      <c r="D1797" s="21" t="s">
        <v>125</v>
      </c>
      <c r="E1797">
        <v>182</v>
      </c>
      <c r="F1797">
        <v>23</v>
      </c>
      <c r="G1797" s="21" t="s">
        <v>30</v>
      </c>
      <c r="H1797" s="21" t="s">
        <v>233</v>
      </c>
      <c r="I1797" s="21" t="s">
        <v>1356</v>
      </c>
    </row>
    <row r="1798" spans="1:9" x14ac:dyDescent="0.25">
      <c r="A1798" s="21" t="s">
        <v>1443</v>
      </c>
      <c r="B1798">
        <v>47</v>
      </c>
      <c r="C1798" s="21" t="s">
        <v>51</v>
      </c>
      <c r="D1798" s="21" t="s">
        <v>52</v>
      </c>
      <c r="E1798">
        <v>215</v>
      </c>
      <c r="F1798">
        <v>23</v>
      </c>
      <c r="G1798" s="21" t="s">
        <v>25</v>
      </c>
      <c r="H1798" s="21" t="s">
        <v>115</v>
      </c>
      <c r="I1798" s="21" t="s">
        <v>1356</v>
      </c>
    </row>
    <row r="1799" spans="1:9" x14ac:dyDescent="0.25">
      <c r="A1799" s="21" t="s">
        <v>1444</v>
      </c>
      <c r="B1799">
        <v>94</v>
      </c>
      <c r="C1799" s="21" t="s">
        <v>114</v>
      </c>
      <c r="D1799" s="21" t="s">
        <v>35</v>
      </c>
      <c r="E1799">
        <v>310</v>
      </c>
      <c r="F1799">
        <v>26</v>
      </c>
      <c r="G1799" s="21" t="s">
        <v>16</v>
      </c>
      <c r="H1799" s="21" t="s">
        <v>136</v>
      </c>
      <c r="I1799" s="21" t="s">
        <v>1356</v>
      </c>
    </row>
    <row r="1800" spans="1:9" x14ac:dyDescent="0.25">
      <c r="A1800" s="21" t="s">
        <v>1445</v>
      </c>
      <c r="B1800">
        <v>6</v>
      </c>
      <c r="C1800" s="21" t="s">
        <v>48</v>
      </c>
      <c r="D1800" s="21" t="s">
        <v>52</v>
      </c>
      <c r="E1800">
        <v>205</v>
      </c>
      <c r="F1800">
        <v>22</v>
      </c>
      <c r="G1800" s="21" t="s">
        <v>30</v>
      </c>
      <c r="H1800" s="21" t="s">
        <v>355</v>
      </c>
      <c r="I1800" s="21" t="s">
        <v>1356</v>
      </c>
    </row>
    <row r="1801" spans="1:9" x14ac:dyDescent="0.25">
      <c r="A1801" s="21" t="s">
        <v>1446</v>
      </c>
      <c r="B1801">
        <v>58</v>
      </c>
      <c r="C1801" s="21" t="s">
        <v>28</v>
      </c>
      <c r="D1801" s="21" t="s">
        <v>29</v>
      </c>
      <c r="E1801">
        <v>320</v>
      </c>
      <c r="F1801">
        <v>25</v>
      </c>
      <c r="G1801" s="21" t="s">
        <v>45</v>
      </c>
      <c r="H1801" s="21" t="s">
        <v>109</v>
      </c>
      <c r="I1801" s="21" t="s">
        <v>1356</v>
      </c>
    </row>
    <row r="1802" spans="1:9" x14ac:dyDescent="0.25">
      <c r="A1802" s="21" t="s">
        <v>1447</v>
      </c>
      <c r="B1802">
        <v>97</v>
      </c>
      <c r="C1802" s="21" t="s">
        <v>19</v>
      </c>
      <c r="D1802" s="21" t="s">
        <v>29</v>
      </c>
      <c r="E1802">
        <v>291</v>
      </c>
      <c r="G1802" s="21" t="s">
        <v>25</v>
      </c>
      <c r="H1802" s="21" t="s">
        <v>357</v>
      </c>
      <c r="I1802" s="21" t="s">
        <v>1356</v>
      </c>
    </row>
    <row r="1803" spans="1:9" x14ac:dyDescent="0.25">
      <c r="A1803" s="21" t="s">
        <v>1448</v>
      </c>
      <c r="B1803">
        <v>18</v>
      </c>
      <c r="C1803" s="21" t="s">
        <v>10</v>
      </c>
      <c r="D1803" s="21" t="s">
        <v>29</v>
      </c>
      <c r="E1803">
        <v>220</v>
      </c>
      <c r="F1803">
        <v>25</v>
      </c>
      <c r="G1803" s="21" t="s">
        <v>16</v>
      </c>
      <c r="H1803" s="21" t="s">
        <v>389</v>
      </c>
      <c r="I1803" s="21" t="s">
        <v>1356</v>
      </c>
    </row>
    <row r="1804" spans="1:9" x14ac:dyDescent="0.25">
      <c r="A1804" s="21" t="s">
        <v>1449</v>
      </c>
      <c r="B1804">
        <v>11</v>
      </c>
      <c r="C1804" s="21" t="s">
        <v>10</v>
      </c>
      <c r="D1804" s="21" t="s">
        <v>24</v>
      </c>
      <c r="E1804">
        <v>200</v>
      </c>
      <c r="F1804">
        <v>26</v>
      </c>
      <c r="G1804" s="21" t="s">
        <v>16</v>
      </c>
      <c r="H1804" s="21" t="s">
        <v>330</v>
      </c>
      <c r="I1804" s="21" t="s">
        <v>1356</v>
      </c>
    </row>
    <row r="1805" spans="1:9" x14ac:dyDescent="0.25">
      <c r="A1805" s="21" t="s">
        <v>1450</v>
      </c>
      <c r="B1805">
        <v>36</v>
      </c>
      <c r="C1805" s="21" t="s">
        <v>124</v>
      </c>
      <c r="D1805" s="21" t="s">
        <v>24</v>
      </c>
      <c r="E1805">
        <v>193</v>
      </c>
      <c r="F1805">
        <v>25</v>
      </c>
      <c r="G1805" s="21" t="s">
        <v>38</v>
      </c>
      <c r="H1805" s="21" t="s">
        <v>251</v>
      </c>
      <c r="I1805" s="21" t="s">
        <v>1356</v>
      </c>
    </row>
    <row r="1806" spans="1:9" x14ac:dyDescent="0.25">
      <c r="A1806" s="21" t="s">
        <v>2311</v>
      </c>
      <c r="B1806">
        <v>29</v>
      </c>
      <c r="C1806" s="21" t="s">
        <v>48</v>
      </c>
      <c r="D1806" s="21" t="s">
        <v>52</v>
      </c>
      <c r="E1806">
        <v>192</v>
      </c>
      <c r="F1806">
        <v>23</v>
      </c>
      <c r="G1806" s="21" t="s">
        <v>30</v>
      </c>
      <c r="H1806" s="21" t="s">
        <v>165</v>
      </c>
      <c r="I1806" s="21" t="s">
        <v>2310</v>
      </c>
    </row>
    <row r="1807" spans="1:9" x14ac:dyDescent="0.25">
      <c r="A1807" s="21" t="s">
        <v>2312</v>
      </c>
      <c r="B1807">
        <v>68</v>
      </c>
      <c r="C1807" s="21" t="s">
        <v>277</v>
      </c>
      <c r="D1807" s="21" t="s">
        <v>24</v>
      </c>
      <c r="E1807">
        <v>298</v>
      </c>
      <c r="F1807">
        <v>31</v>
      </c>
      <c r="G1807" s="21" t="s">
        <v>100</v>
      </c>
      <c r="H1807" s="21" t="s">
        <v>374</v>
      </c>
      <c r="I1807" s="21" t="s">
        <v>2310</v>
      </c>
    </row>
    <row r="1808" spans="1:9" x14ac:dyDescent="0.25">
      <c r="A1808" s="21" t="s">
        <v>2313</v>
      </c>
      <c r="B1808">
        <v>80</v>
      </c>
      <c r="C1808" s="21" t="s">
        <v>10</v>
      </c>
      <c r="D1808" s="21" t="s">
        <v>52</v>
      </c>
      <c r="E1808">
        <v>215</v>
      </c>
      <c r="F1808">
        <v>23</v>
      </c>
      <c r="G1808" s="21" t="s">
        <v>83</v>
      </c>
      <c r="H1808" s="21" t="s">
        <v>1577</v>
      </c>
      <c r="I1808" s="21" t="s">
        <v>2310</v>
      </c>
    </row>
    <row r="1809" spans="1:9" x14ac:dyDescent="0.25">
      <c r="A1809" s="21" t="s">
        <v>2314</v>
      </c>
      <c r="B1809">
        <v>53</v>
      </c>
      <c r="C1809" s="21" t="s">
        <v>15</v>
      </c>
      <c r="D1809" s="21" t="s">
        <v>44</v>
      </c>
      <c r="E1809">
        <v>225</v>
      </c>
      <c r="F1809">
        <v>25</v>
      </c>
      <c r="G1809" s="21" t="s">
        <v>12</v>
      </c>
      <c r="H1809" s="21" t="s">
        <v>68</v>
      </c>
      <c r="I1809" s="21" t="s">
        <v>2310</v>
      </c>
    </row>
    <row r="1810" spans="1:9" x14ac:dyDescent="0.25">
      <c r="A1810" s="21" t="s">
        <v>2315</v>
      </c>
      <c r="B1810">
        <v>57</v>
      </c>
      <c r="C1810" s="21" t="s">
        <v>114</v>
      </c>
      <c r="D1810" s="21" t="s">
        <v>44</v>
      </c>
      <c r="E1810">
        <v>290</v>
      </c>
      <c r="F1810">
        <v>24</v>
      </c>
      <c r="G1810" s="21" t="s">
        <v>25</v>
      </c>
      <c r="H1810" s="21" t="s">
        <v>355</v>
      </c>
      <c r="I1810" s="21" t="s">
        <v>2310</v>
      </c>
    </row>
    <row r="1811" spans="1:9" x14ac:dyDescent="0.25">
      <c r="A1811" s="21" t="s">
        <v>2316</v>
      </c>
      <c r="B1811">
        <v>16</v>
      </c>
      <c r="C1811" s="21" t="s">
        <v>70</v>
      </c>
      <c r="D1811" s="21" t="s">
        <v>11</v>
      </c>
      <c r="E1811">
        <v>206</v>
      </c>
      <c r="F1811">
        <v>24</v>
      </c>
      <c r="G1811" s="21" t="s">
        <v>30</v>
      </c>
      <c r="H1811" s="21" t="s">
        <v>31</v>
      </c>
      <c r="I1811" s="21" t="s">
        <v>2310</v>
      </c>
    </row>
    <row r="1812" spans="1:9" x14ac:dyDescent="0.25">
      <c r="A1812" s="21" t="s">
        <v>2317</v>
      </c>
      <c r="B1812">
        <v>1</v>
      </c>
      <c r="C1812" s="21" t="s">
        <v>10</v>
      </c>
      <c r="D1812" s="21" t="s">
        <v>24</v>
      </c>
      <c r="E1812">
        <v>204</v>
      </c>
      <c r="F1812">
        <v>24</v>
      </c>
      <c r="G1812" s="21" t="s">
        <v>12</v>
      </c>
      <c r="H1812" s="21" t="s">
        <v>104</v>
      </c>
      <c r="I1812" s="21" t="s">
        <v>2310</v>
      </c>
    </row>
    <row r="1813" spans="1:9" x14ac:dyDescent="0.25">
      <c r="A1813" s="21" t="s">
        <v>2318</v>
      </c>
      <c r="B1813">
        <v>54</v>
      </c>
      <c r="C1813" s="21" t="s">
        <v>319</v>
      </c>
      <c r="D1813" s="21" t="s">
        <v>29</v>
      </c>
      <c r="E1813">
        <v>270</v>
      </c>
      <c r="F1813">
        <v>27</v>
      </c>
      <c r="G1813" s="21" t="s">
        <v>38</v>
      </c>
      <c r="H1813" s="21" t="s">
        <v>98</v>
      </c>
      <c r="I1813" s="21" t="s">
        <v>2310</v>
      </c>
    </row>
    <row r="1814" spans="1:9" x14ac:dyDescent="0.25">
      <c r="A1814" s="21" t="s">
        <v>2319</v>
      </c>
      <c r="B1814">
        <v>5</v>
      </c>
      <c r="C1814" s="21" t="s">
        <v>70</v>
      </c>
      <c r="D1814" s="21" t="s">
        <v>24</v>
      </c>
      <c r="E1814">
        <v>220</v>
      </c>
      <c r="F1814">
        <v>34</v>
      </c>
      <c r="G1814" s="21" t="s">
        <v>186</v>
      </c>
      <c r="H1814" s="21" t="s">
        <v>618</v>
      </c>
      <c r="I1814" s="21" t="s">
        <v>2310</v>
      </c>
    </row>
    <row r="1815" spans="1:9" x14ac:dyDescent="0.25">
      <c r="A1815" s="21" t="s">
        <v>2320</v>
      </c>
      <c r="B1815">
        <v>92</v>
      </c>
      <c r="C1815" s="21" t="s">
        <v>319</v>
      </c>
      <c r="D1815" s="21" t="s">
        <v>67</v>
      </c>
      <c r="E1815">
        <v>265</v>
      </c>
      <c r="F1815">
        <v>25</v>
      </c>
      <c r="G1815" s="21" t="s">
        <v>45</v>
      </c>
      <c r="H1815" s="21" t="s">
        <v>42</v>
      </c>
      <c r="I1815" s="21" t="s">
        <v>2310</v>
      </c>
    </row>
    <row r="1816" spans="1:9" x14ac:dyDescent="0.25">
      <c r="A1816" s="21" t="s">
        <v>2321</v>
      </c>
      <c r="B1816">
        <v>56</v>
      </c>
      <c r="C1816" s="21" t="s">
        <v>15</v>
      </c>
      <c r="D1816" s="21" t="s">
        <v>24</v>
      </c>
      <c r="E1816">
        <v>248</v>
      </c>
      <c r="F1816">
        <v>33</v>
      </c>
      <c r="G1816" s="21" t="s">
        <v>254</v>
      </c>
      <c r="H1816" s="21" t="s">
        <v>1611</v>
      </c>
      <c r="I1816" s="21" t="s">
        <v>2310</v>
      </c>
    </row>
    <row r="1817" spans="1:9" x14ac:dyDescent="0.25">
      <c r="A1817" s="21" t="s">
        <v>2322</v>
      </c>
      <c r="C1817" s="21" t="s">
        <v>57</v>
      </c>
      <c r="D1817" s="21" t="s">
        <v>29</v>
      </c>
      <c r="E1817">
        <v>250</v>
      </c>
      <c r="F1817">
        <v>25</v>
      </c>
      <c r="G1817" s="21" t="s">
        <v>83</v>
      </c>
      <c r="H1817" s="21" t="s">
        <v>2323</v>
      </c>
      <c r="I1817" s="21" t="s">
        <v>2310</v>
      </c>
    </row>
    <row r="1818" spans="1:9" x14ac:dyDescent="0.25">
      <c r="A1818" s="21" t="s">
        <v>2324</v>
      </c>
      <c r="B1818">
        <v>84</v>
      </c>
      <c r="C1818" s="21" t="s">
        <v>10</v>
      </c>
      <c r="D1818" s="21" t="s">
        <v>35</v>
      </c>
      <c r="E1818">
        <v>200</v>
      </c>
      <c r="F1818">
        <v>23</v>
      </c>
      <c r="G1818" s="21" t="s">
        <v>25</v>
      </c>
      <c r="H1818" s="21" t="s">
        <v>2325</v>
      </c>
      <c r="I1818" s="21" t="s">
        <v>2310</v>
      </c>
    </row>
    <row r="1819" spans="1:9" x14ac:dyDescent="0.25">
      <c r="A1819" s="21" t="s">
        <v>2326</v>
      </c>
      <c r="B1819">
        <v>50</v>
      </c>
      <c r="C1819" s="21" t="s">
        <v>15</v>
      </c>
      <c r="D1819" s="21" t="s">
        <v>52</v>
      </c>
      <c r="E1819">
        <v>225</v>
      </c>
      <c r="F1819">
        <v>25</v>
      </c>
      <c r="G1819" s="21" t="s">
        <v>30</v>
      </c>
      <c r="H1819" s="21" t="s">
        <v>55</v>
      </c>
      <c r="I1819" s="21" t="s">
        <v>2310</v>
      </c>
    </row>
    <row r="1820" spans="1:9" x14ac:dyDescent="0.25">
      <c r="A1820" s="21" t="s">
        <v>2327</v>
      </c>
      <c r="B1820">
        <v>79</v>
      </c>
      <c r="C1820" s="21" t="s">
        <v>28</v>
      </c>
      <c r="D1820" s="21" t="s">
        <v>20</v>
      </c>
      <c r="E1820">
        <v>350</v>
      </c>
      <c r="G1820" s="21" t="s">
        <v>25</v>
      </c>
      <c r="H1820" s="21" t="s">
        <v>2328</v>
      </c>
      <c r="I1820" s="21" t="s">
        <v>2310</v>
      </c>
    </row>
    <row r="1821" spans="1:9" x14ac:dyDescent="0.25">
      <c r="A1821" s="21" t="s">
        <v>2329</v>
      </c>
      <c r="B1821">
        <v>55</v>
      </c>
      <c r="C1821" s="21" t="s">
        <v>15</v>
      </c>
      <c r="D1821" s="21" t="s">
        <v>44</v>
      </c>
      <c r="E1821">
        <v>238</v>
      </c>
      <c r="F1821">
        <v>27</v>
      </c>
      <c r="G1821" s="21" t="s">
        <v>16</v>
      </c>
      <c r="H1821" s="21" t="s">
        <v>786</v>
      </c>
      <c r="I1821" s="21" t="s">
        <v>2310</v>
      </c>
    </row>
    <row r="1822" spans="1:9" x14ac:dyDescent="0.25">
      <c r="A1822" s="21" t="s">
        <v>2330</v>
      </c>
      <c r="B1822">
        <v>30</v>
      </c>
      <c r="C1822" s="21" t="s">
        <v>89</v>
      </c>
      <c r="D1822" s="21" t="s">
        <v>11</v>
      </c>
      <c r="E1822">
        <v>199</v>
      </c>
      <c r="F1822">
        <v>26</v>
      </c>
      <c r="G1822" s="21" t="s">
        <v>45</v>
      </c>
      <c r="H1822" s="21" t="s">
        <v>152</v>
      </c>
      <c r="I1822" s="21" t="s">
        <v>2310</v>
      </c>
    </row>
    <row r="1823" spans="1:9" x14ac:dyDescent="0.25">
      <c r="A1823" s="21" t="s">
        <v>2331</v>
      </c>
      <c r="B1823">
        <v>39</v>
      </c>
      <c r="C1823" s="21" t="s">
        <v>124</v>
      </c>
      <c r="D1823" s="21" t="s">
        <v>11</v>
      </c>
      <c r="E1823">
        <v>200</v>
      </c>
      <c r="F1823">
        <v>24</v>
      </c>
      <c r="G1823" s="21" t="s">
        <v>25</v>
      </c>
      <c r="H1823" s="21" t="s">
        <v>101</v>
      </c>
      <c r="I1823" s="21" t="s">
        <v>2310</v>
      </c>
    </row>
    <row r="1824" spans="1:9" x14ac:dyDescent="0.25">
      <c r="A1824" s="21" t="s">
        <v>2332</v>
      </c>
      <c r="B1824">
        <v>22</v>
      </c>
      <c r="C1824" s="21" t="s">
        <v>124</v>
      </c>
      <c r="D1824" s="21" t="s">
        <v>54</v>
      </c>
      <c r="E1824">
        <v>210</v>
      </c>
      <c r="F1824">
        <v>24</v>
      </c>
      <c r="G1824" s="21" t="s">
        <v>16</v>
      </c>
      <c r="H1824" s="21" t="s">
        <v>251</v>
      </c>
      <c r="I1824" s="21" t="s">
        <v>2310</v>
      </c>
    </row>
    <row r="1825" spans="1:9" x14ac:dyDescent="0.25">
      <c r="A1825" s="21" t="s">
        <v>2333</v>
      </c>
      <c r="B1825">
        <v>4</v>
      </c>
      <c r="C1825" s="21" t="s">
        <v>193</v>
      </c>
      <c r="D1825" s="21" t="s">
        <v>24</v>
      </c>
      <c r="E1825">
        <v>196</v>
      </c>
      <c r="F1825">
        <v>24</v>
      </c>
      <c r="G1825" s="21" t="s">
        <v>12</v>
      </c>
      <c r="H1825" s="21" t="s">
        <v>3251</v>
      </c>
      <c r="I1825" s="21" t="s">
        <v>2310</v>
      </c>
    </row>
    <row r="1826" spans="1:9" x14ac:dyDescent="0.25">
      <c r="A1826" s="21" t="s">
        <v>2334</v>
      </c>
      <c r="B1826">
        <v>96</v>
      </c>
      <c r="C1826" s="21" t="s">
        <v>319</v>
      </c>
      <c r="D1826" s="21" t="s">
        <v>29</v>
      </c>
      <c r="E1826">
        <v>261</v>
      </c>
      <c r="F1826">
        <v>25</v>
      </c>
      <c r="G1826" s="21" t="s">
        <v>16</v>
      </c>
      <c r="H1826" s="21" t="s">
        <v>456</v>
      </c>
      <c r="I1826" s="21" t="s">
        <v>2310</v>
      </c>
    </row>
    <row r="1827" spans="1:9" x14ac:dyDescent="0.25">
      <c r="A1827" s="21" t="s">
        <v>2335</v>
      </c>
      <c r="B1827">
        <v>48</v>
      </c>
      <c r="C1827" s="21" t="s">
        <v>124</v>
      </c>
      <c r="D1827" s="21" t="s">
        <v>11</v>
      </c>
      <c r="E1827">
        <v>202</v>
      </c>
      <c r="F1827">
        <v>26</v>
      </c>
      <c r="G1827" s="21" t="s">
        <v>45</v>
      </c>
      <c r="H1827" s="21" t="s">
        <v>558</v>
      </c>
      <c r="I1827" s="21" t="s">
        <v>2310</v>
      </c>
    </row>
    <row r="1828" spans="1:9" x14ac:dyDescent="0.25">
      <c r="A1828" s="21" t="s">
        <v>2336</v>
      </c>
      <c r="B1828">
        <v>35</v>
      </c>
      <c r="C1828" s="21" t="s">
        <v>124</v>
      </c>
      <c r="D1828" s="21" t="s">
        <v>24</v>
      </c>
      <c r="E1828">
        <v>192</v>
      </c>
      <c r="F1828">
        <v>22</v>
      </c>
      <c r="G1828" s="21" t="s">
        <v>25</v>
      </c>
      <c r="H1828" s="21" t="s">
        <v>98</v>
      </c>
      <c r="I1828" s="21" t="s">
        <v>2310</v>
      </c>
    </row>
    <row r="1829" spans="1:9" x14ac:dyDescent="0.25">
      <c r="A1829" s="21" t="s">
        <v>2337</v>
      </c>
      <c r="B1829">
        <v>73</v>
      </c>
      <c r="C1829" s="21" t="s">
        <v>28</v>
      </c>
      <c r="D1829" s="21" t="s">
        <v>35</v>
      </c>
      <c r="E1829">
        <v>335</v>
      </c>
      <c r="F1829">
        <v>24</v>
      </c>
      <c r="G1829" s="21" t="s">
        <v>16</v>
      </c>
      <c r="H1829" s="21" t="s">
        <v>466</v>
      </c>
      <c r="I1829" s="21" t="s">
        <v>2310</v>
      </c>
    </row>
    <row r="1830" spans="1:9" x14ac:dyDescent="0.25">
      <c r="A1830" s="21" t="s">
        <v>2338</v>
      </c>
      <c r="B1830">
        <v>11</v>
      </c>
      <c r="C1830" s="21" t="s">
        <v>10</v>
      </c>
      <c r="D1830" s="21" t="s">
        <v>1243</v>
      </c>
      <c r="E1830">
        <v>170</v>
      </c>
      <c r="F1830">
        <v>24</v>
      </c>
      <c r="G1830" s="21" t="s">
        <v>16</v>
      </c>
      <c r="H1830" s="21" t="s">
        <v>2339</v>
      </c>
      <c r="I1830" s="21" t="s">
        <v>2310</v>
      </c>
    </row>
    <row r="1831" spans="1:9" x14ac:dyDescent="0.25">
      <c r="A1831" s="21" t="s">
        <v>2340</v>
      </c>
      <c r="B1831">
        <v>63</v>
      </c>
      <c r="C1831" s="21" t="s">
        <v>140</v>
      </c>
      <c r="D1831" s="21" t="s">
        <v>67</v>
      </c>
      <c r="E1831">
        <v>305</v>
      </c>
      <c r="F1831">
        <v>28</v>
      </c>
      <c r="G1831" s="21" t="s">
        <v>38</v>
      </c>
      <c r="H1831" s="21" t="s">
        <v>267</v>
      </c>
      <c r="I1831" s="21" t="s">
        <v>2310</v>
      </c>
    </row>
    <row r="1832" spans="1:9" x14ac:dyDescent="0.25">
      <c r="A1832" s="21" t="s">
        <v>2341</v>
      </c>
      <c r="B1832">
        <v>7</v>
      </c>
      <c r="C1832" s="21" t="s">
        <v>70</v>
      </c>
      <c r="D1832" s="21" t="s">
        <v>24</v>
      </c>
      <c r="E1832">
        <v>221</v>
      </c>
      <c r="F1832">
        <v>31</v>
      </c>
      <c r="G1832" s="21" t="s">
        <v>38</v>
      </c>
      <c r="H1832" s="21" t="s">
        <v>204</v>
      </c>
      <c r="I1832" s="21" t="s">
        <v>2310</v>
      </c>
    </row>
    <row r="1833" spans="1:9" x14ac:dyDescent="0.25">
      <c r="A1833" s="21" t="s">
        <v>2342</v>
      </c>
      <c r="B1833">
        <v>88</v>
      </c>
      <c r="C1833" s="21" t="s">
        <v>57</v>
      </c>
      <c r="D1833" s="21" t="s">
        <v>44</v>
      </c>
      <c r="E1833">
        <v>240</v>
      </c>
      <c r="F1833">
        <v>28</v>
      </c>
      <c r="G1833" s="21" t="s">
        <v>16</v>
      </c>
      <c r="H1833" s="21" t="s">
        <v>128</v>
      </c>
      <c r="I1833" s="21" t="s">
        <v>2310</v>
      </c>
    </row>
    <row r="1834" spans="1:9" x14ac:dyDescent="0.25">
      <c r="A1834" s="21" t="s">
        <v>2343</v>
      </c>
      <c r="B1834">
        <v>95</v>
      </c>
      <c r="C1834" s="21" t="s">
        <v>114</v>
      </c>
      <c r="D1834" s="21" t="s">
        <v>44</v>
      </c>
      <c r="E1834">
        <v>305</v>
      </c>
      <c r="F1834">
        <v>25</v>
      </c>
      <c r="G1834" s="21" t="s">
        <v>30</v>
      </c>
      <c r="H1834" s="21" t="s">
        <v>136</v>
      </c>
      <c r="I1834" s="21" t="s">
        <v>2310</v>
      </c>
    </row>
    <row r="1835" spans="1:9" x14ac:dyDescent="0.25">
      <c r="A1835" s="21" t="s">
        <v>2344</v>
      </c>
      <c r="B1835">
        <v>74</v>
      </c>
      <c r="C1835" s="21" t="s">
        <v>28</v>
      </c>
      <c r="D1835" s="21" t="s">
        <v>29</v>
      </c>
      <c r="E1835">
        <v>310</v>
      </c>
      <c r="F1835">
        <v>30</v>
      </c>
      <c r="G1835" s="21" t="s">
        <v>64</v>
      </c>
      <c r="H1835" s="21" t="s">
        <v>73</v>
      </c>
      <c r="I1835" s="21" t="s">
        <v>2310</v>
      </c>
    </row>
    <row r="1836" spans="1:9" x14ac:dyDescent="0.25">
      <c r="A1836" s="21" t="s">
        <v>2345</v>
      </c>
      <c r="B1836">
        <v>14</v>
      </c>
      <c r="C1836" s="21" t="s">
        <v>51</v>
      </c>
      <c r="D1836" s="21" t="s">
        <v>135</v>
      </c>
      <c r="E1836">
        <v>215</v>
      </c>
      <c r="F1836">
        <v>32</v>
      </c>
      <c r="G1836" s="21" t="s">
        <v>186</v>
      </c>
      <c r="H1836" s="21" t="s">
        <v>233</v>
      </c>
      <c r="I1836" s="21" t="s">
        <v>2310</v>
      </c>
    </row>
    <row r="1837" spans="1:9" x14ac:dyDescent="0.25">
      <c r="A1837" s="21" t="s">
        <v>2346</v>
      </c>
      <c r="B1837">
        <v>52</v>
      </c>
      <c r="C1837" s="21" t="s">
        <v>15</v>
      </c>
      <c r="D1837" s="21" t="s">
        <v>52</v>
      </c>
      <c r="E1837">
        <v>230</v>
      </c>
      <c r="F1837">
        <v>24</v>
      </c>
      <c r="G1837" s="21" t="s">
        <v>25</v>
      </c>
      <c r="H1837" s="21" t="s">
        <v>243</v>
      </c>
      <c r="I1837" s="21" t="s">
        <v>2310</v>
      </c>
    </row>
    <row r="1838" spans="1:9" x14ac:dyDescent="0.25">
      <c r="A1838" s="21" t="s">
        <v>2347</v>
      </c>
      <c r="B1838">
        <v>59</v>
      </c>
      <c r="C1838" s="21" t="s">
        <v>114</v>
      </c>
      <c r="D1838" s="21" t="s">
        <v>29</v>
      </c>
      <c r="E1838">
        <v>285</v>
      </c>
      <c r="F1838">
        <v>24</v>
      </c>
      <c r="G1838" s="21" t="s">
        <v>25</v>
      </c>
      <c r="H1838" s="21" t="s">
        <v>721</v>
      </c>
      <c r="I1838" s="21" t="s">
        <v>2310</v>
      </c>
    </row>
    <row r="1839" spans="1:9" x14ac:dyDescent="0.25">
      <c r="A1839" s="21" t="s">
        <v>2348</v>
      </c>
      <c r="B1839">
        <v>91</v>
      </c>
      <c r="C1839" s="21" t="s">
        <v>114</v>
      </c>
      <c r="D1839" s="21" t="s">
        <v>44</v>
      </c>
      <c r="E1839">
        <v>316</v>
      </c>
      <c r="F1839">
        <v>28</v>
      </c>
      <c r="G1839" s="21" t="s">
        <v>38</v>
      </c>
      <c r="H1839" s="21" t="s">
        <v>117</v>
      </c>
      <c r="I1839" s="21" t="s">
        <v>2310</v>
      </c>
    </row>
    <row r="1840" spans="1:9" x14ac:dyDescent="0.25">
      <c r="A1840" s="21" t="s">
        <v>2349</v>
      </c>
      <c r="B1840">
        <v>83</v>
      </c>
      <c r="C1840" s="21" t="s">
        <v>57</v>
      </c>
      <c r="D1840" s="21" t="s">
        <v>35</v>
      </c>
      <c r="E1840">
        <v>231</v>
      </c>
      <c r="F1840">
        <v>25</v>
      </c>
      <c r="G1840" s="21" t="s">
        <v>12</v>
      </c>
      <c r="H1840" s="21" t="s">
        <v>22</v>
      </c>
      <c r="I1840" s="21" t="s">
        <v>2310</v>
      </c>
    </row>
    <row r="1841" spans="1:9" x14ac:dyDescent="0.25">
      <c r="A1841" s="21" t="s">
        <v>2350</v>
      </c>
      <c r="B1841">
        <v>34</v>
      </c>
      <c r="C1841" s="21" t="s">
        <v>51</v>
      </c>
      <c r="D1841" s="21" t="s">
        <v>54</v>
      </c>
      <c r="E1841">
        <v>224</v>
      </c>
      <c r="F1841">
        <v>24</v>
      </c>
      <c r="G1841" s="21" t="s">
        <v>30</v>
      </c>
      <c r="H1841" s="21" t="s">
        <v>31</v>
      </c>
      <c r="I1841" s="21" t="s">
        <v>2310</v>
      </c>
    </row>
    <row r="1842" spans="1:9" x14ac:dyDescent="0.25">
      <c r="A1842" s="21" t="s">
        <v>2351</v>
      </c>
      <c r="B1842">
        <v>94</v>
      </c>
      <c r="C1842" s="21" t="s">
        <v>319</v>
      </c>
      <c r="D1842" s="21" t="s">
        <v>35</v>
      </c>
      <c r="E1842">
        <v>287</v>
      </c>
      <c r="F1842">
        <v>33</v>
      </c>
      <c r="G1842" s="21" t="s">
        <v>186</v>
      </c>
      <c r="H1842" s="21" t="s">
        <v>226</v>
      </c>
      <c r="I1842" s="21" t="s">
        <v>2310</v>
      </c>
    </row>
    <row r="1843" spans="1:9" x14ac:dyDescent="0.25">
      <c r="A1843" s="21" t="s">
        <v>2352</v>
      </c>
      <c r="B1843">
        <v>41</v>
      </c>
      <c r="C1843" s="21" t="s">
        <v>51</v>
      </c>
      <c r="D1843" s="21" t="s">
        <v>125</v>
      </c>
      <c r="E1843">
        <v>215</v>
      </c>
      <c r="F1843">
        <v>27</v>
      </c>
      <c r="G1843" s="21" t="s">
        <v>38</v>
      </c>
      <c r="H1843" s="21" t="s">
        <v>104</v>
      </c>
      <c r="I1843" s="21" t="s">
        <v>2310</v>
      </c>
    </row>
    <row r="1844" spans="1:9" x14ac:dyDescent="0.25">
      <c r="A1844" s="21" t="s">
        <v>2353</v>
      </c>
      <c r="B1844">
        <v>66</v>
      </c>
      <c r="C1844" s="21" t="s">
        <v>28</v>
      </c>
      <c r="D1844" s="21" t="s">
        <v>67</v>
      </c>
      <c r="E1844">
        <v>311</v>
      </c>
      <c r="G1844" s="21" t="s">
        <v>25</v>
      </c>
      <c r="H1844" s="21" t="s">
        <v>207</v>
      </c>
      <c r="I1844" s="21" t="s">
        <v>2310</v>
      </c>
    </row>
    <row r="1845" spans="1:9" x14ac:dyDescent="0.25">
      <c r="A1845" s="21" t="s">
        <v>2354</v>
      </c>
      <c r="B1845">
        <v>90</v>
      </c>
      <c r="C1845" s="21" t="s">
        <v>319</v>
      </c>
      <c r="D1845" s="21" t="s">
        <v>20</v>
      </c>
      <c r="E1845">
        <v>289</v>
      </c>
      <c r="F1845">
        <v>28</v>
      </c>
      <c r="G1845" s="21" t="s">
        <v>38</v>
      </c>
      <c r="H1845" s="21" t="s">
        <v>466</v>
      </c>
      <c r="I1845" s="21" t="s">
        <v>2310</v>
      </c>
    </row>
    <row r="1846" spans="1:9" x14ac:dyDescent="0.25">
      <c r="A1846" s="21" t="s">
        <v>2355</v>
      </c>
      <c r="B1846">
        <v>44</v>
      </c>
      <c r="C1846" s="21" t="s">
        <v>57</v>
      </c>
      <c r="D1846" s="21" t="s">
        <v>67</v>
      </c>
      <c r="E1846">
        <v>260</v>
      </c>
      <c r="F1846">
        <v>24</v>
      </c>
      <c r="G1846" s="21" t="s">
        <v>25</v>
      </c>
      <c r="H1846" s="21" t="s">
        <v>128</v>
      </c>
      <c r="I1846" s="21" t="s">
        <v>2310</v>
      </c>
    </row>
    <row r="1847" spans="1:9" x14ac:dyDescent="0.25">
      <c r="A1847" s="21" t="s">
        <v>2356</v>
      </c>
      <c r="B1847">
        <v>77</v>
      </c>
      <c r="C1847" s="21" t="s">
        <v>28</v>
      </c>
      <c r="D1847" s="21" t="s">
        <v>35</v>
      </c>
      <c r="E1847">
        <v>310</v>
      </c>
      <c r="F1847">
        <v>28</v>
      </c>
      <c r="G1847" s="21" t="s">
        <v>45</v>
      </c>
      <c r="H1847" s="21" t="s">
        <v>284</v>
      </c>
      <c r="I1847" s="21" t="s">
        <v>2310</v>
      </c>
    </row>
    <row r="1848" spans="1:9" x14ac:dyDescent="0.25">
      <c r="A1848" s="21" t="s">
        <v>2357</v>
      </c>
      <c r="C1848" s="21" t="s">
        <v>10</v>
      </c>
      <c r="D1848" s="21" t="s">
        <v>54</v>
      </c>
      <c r="E1848">
        <v>202</v>
      </c>
      <c r="F1848">
        <v>29</v>
      </c>
      <c r="G1848" s="21" t="s">
        <v>64</v>
      </c>
      <c r="H1848" s="21" t="s">
        <v>267</v>
      </c>
      <c r="I1848" s="21" t="s">
        <v>2310</v>
      </c>
    </row>
    <row r="1849" spans="1:9" x14ac:dyDescent="0.25">
      <c r="A1849" s="21" t="s">
        <v>2358</v>
      </c>
      <c r="B1849">
        <v>23</v>
      </c>
      <c r="C1849" s="21" t="s">
        <v>48</v>
      </c>
      <c r="D1849" s="21" t="s">
        <v>11</v>
      </c>
      <c r="E1849">
        <v>192</v>
      </c>
      <c r="F1849">
        <v>26</v>
      </c>
      <c r="G1849" s="21" t="s">
        <v>38</v>
      </c>
      <c r="H1849" s="21" t="s">
        <v>36</v>
      </c>
      <c r="I1849" s="21" t="s">
        <v>2310</v>
      </c>
    </row>
    <row r="1850" spans="1:9" x14ac:dyDescent="0.25">
      <c r="A1850" s="21" t="s">
        <v>2359</v>
      </c>
      <c r="B1850">
        <v>3</v>
      </c>
      <c r="C1850" s="21" t="s">
        <v>76</v>
      </c>
      <c r="D1850" s="21" t="s">
        <v>54</v>
      </c>
      <c r="E1850">
        <v>184</v>
      </c>
      <c r="F1850">
        <v>28</v>
      </c>
      <c r="G1850" s="21" t="s">
        <v>100</v>
      </c>
      <c r="H1850" s="21" t="s">
        <v>2044</v>
      </c>
      <c r="I1850" s="21" t="s">
        <v>2310</v>
      </c>
    </row>
    <row r="1851" spans="1:9" x14ac:dyDescent="0.25">
      <c r="A1851" s="21" t="s">
        <v>2360</v>
      </c>
      <c r="B1851">
        <v>37</v>
      </c>
      <c r="C1851" s="21" t="s">
        <v>124</v>
      </c>
      <c r="D1851" s="21" t="s">
        <v>52</v>
      </c>
      <c r="E1851">
        <v>196</v>
      </c>
      <c r="F1851">
        <v>24</v>
      </c>
      <c r="G1851" s="21" t="s">
        <v>30</v>
      </c>
      <c r="H1851" s="21" t="s">
        <v>199</v>
      </c>
      <c r="I1851" s="21" t="s">
        <v>2310</v>
      </c>
    </row>
    <row r="1852" spans="1:9" x14ac:dyDescent="0.25">
      <c r="A1852" s="21" t="s">
        <v>2361</v>
      </c>
      <c r="C1852" s="21" t="s">
        <v>287</v>
      </c>
      <c r="D1852" s="21" t="s">
        <v>135</v>
      </c>
      <c r="E1852">
        <v>190</v>
      </c>
      <c r="F1852">
        <v>30</v>
      </c>
      <c r="G1852" s="21" t="s">
        <v>111</v>
      </c>
      <c r="H1852" s="21" t="s">
        <v>267</v>
      </c>
      <c r="I1852" s="21" t="s">
        <v>2310</v>
      </c>
    </row>
    <row r="1853" spans="1:9" x14ac:dyDescent="0.25">
      <c r="A1853" s="21" t="s">
        <v>2362</v>
      </c>
      <c r="B1853">
        <v>6</v>
      </c>
      <c r="C1853" s="21" t="s">
        <v>89</v>
      </c>
      <c r="D1853" s="21" t="s">
        <v>54</v>
      </c>
      <c r="E1853">
        <v>207</v>
      </c>
      <c r="F1853">
        <v>29</v>
      </c>
      <c r="G1853" s="21" t="s">
        <v>38</v>
      </c>
      <c r="H1853" s="21" t="s">
        <v>251</v>
      </c>
      <c r="I1853" s="21" t="s">
        <v>2310</v>
      </c>
    </row>
    <row r="1854" spans="1:9" x14ac:dyDescent="0.25">
      <c r="A1854" s="21" t="s">
        <v>2363</v>
      </c>
      <c r="B1854">
        <v>78</v>
      </c>
      <c r="C1854" s="21" t="s">
        <v>28</v>
      </c>
      <c r="D1854" s="21" t="s">
        <v>35</v>
      </c>
      <c r="E1854">
        <v>303</v>
      </c>
      <c r="F1854">
        <v>24</v>
      </c>
      <c r="G1854" s="21" t="s">
        <v>16</v>
      </c>
      <c r="H1854" s="21" t="s">
        <v>152</v>
      </c>
      <c r="I1854" s="21" t="s">
        <v>2310</v>
      </c>
    </row>
    <row r="1855" spans="1:9" x14ac:dyDescent="0.25">
      <c r="A1855" s="21" t="s">
        <v>2364</v>
      </c>
      <c r="B1855">
        <v>85</v>
      </c>
      <c r="C1855" s="21" t="s">
        <v>10</v>
      </c>
      <c r="D1855" s="21" t="s">
        <v>11</v>
      </c>
      <c r="E1855">
        <v>208</v>
      </c>
      <c r="F1855">
        <v>25</v>
      </c>
      <c r="G1855" s="21" t="s">
        <v>83</v>
      </c>
      <c r="H1855" s="21" t="s">
        <v>1611</v>
      </c>
      <c r="I1855" s="21" t="s">
        <v>2310</v>
      </c>
    </row>
    <row r="1856" spans="1:9" x14ac:dyDescent="0.25">
      <c r="A1856" s="21" t="s">
        <v>2365</v>
      </c>
      <c r="B1856">
        <v>36</v>
      </c>
      <c r="C1856" s="21" t="s">
        <v>124</v>
      </c>
      <c r="D1856" s="21" t="s">
        <v>24</v>
      </c>
      <c r="E1856">
        <v>190</v>
      </c>
      <c r="F1856">
        <v>25</v>
      </c>
      <c r="G1856" s="21" t="s">
        <v>12</v>
      </c>
      <c r="H1856" s="21" t="s">
        <v>274</v>
      </c>
      <c r="I1856" s="21" t="s">
        <v>2310</v>
      </c>
    </row>
    <row r="1857" spans="1:9" x14ac:dyDescent="0.25">
      <c r="A1857" s="21" t="s">
        <v>2366</v>
      </c>
      <c r="B1857">
        <v>38</v>
      </c>
      <c r="C1857" s="21" t="s">
        <v>89</v>
      </c>
      <c r="D1857" s="21" t="s">
        <v>44</v>
      </c>
      <c r="E1857">
        <v>199</v>
      </c>
      <c r="F1857">
        <v>22</v>
      </c>
      <c r="G1857" s="21" t="s">
        <v>25</v>
      </c>
      <c r="H1857" s="21" t="s">
        <v>65</v>
      </c>
      <c r="I1857" s="21" t="s">
        <v>2310</v>
      </c>
    </row>
    <row r="1858" spans="1:9" x14ac:dyDescent="0.25">
      <c r="A1858" s="21" t="s">
        <v>2367</v>
      </c>
      <c r="B1858">
        <v>12</v>
      </c>
      <c r="C1858" s="21" t="s">
        <v>10</v>
      </c>
      <c r="D1858" s="21" t="s">
        <v>52</v>
      </c>
      <c r="E1858">
        <v>189</v>
      </c>
      <c r="F1858">
        <v>22</v>
      </c>
      <c r="G1858" s="21" t="s">
        <v>25</v>
      </c>
      <c r="H1858" s="21" t="s">
        <v>36</v>
      </c>
      <c r="I1858" s="21" t="s">
        <v>2310</v>
      </c>
    </row>
    <row r="1859" spans="1:9" x14ac:dyDescent="0.25">
      <c r="A1859" s="21" t="s">
        <v>2368</v>
      </c>
      <c r="B1859">
        <v>93</v>
      </c>
      <c r="C1859" s="21" t="s">
        <v>114</v>
      </c>
      <c r="D1859" s="21" t="s">
        <v>35</v>
      </c>
      <c r="E1859">
        <v>300</v>
      </c>
      <c r="F1859">
        <v>29</v>
      </c>
      <c r="G1859" s="21" t="s">
        <v>100</v>
      </c>
      <c r="H1859" s="21" t="s">
        <v>2369</v>
      </c>
      <c r="I1859" s="21" t="s">
        <v>2310</v>
      </c>
    </row>
    <row r="1860" spans="1:9" x14ac:dyDescent="0.25">
      <c r="A1860" s="21" t="s">
        <v>2370</v>
      </c>
      <c r="B1860">
        <v>28</v>
      </c>
      <c r="C1860" s="21" t="s">
        <v>51</v>
      </c>
      <c r="D1860" s="21" t="s">
        <v>11</v>
      </c>
      <c r="E1860">
        <v>225</v>
      </c>
      <c r="F1860">
        <v>25</v>
      </c>
      <c r="G1860" s="21" t="s">
        <v>16</v>
      </c>
      <c r="H1860" s="21" t="s">
        <v>556</v>
      </c>
      <c r="I1860" s="21" t="s">
        <v>2310</v>
      </c>
    </row>
    <row r="1861" spans="1:9" x14ac:dyDescent="0.25">
      <c r="A1861" s="21" t="s">
        <v>2371</v>
      </c>
      <c r="B1861">
        <v>75</v>
      </c>
      <c r="C1861" s="21" t="s">
        <v>277</v>
      </c>
      <c r="D1861" s="21" t="s">
        <v>20</v>
      </c>
      <c r="E1861">
        <v>316</v>
      </c>
      <c r="F1861">
        <v>28</v>
      </c>
      <c r="G1861" s="21" t="s">
        <v>21</v>
      </c>
      <c r="H1861" s="21" t="s">
        <v>165</v>
      </c>
      <c r="I1861" s="21" t="s">
        <v>2310</v>
      </c>
    </row>
    <row r="1862" spans="1:9" x14ac:dyDescent="0.25">
      <c r="A1862" s="21" t="s">
        <v>2372</v>
      </c>
      <c r="B1862">
        <v>70</v>
      </c>
      <c r="C1862" s="21" t="s">
        <v>140</v>
      </c>
      <c r="D1862" s="21" t="s">
        <v>20</v>
      </c>
      <c r="E1862">
        <v>332</v>
      </c>
      <c r="F1862">
        <v>23</v>
      </c>
      <c r="G1862" s="21" t="s">
        <v>25</v>
      </c>
      <c r="H1862" s="21" t="s">
        <v>473</v>
      </c>
      <c r="I1862" s="21" t="s">
        <v>2310</v>
      </c>
    </row>
    <row r="1863" spans="1:9" x14ac:dyDescent="0.25">
      <c r="A1863" s="21" t="s">
        <v>2373</v>
      </c>
      <c r="B1863">
        <v>46</v>
      </c>
      <c r="C1863" s="21" t="s">
        <v>91</v>
      </c>
      <c r="D1863" s="21" t="s">
        <v>11</v>
      </c>
      <c r="E1863">
        <v>245</v>
      </c>
      <c r="F1863">
        <v>25</v>
      </c>
      <c r="G1863" s="21" t="s">
        <v>30</v>
      </c>
      <c r="H1863" s="21" t="s">
        <v>115</v>
      </c>
      <c r="I1863" s="21" t="s">
        <v>2310</v>
      </c>
    </row>
    <row r="1864" spans="1:9" x14ac:dyDescent="0.25">
      <c r="A1864" s="21" t="s">
        <v>2374</v>
      </c>
      <c r="B1864">
        <v>42</v>
      </c>
      <c r="C1864" s="21" t="s">
        <v>15</v>
      </c>
      <c r="D1864" s="21" t="s">
        <v>52</v>
      </c>
      <c r="E1864">
        <v>217</v>
      </c>
      <c r="G1864" s="21" t="s">
        <v>25</v>
      </c>
      <c r="H1864" s="21" t="s">
        <v>31</v>
      </c>
      <c r="I1864" s="21" t="s">
        <v>2310</v>
      </c>
    </row>
    <row r="1865" spans="1:9" x14ac:dyDescent="0.25">
      <c r="A1865" s="21" t="s">
        <v>2375</v>
      </c>
      <c r="B1865">
        <v>71</v>
      </c>
      <c r="C1865" s="21" t="s">
        <v>140</v>
      </c>
      <c r="D1865" s="21" t="s">
        <v>67</v>
      </c>
      <c r="E1865">
        <v>314</v>
      </c>
      <c r="F1865">
        <v>28</v>
      </c>
      <c r="G1865" s="21" t="s">
        <v>38</v>
      </c>
      <c r="H1865" s="21" t="s">
        <v>68</v>
      </c>
      <c r="I1865" s="21" t="s">
        <v>2310</v>
      </c>
    </row>
    <row r="1866" spans="1:9" x14ac:dyDescent="0.25">
      <c r="A1866" s="21" t="s">
        <v>2376</v>
      </c>
      <c r="B1866">
        <v>97</v>
      </c>
      <c r="C1866" s="21" t="s">
        <v>19</v>
      </c>
      <c r="D1866" s="21" t="s">
        <v>44</v>
      </c>
      <c r="E1866">
        <v>290</v>
      </c>
      <c r="F1866">
        <v>24</v>
      </c>
      <c r="G1866" s="21" t="s">
        <v>12</v>
      </c>
      <c r="H1866" s="21" t="s">
        <v>109</v>
      </c>
      <c r="I1866" s="21" t="s">
        <v>2310</v>
      </c>
    </row>
    <row r="1867" spans="1:9" x14ac:dyDescent="0.25">
      <c r="A1867" s="21" t="s">
        <v>2377</v>
      </c>
      <c r="B1867">
        <v>21</v>
      </c>
      <c r="C1867" s="21" t="s">
        <v>48</v>
      </c>
      <c r="D1867" s="21" t="s">
        <v>54</v>
      </c>
      <c r="E1867">
        <v>194</v>
      </c>
      <c r="F1867">
        <v>30</v>
      </c>
      <c r="G1867" s="21" t="s">
        <v>64</v>
      </c>
      <c r="H1867" s="21" t="s">
        <v>36</v>
      </c>
      <c r="I1867" s="21" t="s">
        <v>2310</v>
      </c>
    </row>
    <row r="1868" spans="1:9" x14ac:dyDescent="0.25">
      <c r="A1868" s="21" t="s">
        <v>2378</v>
      </c>
      <c r="B1868">
        <v>15</v>
      </c>
      <c r="C1868" s="21" t="s">
        <v>76</v>
      </c>
      <c r="D1868" s="21" t="s">
        <v>54</v>
      </c>
      <c r="E1868">
        <v>175</v>
      </c>
      <c r="G1868" s="21" t="s">
        <v>25</v>
      </c>
      <c r="H1868" s="21" t="s">
        <v>357</v>
      </c>
      <c r="I1868" s="21" t="s">
        <v>2310</v>
      </c>
    </row>
    <row r="1869" spans="1:9" x14ac:dyDescent="0.25">
      <c r="A1869" s="21" t="s">
        <v>2379</v>
      </c>
      <c r="B1869">
        <v>51</v>
      </c>
      <c r="C1869" s="21" t="s">
        <v>28</v>
      </c>
      <c r="D1869" s="21" t="s">
        <v>35</v>
      </c>
      <c r="E1869">
        <v>316</v>
      </c>
      <c r="F1869">
        <v>23</v>
      </c>
      <c r="G1869" s="21" t="s">
        <v>12</v>
      </c>
      <c r="H1869" s="21" t="s">
        <v>98</v>
      </c>
      <c r="I1869" s="21" t="s">
        <v>2310</v>
      </c>
    </row>
    <row r="1870" spans="1:9" x14ac:dyDescent="0.25">
      <c r="A1870" s="21" t="s">
        <v>2380</v>
      </c>
      <c r="B1870">
        <v>64</v>
      </c>
      <c r="C1870" s="21" t="s">
        <v>28</v>
      </c>
      <c r="D1870" s="21" t="s">
        <v>44</v>
      </c>
      <c r="E1870">
        <v>325</v>
      </c>
      <c r="F1870">
        <v>23</v>
      </c>
      <c r="G1870" s="21" t="s">
        <v>25</v>
      </c>
      <c r="H1870" s="21" t="s">
        <v>162</v>
      </c>
      <c r="I1870" s="21" t="s">
        <v>2310</v>
      </c>
    </row>
    <row r="1871" spans="1:9" x14ac:dyDescent="0.25">
      <c r="A1871" s="21" t="s">
        <v>2381</v>
      </c>
      <c r="B1871">
        <v>45</v>
      </c>
      <c r="C1871" s="21" t="s">
        <v>15</v>
      </c>
      <c r="D1871" s="21" t="s">
        <v>11</v>
      </c>
      <c r="E1871">
        <v>228</v>
      </c>
      <c r="F1871">
        <v>23</v>
      </c>
      <c r="G1871" s="21" t="s">
        <v>25</v>
      </c>
      <c r="H1871" s="21" t="s">
        <v>194</v>
      </c>
      <c r="I1871" s="21" t="s">
        <v>2310</v>
      </c>
    </row>
    <row r="1872" spans="1:9" x14ac:dyDescent="0.25">
      <c r="A1872" s="21" t="s">
        <v>2383</v>
      </c>
      <c r="B1872">
        <v>33</v>
      </c>
      <c r="C1872" s="21" t="s">
        <v>51</v>
      </c>
      <c r="D1872" s="21" t="s">
        <v>54</v>
      </c>
      <c r="E1872">
        <v>221</v>
      </c>
      <c r="F1872">
        <v>23</v>
      </c>
      <c r="G1872" s="21" t="s">
        <v>25</v>
      </c>
      <c r="H1872" s="21" t="s">
        <v>87</v>
      </c>
      <c r="I1872" s="21" t="s">
        <v>2310</v>
      </c>
    </row>
    <row r="1873" spans="1:9" x14ac:dyDescent="0.25">
      <c r="A1873" s="21" t="s">
        <v>2384</v>
      </c>
      <c r="B1873">
        <v>10</v>
      </c>
      <c r="C1873" s="21" t="s">
        <v>10</v>
      </c>
      <c r="D1873" s="21" t="s">
        <v>24</v>
      </c>
      <c r="E1873">
        <v>210</v>
      </c>
      <c r="F1873">
        <v>26</v>
      </c>
      <c r="G1873" s="21" t="s">
        <v>45</v>
      </c>
      <c r="H1873" s="21" t="s">
        <v>3252</v>
      </c>
      <c r="I1873" s="21" t="s">
        <v>2310</v>
      </c>
    </row>
    <row r="1874" spans="1:9" x14ac:dyDescent="0.25">
      <c r="A1874" s="21" t="s">
        <v>2385</v>
      </c>
      <c r="B1874">
        <v>25</v>
      </c>
      <c r="C1874" s="21" t="s">
        <v>89</v>
      </c>
      <c r="D1874" s="21" t="s">
        <v>52</v>
      </c>
      <c r="E1874">
        <v>208</v>
      </c>
      <c r="F1874">
        <v>32</v>
      </c>
      <c r="G1874" s="21" t="s">
        <v>64</v>
      </c>
      <c r="H1874" s="21" t="s">
        <v>204</v>
      </c>
      <c r="I1874" s="21" t="s">
        <v>2310</v>
      </c>
    </row>
    <row r="1875" spans="1:9" x14ac:dyDescent="0.25">
      <c r="A1875" s="21" t="s">
        <v>2386</v>
      </c>
      <c r="B1875">
        <v>69</v>
      </c>
      <c r="C1875" s="21" t="s">
        <v>114</v>
      </c>
      <c r="D1875" s="21" t="s">
        <v>24</v>
      </c>
      <c r="E1875">
        <v>287</v>
      </c>
      <c r="F1875">
        <v>26</v>
      </c>
      <c r="G1875" s="21" t="s">
        <v>16</v>
      </c>
      <c r="H1875" s="21" t="s">
        <v>106</v>
      </c>
      <c r="I1875" s="21" t="s">
        <v>2310</v>
      </c>
    </row>
    <row r="1876" spans="1:9" x14ac:dyDescent="0.25">
      <c r="A1876" s="21" t="s">
        <v>2406</v>
      </c>
      <c r="B1876">
        <v>27</v>
      </c>
      <c r="C1876" s="21" t="s">
        <v>48</v>
      </c>
      <c r="D1876" s="21" t="s">
        <v>11</v>
      </c>
      <c r="E1876">
        <v>195</v>
      </c>
      <c r="F1876">
        <v>23</v>
      </c>
      <c r="G1876" s="21" t="s">
        <v>25</v>
      </c>
      <c r="H1876" s="21" t="s">
        <v>104</v>
      </c>
      <c r="I1876" s="21" t="s">
        <v>2310</v>
      </c>
    </row>
    <row r="1877" spans="1:9" x14ac:dyDescent="0.25">
      <c r="A1877" s="21" t="s">
        <v>1923</v>
      </c>
      <c r="B1877">
        <v>13</v>
      </c>
      <c r="C1877" s="21" t="s">
        <v>10</v>
      </c>
      <c r="D1877" s="21" t="s">
        <v>44</v>
      </c>
      <c r="E1877">
        <v>212</v>
      </c>
      <c r="F1877">
        <v>29</v>
      </c>
      <c r="G1877" s="21" t="s">
        <v>100</v>
      </c>
      <c r="H1877" s="21" t="s">
        <v>36</v>
      </c>
      <c r="I1877" s="21" t="s">
        <v>2310</v>
      </c>
    </row>
    <row r="1878" spans="1:9" x14ac:dyDescent="0.25">
      <c r="A1878" s="21" t="s">
        <v>2387</v>
      </c>
      <c r="B1878">
        <v>31</v>
      </c>
      <c r="C1878" s="21" t="s">
        <v>48</v>
      </c>
      <c r="D1878" s="21" t="s">
        <v>54</v>
      </c>
      <c r="E1878">
        <v>190</v>
      </c>
      <c r="F1878">
        <v>22</v>
      </c>
      <c r="G1878" s="21" t="s">
        <v>83</v>
      </c>
      <c r="H1878" s="21" t="s">
        <v>104</v>
      </c>
      <c r="I1878" s="21" t="s">
        <v>2310</v>
      </c>
    </row>
    <row r="1879" spans="1:9" x14ac:dyDescent="0.25">
      <c r="A1879" s="21" t="s">
        <v>2388</v>
      </c>
      <c r="B1879">
        <v>76</v>
      </c>
      <c r="C1879" s="21" t="s">
        <v>28</v>
      </c>
      <c r="D1879" s="21" t="s">
        <v>29</v>
      </c>
      <c r="E1879">
        <v>309</v>
      </c>
      <c r="F1879">
        <v>25</v>
      </c>
      <c r="G1879" s="21" t="s">
        <v>30</v>
      </c>
      <c r="H1879" s="21" t="s">
        <v>22</v>
      </c>
      <c r="I1879" s="21" t="s">
        <v>2310</v>
      </c>
    </row>
    <row r="1880" spans="1:9" x14ac:dyDescent="0.25">
      <c r="A1880" s="21" t="s">
        <v>2389</v>
      </c>
      <c r="B1880">
        <v>82</v>
      </c>
      <c r="C1880" s="21" t="s">
        <v>57</v>
      </c>
      <c r="D1880" s="21" t="s">
        <v>29</v>
      </c>
      <c r="E1880">
        <v>253</v>
      </c>
      <c r="F1880">
        <v>25</v>
      </c>
      <c r="G1880" s="21" t="s">
        <v>12</v>
      </c>
      <c r="H1880" s="21" t="s">
        <v>2390</v>
      </c>
      <c r="I1880" s="21" t="s">
        <v>2310</v>
      </c>
    </row>
    <row r="1881" spans="1:9" x14ac:dyDescent="0.25">
      <c r="A1881" s="21" t="s">
        <v>2391</v>
      </c>
      <c r="B1881">
        <v>98</v>
      </c>
      <c r="C1881" s="21" t="s">
        <v>319</v>
      </c>
      <c r="D1881" s="21" t="s">
        <v>67</v>
      </c>
      <c r="E1881">
        <v>270</v>
      </c>
      <c r="F1881">
        <v>23</v>
      </c>
      <c r="G1881" s="21" t="s">
        <v>30</v>
      </c>
      <c r="H1881" s="21" t="s">
        <v>320</v>
      </c>
      <c r="I1881" s="21" t="s">
        <v>2310</v>
      </c>
    </row>
    <row r="1882" spans="1:9" x14ac:dyDescent="0.25">
      <c r="A1882" s="21" t="s">
        <v>2392</v>
      </c>
      <c r="B1882">
        <v>99</v>
      </c>
      <c r="C1882" s="21" t="s">
        <v>114</v>
      </c>
      <c r="D1882" s="21" t="s">
        <v>44</v>
      </c>
      <c r="E1882">
        <v>300</v>
      </c>
      <c r="F1882">
        <v>26</v>
      </c>
      <c r="G1882" s="21" t="s">
        <v>16</v>
      </c>
      <c r="H1882" s="21" t="s">
        <v>104</v>
      </c>
      <c r="I1882" s="21" t="s">
        <v>2310</v>
      </c>
    </row>
    <row r="1883" spans="1:9" x14ac:dyDescent="0.25">
      <c r="A1883" s="21" t="s">
        <v>2393</v>
      </c>
      <c r="B1883">
        <v>81</v>
      </c>
      <c r="C1883" s="21" t="s">
        <v>57</v>
      </c>
      <c r="D1883" s="21" t="s">
        <v>67</v>
      </c>
      <c r="E1883">
        <v>261</v>
      </c>
      <c r="F1883">
        <v>29</v>
      </c>
      <c r="G1883" s="21" t="s">
        <v>100</v>
      </c>
      <c r="H1883" s="21" t="s">
        <v>36</v>
      </c>
      <c r="I1883" s="21" t="s">
        <v>2310</v>
      </c>
    </row>
    <row r="1884" spans="1:9" x14ac:dyDescent="0.25">
      <c r="A1884" s="21" t="s">
        <v>2394</v>
      </c>
      <c r="B1884">
        <v>24</v>
      </c>
      <c r="C1884" s="21" t="s">
        <v>51</v>
      </c>
      <c r="D1884" s="21" t="s">
        <v>52</v>
      </c>
      <c r="E1884">
        <v>223</v>
      </c>
      <c r="F1884">
        <v>28</v>
      </c>
      <c r="G1884" s="21" t="s">
        <v>100</v>
      </c>
      <c r="H1884" s="21" t="s">
        <v>274</v>
      </c>
      <c r="I1884" s="21" t="s">
        <v>2310</v>
      </c>
    </row>
    <row r="1885" spans="1:9" x14ac:dyDescent="0.25">
      <c r="A1885" s="21" t="s">
        <v>2395</v>
      </c>
      <c r="B1885">
        <v>65</v>
      </c>
      <c r="C1885" s="21" t="s">
        <v>140</v>
      </c>
      <c r="D1885" s="21" t="s">
        <v>29</v>
      </c>
      <c r="E1885">
        <v>339</v>
      </c>
      <c r="G1885" s="21" t="s">
        <v>25</v>
      </c>
      <c r="H1885" s="21" t="s">
        <v>149</v>
      </c>
      <c r="I1885" s="21" t="s">
        <v>2310</v>
      </c>
    </row>
    <row r="1886" spans="1:9" x14ac:dyDescent="0.25">
      <c r="A1886" s="21" t="s">
        <v>2396</v>
      </c>
      <c r="B1886">
        <v>20</v>
      </c>
      <c r="C1886" s="21" t="s">
        <v>15</v>
      </c>
      <c r="D1886" s="21" t="s">
        <v>44</v>
      </c>
      <c r="E1886">
        <v>242</v>
      </c>
      <c r="F1886">
        <v>23</v>
      </c>
      <c r="G1886" s="21" t="s">
        <v>30</v>
      </c>
      <c r="H1886" s="21" t="s">
        <v>36</v>
      </c>
      <c r="I1886" s="21" t="s">
        <v>2310</v>
      </c>
    </row>
    <row r="1887" spans="1:9" x14ac:dyDescent="0.25">
      <c r="A1887" s="21" t="s">
        <v>2397</v>
      </c>
      <c r="B1887">
        <v>19</v>
      </c>
      <c r="C1887" s="21" t="s">
        <v>193</v>
      </c>
      <c r="D1887" s="21" t="s">
        <v>67</v>
      </c>
      <c r="E1887">
        <v>215</v>
      </c>
      <c r="G1887" s="21" t="s">
        <v>25</v>
      </c>
      <c r="H1887" s="21" t="s">
        <v>306</v>
      </c>
      <c r="I1887" s="21" t="s">
        <v>2310</v>
      </c>
    </row>
    <row r="1888" spans="1:9" x14ac:dyDescent="0.25">
      <c r="A1888" s="21" t="s">
        <v>2398</v>
      </c>
      <c r="B1888">
        <v>17</v>
      </c>
      <c r="C1888" s="21" t="s">
        <v>10</v>
      </c>
      <c r="D1888" s="21" t="s">
        <v>44</v>
      </c>
      <c r="E1888">
        <v>216</v>
      </c>
      <c r="F1888">
        <v>30</v>
      </c>
      <c r="G1888" s="21" t="s">
        <v>38</v>
      </c>
      <c r="H1888" s="21" t="s">
        <v>143</v>
      </c>
      <c r="I1888" s="21" t="s">
        <v>2310</v>
      </c>
    </row>
    <row r="1889" spans="1:9" x14ac:dyDescent="0.25">
      <c r="A1889" s="21" t="s">
        <v>2399</v>
      </c>
      <c r="B1889">
        <v>26</v>
      </c>
      <c r="C1889" s="21" t="s">
        <v>48</v>
      </c>
      <c r="D1889" s="21" t="s">
        <v>11</v>
      </c>
      <c r="E1889">
        <v>196</v>
      </c>
      <c r="F1889">
        <v>29</v>
      </c>
      <c r="G1889" s="21" t="s">
        <v>21</v>
      </c>
      <c r="H1889" s="21" t="s">
        <v>241</v>
      </c>
      <c r="I1889" s="21" t="s">
        <v>2310</v>
      </c>
    </row>
    <row r="1890" spans="1:9" x14ac:dyDescent="0.25">
      <c r="A1890" s="21" t="s">
        <v>2400</v>
      </c>
      <c r="B1890">
        <v>58</v>
      </c>
      <c r="C1890" s="21" t="s">
        <v>15</v>
      </c>
      <c r="D1890" s="21" t="s">
        <v>52</v>
      </c>
      <c r="E1890">
        <v>230</v>
      </c>
      <c r="F1890">
        <v>27</v>
      </c>
      <c r="G1890" s="21" t="s">
        <v>38</v>
      </c>
      <c r="H1890" s="21" t="s">
        <v>304</v>
      </c>
      <c r="I1890" s="21" t="s">
        <v>2310</v>
      </c>
    </row>
    <row r="1891" spans="1:9" x14ac:dyDescent="0.25">
      <c r="A1891" s="21" t="s">
        <v>2401</v>
      </c>
      <c r="B1891">
        <v>18</v>
      </c>
      <c r="C1891" s="21" t="s">
        <v>10</v>
      </c>
      <c r="D1891" s="21" t="s">
        <v>11</v>
      </c>
      <c r="E1891">
        <v>192</v>
      </c>
      <c r="F1891">
        <v>25</v>
      </c>
      <c r="G1891" s="21" t="s">
        <v>83</v>
      </c>
      <c r="H1891" s="21" t="s">
        <v>370</v>
      </c>
      <c r="I1891" s="21" t="s">
        <v>2310</v>
      </c>
    </row>
    <row r="1892" spans="1:9" x14ac:dyDescent="0.25">
      <c r="A1892" s="21" t="s">
        <v>2402</v>
      </c>
      <c r="B1892">
        <v>2</v>
      </c>
      <c r="C1892" s="21" t="s">
        <v>70</v>
      </c>
      <c r="D1892" s="21" t="s">
        <v>35</v>
      </c>
      <c r="E1892">
        <v>231</v>
      </c>
      <c r="F1892">
        <v>28</v>
      </c>
      <c r="G1892" s="21" t="s">
        <v>21</v>
      </c>
      <c r="H1892" s="21" t="s">
        <v>241</v>
      </c>
      <c r="I1892" s="21" t="s">
        <v>2310</v>
      </c>
    </row>
    <row r="1893" spans="1:9" x14ac:dyDescent="0.25">
      <c r="A1893" s="21" t="s">
        <v>2403</v>
      </c>
      <c r="B1893">
        <v>49</v>
      </c>
      <c r="C1893" s="21" t="s">
        <v>158</v>
      </c>
      <c r="D1893" s="21" t="s">
        <v>44</v>
      </c>
      <c r="E1893">
        <v>255</v>
      </c>
      <c r="F1893">
        <v>29</v>
      </c>
      <c r="G1893" s="21" t="s">
        <v>38</v>
      </c>
      <c r="H1893" s="21" t="s">
        <v>674</v>
      </c>
      <c r="I1893" s="21" t="s">
        <v>2310</v>
      </c>
    </row>
    <row r="1894" spans="1:9" x14ac:dyDescent="0.25">
      <c r="A1894" s="21" t="s">
        <v>2404</v>
      </c>
      <c r="B1894">
        <v>67</v>
      </c>
      <c r="C1894" s="21" t="s">
        <v>140</v>
      </c>
      <c r="D1894" s="21" t="s">
        <v>20</v>
      </c>
      <c r="E1894">
        <v>321</v>
      </c>
      <c r="F1894">
        <v>24</v>
      </c>
      <c r="G1894" s="21" t="s">
        <v>30</v>
      </c>
      <c r="H1894" s="21" t="s">
        <v>683</v>
      </c>
      <c r="I1894" s="21" t="s">
        <v>2310</v>
      </c>
    </row>
    <row r="1895" spans="1:9" x14ac:dyDescent="0.25">
      <c r="A1895" s="21" t="s">
        <v>2382</v>
      </c>
      <c r="B1895">
        <v>89</v>
      </c>
      <c r="C1895" s="21" t="s">
        <v>10</v>
      </c>
      <c r="D1895" s="21" t="s">
        <v>11</v>
      </c>
      <c r="E1895">
        <v>180</v>
      </c>
      <c r="F1895">
        <v>23</v>
      </c>
      <c r="G1895" s="21" t="s">
        <v>25</v>
      </c>
      <c r="H1895" s="21" t="s">
        <v>509</v>
      </c>
      <c r="I1895" s="21" t="s">
        <v>2310</v>
      </c>
    </row>
    <row r="1896" spans="1:9" x14ac:dyDescent="0.25">
      <c r="A1896" s="21" t="s">
        <v>2405</v>
      </c>
      <c r="B1896">
        <v>89</v>
      </c>
      <c r="C1896" s="21" t="s">
        <v>57</v>
      </c>
      <c r="D1896" s="21" t="s">
        <v>67</v>
      </c>
      <c r="E1896">
        <v>270</v>
      </c>
      <c r="F1896">
        <v>24</v>
      </c>
      <c r="G1896" s="21" t="s">
        <v>30</v>
      </c>
      <c r="H1896" s="21" t="s">
        <v>162</v>
      </c>
      <c r="I1896" s="21" t="s">
        <v>2310</v>
      </c>
    </row>
    <row r="1897" spans="1:9" x14ac:dyDescent="0.25">
      <c r="A1897" s="21" t="s">
        <v>1259</v>
      </c>
      <c r="B1897">
        <v>86</v>
      </c>
      <c r="C1897" s="21" t="s">
        <v>10</v>
      </c>
      <c r="D1897" s="21" t="s">
        <v>24</v>
      </c>
      <c r="E1897">
        <v>193</v>
      </c>
      <c r="F1897">
        <v>23</v>
      </c>
      <c r="G1897" s="21" t="s">
        <v>25</v>
      </c>
      <c r="H1897" s="21" t="s">
        <v>1260</v>
      </c>
      <c r="I1897" s="21" t="s">
        <v>1258</v>
      </c>
    </row>
    <row r="1898" spans="1:9" x14ac:dyDescent="0.25">
      <c r="A1898" s="21" t="s">
        <v>1261</v>
      </c>
      <c r="B1898">
        <v>22</v>
      </c>
      <c r="C1898" s="21" t="s">
        <v>89</v>
      </c>
      <c r="D1898" s="21" t="s">
        <v>11</v>
      </c>
      <c r="E1898">
        <v>205</v>
      </c>
      <c r="G1898" s="21" t="s">
        <v>25</v>
      </c>
      <c r="H1898" s="21" t="s">
        <v>176</v>
      </c>
      <c r="I1898" s="21" t="s">
        <v>1258</v>
      </c>
    </row>
    <row r="1899" spans="1:9" x14ac:dyDescent="0.25">
      <c r="A1899" s="21" t="s">
        <v>1262</v>
      </c>
      <c r="B1899">
        <v>50</v>
      </c>
      <c r="C1899" s="21" t="s">
        <v>19</v>
      </c>
      <c r="D1899" s="21" t="s">
        <v>44</v>
      </c>
      <c r="E1899">
        <v>260</v>
      </c>
      <c r="F1899">
        <v>24</v>
      </c>
      <c r="G1899" s="21" t="s">
        <v>12</v>
      </c>
      <c r="H1899" s="21" t="s">
        <v>194</v>
      </c>
      <c r="I1899" s="21" t="s">
        <v>1258</v>
      </c>
    </row>
    <row r="1900" spans="1:9" x14ac:dyDescent="0.25">
      <c r="A1900" s="21" t="s">
        <v>1263</v>
      </c>
      <c r="B1900">
        <v>48</v>
      </c>
      <c r="C1900" s="21" t="s">
        <v>91</v>
      </c>
      <c r="D1900" s="21" t="s">
        <v>24</v>
      </c>
      <c r="E1900">
        <v>245</v>
      </c>
      <c r="F1900">
        <v>26</v>
      </c>
      <c r="G1900" s="21" t="s">
        <v>45</v>
      </c>
      <c r="H1900" s="21" t="s">
        <v>33</v>
      </c>
      <c r="I1900" s="21" t="s">
        <v>1258</v>
      </c>
    </row>
    <row r="1901" spans="1:9" x14ac:dyDescent="0.25">
      <c r="A1901" s="21" t="s">
        <v>1265</v>
      </c>
      <c r="B1901">
        <v>10</v>
      </c>
      <c r="C1901" s="21" t="s">
        <v>10</v>
      </c>
      <c r="D1901" s="21" t="s">
        <v>135</v>
      </c>
      <c r="E1901">
        <v>190</v>
      </c>
      <c r="F1901">
        <v>26</v>
      </c>
      <c r="G1901" s="21" t="s">
        <v>45</v>
      </c>
      <c r="H1901" s="21" t="s">
        <v>385</v>
      </c>
      <c r="I1901" s="21" t="s">
        <v>1258</v>
      </c>
    </row>
    <row r="1902" spans="1:9" x14ac:dyDescent="0.25">
      <c r="A1902" s="21" t="s">
        <v>1266</v>
      </c>
      <c r="B1902">
        <v>3</v>
      </c>
      <c r="C1902" s="21" t="s">
        <v>10</v>
      </c>
      <c r="D1902" s="21" t="s">
        <v>44</v>
      </c>
      <c r="E1902">
        <v>213</v>
      </c>
      <c r="F1902">
        <v>24</v>
      </c>
      <c r="G1902" s="21" t="s">
        <v>83</v>
      </c>
      <c r="H1902" s="21" t="s">
        <v>109</v>
      </c>
      <c r="I1902" s="21" t="s">
        <v>1258</v>
      </c>
    </row>
    <row r="1903" spans="1:9" x14ac:dyDescent="0.25">
      <c r="A1903" s="21" t="s">
        <v>1267</v>
      </c>
      <c r="B1903">
        <v>81</v>
      </c>
      <c r="C1903" s="21" t="s">
        <v>57</v>
      </c>
      <c r="D1903" s="21" t="s">
        <v>29</v>
      </c>
      <c r="E1903">
        <v>220</v>
      </c>
      <c r="F1903">
        <v>24</v>
      </c>
      <c r="G1903" s="21" t="s">
        <v>30</v>
      </c>
      <c r="H1903" s="21" t="s">
        <v>196</v>
      </c>
      <c r="I1903" s="21" t="s">
        <v>1258</v>
      </c>
    </row>
    <row r="1904" spans="1:9" x14ac:dyDescent="0.25">
      <c r="A1904" s="21" t="s">
        <v>1268</v>
      </c>
      <c r="B1904">
        <v>32</v>
      </c>
      <c r="C1904" s="21" t="s">
        <v>51</v>
      </c>
      <c r="D1904" s="21" t="s">
        <v>86</v>
      </c>
      <c r="E1904">
        <v>201</v>
      </c>
      <c r="F1904">
        <v>23</v>
      </c>
      <c r="G1904" s="21" t="s">
        <v>30</v>
      </c>
      <c r="H1904" s="21" t="s">
        <v>73</v>
      </c>
      <c r="I1904" s="21" t="s">
        <v>1258</v>
      </c>
    </row>
    <row r="1905" spans="1:9" x14ac:dyDescent="0.25">
      <c r="A1905" s="21" t="s">
        <v>1269</v>
      </c>
      <c r="B1905">
        <v>30</v>
      </c>
      <c r="C1905" s="21" t="s">
        <v>48</v>
      </c>
      <c r="D1905" s="21" t="s">
        <v>125</v>
      </c>
      <c r="E1905">
        <v>184</v>
      </c>
      <c r="F1905">
        <v>23</v>
      </c>
      <c r="G1905" s="21" t="s">
        <v>30</v>
      </c>
      <c r="H1905" s="21" t="s">
        <v>347</v>
      </c>
      <c r="I1905" s="21" t="s">
        <v>1258</v>
      </c>
    </row>
    <row r="1906" spans="1:9" x14ac:dyDescent="0.25">
      <c r="A1906" s="21" t="s">
        <v>1270</v>
      </c>
      <c r="B1906">
        <v>82</v>
      </c>
      <c r="C1906" s="21" t="s">
        <v>10</v>
      </c>
      <c r="D1906" s="21" t="s">
        <v>35</v>
      </c>
      <c r="E1906">
        <v>219</v>
      </c>
      <c r="G1906" s="21" t="s">
        <v>25</v>
      </c>
      <c r="H1906" s="21" t="s">
        <v>1271</v>
      </c>
      <c r="I1906" s="21" t="s">
        <v>1258</v>
      </c>
    </row>
    <row r="1907" spans="1:9" x14ac:dyDescent="0.25">
      <c r="A1907" s="21" t="s">
        <v>1272</v>
      </c>
      <c r="B1907">
        <v>72</v>
      </c>
      <c r="C1907" s="21" t="s">
        <v>19</v>
      </c>
      <c r="D1907" s="21" t="s">
        <v>29</v>
      </c>
      <c r="E1907">
        <v>270</v>
      </c>
      <c r="F1907">
        <v>24</v>
      </c>
      <c r="G1907" s="21" t="s">
        <v>25</v>
      </c>
      <c r="H1907" s="21" t="s">
        <v>152</v>
      </c>
      <c r="I1907" s="21" t="s">
        <v>1258</v>
      </c>
    </row>
    <row r="1908" spans="1:9" x14ac:dyDescent="0.25">
      <c r="A1908" s="21" t="s">
        <v>1273</v>
      </c>
      <c r="B1908">
        <v>23</v>
      </c>
      <c r="C1908" s="21" t="s">
        <v>51</v>
      </c>
      <c r="D1908" s="21" t="s">
        <v>52</v>
      </c>
      <c r="E1908">
        <v>210</v>
      </c>
      <c r="F1908">
        <v>29</v>
      </c>
      <c r="G1908" s="21" t="s">
        <v>21</v>
      </c>
      <c r="H1908" s="21" t="s">
        <v>138</v>
      </c>
      <c r="I1908" s="21" t="s">
        <v>1258</v>
      </c>
    </row>
    <row r="1909" spans="1:9" x14ac:dyDescent="0.25">
      <c r="A1909" s="21" t="s">
        <v>1274</v>
      </c>
      <c r="B1909">
        <v>83</v>
      </c>
      <c r="C1909" s="21" t="s">
        <v>57</v>
      </c>
      <c r="D1909" s="21" t="s">
        <v>44</v>
      </c>
      <c r="E1909">
        <v>254</v>
      </c>
      <c r="F1909">
        <v>26</v>
      </c>
      <c r="G1909" s="21" t="s">
        <v>45</v>
      </c>
      <c r="H1909" s="21" t="s">
        <v>442</v>
      </c>
      <c r="I1909" s="21" t="s">
        <v>1258</v>
      </c>
    </row>
    <row r="1910" spans="1:9" x14ac:dyDescent="0.25">
      <c r="A1910" s="21" t="s">
        <v>1275</v>
      </c>
      <c r="B1910">
        <v>99</v>
      </c>
      <c r="C1910" s="21" t="s">
        <v>19</v>
      </c>
      <c r="D1910" s="21" t="s">
        <v>44</v>
      </c>
      <c r="E1910">
        <v>279</v>
      </c>
      <c r="F1910">
        <v>34</v>
      </c>
      <c r="G1910" s="21" t="s">
        <v>254</v>
      </c>
      <c r="H1910" s="21" t="s">
        <v>705</v>
      </c>
      <c r="I1910" s="21" t="s">
        <v>1258</v>
      </c>
    </row>
    <row r="1911" spans="1:9" x14ac:dyDescent="0.25">
      <c r="A1911" s="21" t="s">
        <v>1276</v>
      </c>
      <c r="B1911">
        <v>21</v>
      </c>
      <c r="C1911" s="21" t="s">
        <v>89</v>
      </c>
      <c r="D1911" s="21" t="s">
        <v>52</v>
      </c>
      <c r="E1911">
        <v>202</v>
      </c>
      <c r="F1911">
        <v>25</v>
      </c>
      <c r="G1911" s="21" t="s">
        <v>12</v>
      </c>
      <c r="H1911" s="21" t="s">
        <v>226</v>
      </c>
      <c r="I1911" s="21" t="s">
        <v>1258</v>
      </c>
    </row>
    <row r="1912" spans="1:9" x14ac:dyDescent="0.25">
      <c r="A1912" s="21" t="s">
        <v>1277</v>
      </c>
      <c r="B1912">
        <v>84</v>
      </c>
      <c r="C1912" s="21" t="s">
        <v>10</v>
      </c>
      <c r="D1912" s="21" t="s">
        <v>44</v>
      </c>
      <c r="E1912">
        <v>209</v>
      </c>
      <c r="F1912">
        <v>27</v>
      </c>
      <c r="G1912" s="21" t="s">
        <v>38</v>
      </c>
      <c r="H1912" s="21" t="s">
        <v>147</v>
      </c>
      <c r="I1912" s="21" t="s">
        <v>1258</v>
      </c>
    </row>
    <row r="1913" spans="1:9" x14ac:dyDescent="0.25">
      <c r="A1913" s="21" t="s">
        <v>1278</v>
      </c>
      <c r="B1913">
        <v>27</v>
      </c>
      <c r="C1913" s="21" t="s">
        <v>48</v>
      </c>
      <c r="D1913" s="21" t="s">
        <v>11</v>
      </c>
      <c r="E1913">
        <v>193</v>
      </c>
      <c r="F1913">
        <v>23</v>
      </c>
      <c r="G1913" s="21" t="s">
        <v>30</v>
      </c>
      <c r="H1913" s="21" t="s">
        <v>374</v>
      </c>
      <c r="I1913" s="21" t="s">
        <v>1258</v>
      </c>
    </row>
    <row r="1914" spans="1:9" x14ac:dyDescent="0.25">
      <c r="A1914" s="21" t="s">
        <v>1279</v>
      </c>
      <c r="B1914">
        <v>26</v>
      </c>
      <c r="C1914" s="21" t="s">
        <v>48</v>
      </c>
      <c r="D1914" s="21" t="s">
        <v>125</v>
      </c>
      <c r="E1914">
        <v>175</v>
      </c>
      <c r="F1914">
        <v>24</v>
      </c>
      <c r="G1914" s="21" t="s">
        <v>30</v>
      </c>
      <c r="H1914" s="21" t="s">
        <v>683</v>
      </c>
      <c r="I1914" s="21" t="s">
        <v>1258</v>
      </c>
    </row>
    <row r="1915" spans="1:9" x14ac:dyDescent="0.25">
      <c r="A1915" s="21" t="s">
        <v>1280</v>
      </c>
      <c r="B1915">
        <v>70</v>
      </c>
      <c r="C1915" s="21" t="s">
        <v>140</v>
      </c>
      <c r="D1915" s="21" t="s">
        <v>44</v>
      </c>
      <c r="E1915">
        <v>308</v>
      </c>
      <c r="F1915">
        <v>25</v>
      </c>
      <c r="G1915" s="21" t="s">
        <v>16</v>
      </c>
      <c r="H1915" s="21" t="s">
        <v>280</v>
      </c>
      <c r="I1915" s="21" t="s">
        <v>1258</v>
      </c>
    </row>
    <row r="1916" spans="1:9" x14ac:dyDescent="0.25">
      <c r="A1916" s="21" t="s">
        <v>1282</v>
      </c>
      <c r="B1916">
        <v>67</v>
      </c>
      <c r="C1916" s="21" t="s">
        <v>28</v>
      </c>
      <c r="D1916" s="21" t="s">
        <v>35</v>
      </c>
      <c r="E1916">
        <v>310</v>
      </c>
      <c r="F1916">
        <v>28</v>
      </c>
      <c r="G1916" s="21" t="s">
        <v>38</v>
      </c>
      <c r="H1916" s="21" t="s">
        <v>138</v>
      </c>
      <c r="I1916" s="21" t="s">
        <v>1258</v>
      </c>
    </row>
    <row r="1917" spans="1:9" x14ac:dyDescent="0.25">
      <c r="A1917" s="21" t="s">
        <v>1283</v>
      </c>
      <c r="B1917">
        <v>68</v>
      </c>
      <c r="C1917" s="21" t="s">
        <v>28</v>
      </c>
      <c r="D1917" s="21" t="s">
        <v>35</v>
      </c>
      <c r="E1917">
        <v>306</v>
      </c>
      <c r="F1917">
        <v>23</v>
      </c>
      <c r="G1917" s="21" t="s">
        <v>30</v>
      </c>
      <c r="H1917" s="21" t="s">
        <v>721</v>
      </c>
      <c r="I1917" s="21" t="s">
        <v>1258</v>
      </c>
    </row>
    <row r="1918" spans="1:9" x14ac:dyDescent="0.25">
      <c r="A1918" s="21" t="s">
        <v>1284</v>
      </c>
      <c r="B1918">
        <v>19</v>
      </c>
      <c r="C1918" s="21" t="s">
        <v>70</v>
      </c>
      <c r="D1918" s="21" t="s">
        <v>67</v>
      </c>
      <c r="E1918">
        <v>245</v>
      </c>
      <c r="F1918">
        <v>37</v>
      </c>
      <c r="G1918" s="21" t="s">
        <v>712</v>
      </c>
      <c r="H1918" s="21" t="s">
        <v>624</v>
      </c>
      <c r="I1918" s="21" t="s">
        <v>1258</v>
      </c>
    </row>
    <row r="1919" spans="1:9" x14ac:dyDescent="0.25">
      <c r="A1919" s="21" t="s">
        <v>1285</v>
      </c>
      <c r="B1919">
        <v>91</v>
      </c>
      <c r="C1919" s="21" t="s">
        <v>19</v>
      </c>
      <c r="D1919" s="21" t="s">
        <v>35</v>
      </c>
      <c r="E1919">
        <v>288</v>
      </c>
      <c r="F1919">
        <v>25</v>
      </c>
      <c r="G1919" s="21" t="s">
        <v>45</v>
      </c>
      <c r="H1919" s="21" t="s">
        <v>1994</v>
      </c>
      <c r="I1919" s="21" t="s">
        <v>1258</v>
      </c>
    </row>
    <row r="1920" spans="1:9" x14ac:dyDescent="0.25">
      <c r="A1920" s="21" t="s">
        <v>1286</v>
      </c>
      <c r="B1920">
        <v>1</v>
      </c>
      <c r="C1920" s="21" t="s">
        <v>48</v>
      </c>
      <c r="D1920" s="21" t="s">
        <v>44</v>
      </c>
      <c r="E1920">
        <v>200</v>
      </c>
      <c r="F1920">
        <v>21</v>
      </c>
      <c r="G1920" s="21" t="s">
        <v>25</v>
      </c>
      <c r="H1920" s="21" t="s">
        <v>304</v>
      </c>
      <c r="I1920" s="21" t="s">
        <v>1258</v>
      </c>
    </row>
    <row r="1921" spans="1:9" x14ac:dyDescent="0.25">
      <c r="A1921" s="21" t="s">
        <v>1287</v>
      </c>
      <c r="B1921">
        <v>40</v>
      </c>
      <c r="C1921" s="21" t="s">
        <v>48</v>
      </c>
      <c r="D1921" s="21" t="s">
        <v>135</v>
      </c>
      <c r="E1921">
        <v>191</v>
      </c>
      <c r="F1921">
        <v>23</v>
      </c>
      <c r="G1921" s="21" t="s">
        <v>12</v>
      </c>
      <c r="H1921" s="21" t="s">
        <v>194</v>
      </c>
      <c r="I1921" s="21" t="s">
        <v>1258</v>
      </c>
    </row>
    <row r="1922" spans="1:9" x14ac:dyDescent="0.25">
      <c r="A1922" s="21" t="s">
        <v>1355</v>
      </c>
      <c r="B1922">
        <v>20</v>
      </c>
      <c r="C1922" s="21" t="s">
        <v>51</v>
      </c>
      <c r="D1922" s="21" t="s">
        <v>52</v>
      </c>
      <c r="E1922">
        <v>220</v>
      </c>
      <c r="F1922">
        <v>21</v>
      </c>
      <c r="G1922" s="21" t="s">
        <v>25</v>
      </c>
      <c r="H1922" s="21" t="s">
        <v>162</v>
      </c>
      <c r="I1922" s="21" t="s">
        <v>1258</v>
      </c>
    </row>
    <row r="1923" spans="1:9" x14ac:dyDescent="0.25">
      <c r="A1923" s="21" t="s">
        <v>1288</v>
      </c>
      <c r="B1923">
        <v>37</v>
      </c>
      <c r="C1923" s="21" t="s">
        <v>48</v>
      </c>
      <c r="D1923" s="21" t="s">
        <v>52</v>
      </c>
      <c r="E1923">
        <v>202</v>
      </c>
      <c r="F1923">
        <v>24</v>
      </c>
      <c r="G1923" s="21" t="s">
        <v>12</v>
      </c>
      <c r="H1923" s="21" t="s">
        <v>333</v>
      </c>
      <c r="I1923" s="21" t="s">
        <v>1258</v>
      </c>
    </row>
    <row r="1924" spans="1:9" x14ac:dyDescent="0.25">
      <c r="A1924" s="21" t="s">
        <v>1289</v>
      </c>
      <c r="B1924">
        <v>34</v>
      </c>
      <c r="C1924" s="21" t="s">
        <v>48</v>
      </c>
      <c r="D1924" s="21" t="s">
        <v>52</v>
      </c>
      <c r="E1924">
        <v>200</v>
      </c>
      <c r="F1924">
        <v>28</v>
      </c>
      <c r="G1924" s="21" t="s">
        <v>38</v>
      </c>
      <c r="H1924" s="21" t="s">
        <v>176</v>
      </c>
      <c r="I1924" s="21" t="s">
        <v>1258</v>
      </c>
    </row>
    <row r="1925" spans="1:9" x14ac:dyDescent="0.25">
      <c r="A1925" s="21" t="s">
        <v>1290</v>
      </c>
      <c r="B1925">
        <v>36</v>
      </c>
      <c r="C1925" s="21" t="s">
        <v>15</v>
      </c>
      <c r="D1925" s="21" t="s">
        <v>11</v>
      </c>
      <c r="E1925">
        <v>208</v>
      </c>
      <c r="F1925">
        <v>28</v>
      </c>
      <c r="G1925" s="21" t="s">
        <v>45</v>
      </c>
      <c r="H1925" s="21" t="s">
        <v>251</v>
      </c>
      <c r="I1925" s="21" t="s">
        <v>1258</v>
      </c>
    </row>
    <row r="1926" spans="1:9" x14ac:dyDescent="0.25">
      <c r="A1926" s="21" t="s">
        <v>1291</v>
      </c>
      <c r="B1926">
        <v>42</v>
      </c>
      <c r="C1926" s="21" t="s">
        <v>158</v>
      </c>
      <c r="D1926" s="21" t="s">
        <v>24</v>
      </c>
      <c r="E1926">
        <v>246</v>
      </c>
      <c r="F1926">
        <v>28</v>
      </c>
      <c r="G1926" s="21" t="s">
        <v>38</v>
      </c>
      <c r="H1926" s="21" t="s">
        <v>347</v>
      </c>
      <c r="I1926" s="21" t="s">
        <v>1258</v>
      </c>
    </row>
    <row r="1927" spans="1:9" x14ac:dyDescent="0.25">
      <c r="A1927" s="21" t="s">
        <v>1292</v>
      </c>
      <c r="B1927">
        <v>71</v>
      </c>
      <c r="C1927" s="21" t="s">
        <v>28</v>
      </c>
      <c r="D1927" s="21" t="s">
        <v>35</v>
      </c>
      <c r="E1927">
        <v>334</v>
      </c>
      <c r="F1927">
        <v>24</v>
      </c>
      <c r="G1927" s="21" t="s">
        <v>16</v>
      </c>
      <c r="H1927" s="21" t="s">
        <v>165</v>
      </c>
      <c r="I1927" s="21" t="s">
        <v>1258</v>
      </c>
    </row>
    <row r="1928" spans="1:9" x14ac:dyDescent="0.25">
      <c r="A1928" s="21" t="s">
        <v>1293</v>
      </c>
      <c r="B1928">
        <v>63</v>
      </c>
      <c r="C1928" s="21" t="s">
        <v>28</v>
      </c>
      <c r="D1928" s="21" t="s">
        <v>20</v>
      </c>
      <c r="E1928">
        <v>300</v>
      </c>
      <c r="F1928">
        <v>24</v>
      </c>
      <c r="G1928" s="21" t="s">
        <v>83</v>
      </c>
      <c r="H1928" s="21" t="s">
        <v>400</v>
      </c>
      <c r="I1928" s="21" t="s">
        <v>1258</v>
      </c>
    </row>
    <row r="1929" spans="1:9" x14ac:dyDescent="0.25">
      <c r="A1929" s="21" t="s">
        <v>1294</v>
      </c>
      <c r="B1929">
        <v>47</v>
      </c>
      <c r="C1929" s="21" t="s">
        <v>19</v>
      </c>
      <c r="D1929" s="21" t="s">
        <v>44</v>
      </c>
      <c r="E1929">
        <v>255</v>
      </c>
      <c r="F1929">
        <v>24</v>
      </c>
      <c r="G1929" s="21" t="s">
        <v>12</v>
      </c>
      <c r="H1929" s="21" t="s">
        <v>627</v>
      </c>
      <c r="I1929" s="21" t="s">
        <v>1258</v>
      </c>
    </row>
    <row r="1930" spans="1:9" x14ac:dyDescent="0.25">
      <c r="A1930" s="21" t="s">
        <v>1295</v>
      </c>
      <c r="B1930">
        <v>9</v>
      </c>
      <c r="C1930" s="21" t="s">
        <v>10</v>
      </c>
      <c r="D1930" s="21" t="s">
        <v>135</v>
      </c>
      <c r="E1930">
        <v>193</v>
      </c>
      <c r="G1930" s="21" t="s">
        <v>25</v>
      </c>
      <c r="H1930" s="21" t="s">
        <v>370</v>
      </c>
      <c r="I1930" s="21" t="s">
        <v>1258</v>
      </c>
    </row>
    <row r="1931" spans="1:9" x14ac:dyDescent="0.25">
      <c r="A1931" s="21" t="s">
        <v>4812</v>
      </c>
      <c r="C1931" s="21" t="s">
        <v>124</v>
      </c>
      <c r="D1931" s="21" t="s">
        <v>125</v>
      </c>
      <c r="E1931">
        <v>195</v>
      </c>
      <c r="F1931">
        <v>26</v>
      </c>
      <c r="G1931" s="21" t="s">
        <v>12</v>
      </c>
      <c r="H1931" s="21" t="s">
        <v>2193</v>
      </c>
      <c r="I1931" s="21" t="s">
        <v>1258</v>
      </c>
    </row>
    <row r="1932" spans="1:9" x14ac:dyDescent="0.25">
      <c r="A1932" s="21" t="s">
        <v>1296</v>
      </c>
      <c r="B1932">
        <v>52</v>
      </c>
      <c r="C1932" s="21" t="s">
        <v>319</v>
      </c>
      <c r="D1932" s="21" t="s">
        <v>29</v>
      </c>
      <c r="E1932">
        <v>262</v>
      </c>
      <c r="F1932">
        <v>23</v>
      </c>
      <c r="G1932" s="21" t="s">
        <v>25</v>
      </c>
      <c r="H1932" s="21" t="s">
        <v>241</v>
      </c>
      <c r="I1932" s="21" t="s">
        <v>1258</v>
      </c>
    </row>
    <row r="1933" spans="1:9" x14ac:dyDescent="0.25">
      <c r="A1933" s="21" t="s">
        <v>1297</v>
      </c>
      <c r="B1933">
        <v>25</v>
      </c>
      <c r="C1933" s="21" t="s">
        <v>51</v>
      </c>
      <c r="D1933" s="21" t="s">
        <v>125</v>
      </c>
      <c r="E1933">
        <v>210</v>
      </c>
      <c r="F1933">
        <v>24</v>
      </c>
      <c r="G1933" s="21" t="s">
        <v>16</v>
      </c>
      <c r="H1933" s="21" t="s">
        <v>481</v>
      </c>
      <c r="I1933" s="21" t="s">
        <v>1258</v>
      </c>
    </row>
    <row r="1934" spans="1:9" x14ac:dyDescent="0.25">
      <c r="A1934" s="21" t="s">
        <v>1298</v>
      </c>
      <c r="B1934">
        <v>29</v>
      </c>
      <c r="C1934" s="21" t="s">
        <v>89</v>
      </c>
      <c r="D1934" s="21" t="s">
        <v>86</v>
      </c>
      <c r="E1934">
        <v>185</v>
      </c>
      <c r="F1934">
        <v>31</v>
      </c>
      <c r="G1934" s="21" t="s">
        <v>64</v>
      </c>
      <c r="H1934" s="21" t="s">
        <v>241</v>
      </c>
      <c r="I1934" s="21" t="s">
        <v>1258</v>
      </c>
    </row>
    <row r="1935" spans="1:9" x14ac:dyDescent="0.25">
      <c r="A1935" s="21" t="s">
        <v>1299</v>
      </c>
      <c r="B1935">
        <v>62</v>
      </c>
      <c r="C1935" s="21" t="s">
        <v>28</v>
      </c>
      <c r="D1935" s="21" t="s">
        <v>29</v>
      </c>
      <c r="E1935">
        <v>320</v>
      </c>
      <c r="F1935">
        <v>26</v>
      </c>
      <c r="G1935" s="21" t="s">
        <v>30</v>
      </c>
      <c r="H1935" s="21" t="s">
        <v>241</v>
      </c>
      <c r="I1935" s="21" t="s">
        <v>1258</v>
      </c>
    </row>
    <row r="1936" spans="1:9" x14ac:dyDescent="0.25">
      <c r="A1936" s="21" t="s">
        <v>1300</v>
      </c>
      <c r="B1936">
        <v>35</v>
      </c>
      <c r="C1936" s="21" t="s">
        <v>51</v>
      </c>
      <c r="D1936" s="21" t="s">
        <v>125</v>
      </c>
      <c r="E1936">
        <v>209</v>
      </c>
      <c r="F1936">
        <v>21</v>
      </c>
      <c r="G1936" s="21" t="s">
        <v>25</v>
      </c>
      <c r="H1936" s="21" t="s">
        <v>106</v>
      </c>
      <c r="I1936" s="21" t="s">
        <v>1258</v>
      </c>
    </row>
    <row r="1937" spans="1:9" x14ac:dyDescent="0.25">
      <c r="A1937" s="21" t="s">
        <v>1302</v>
      </c>
      <c r="B1937">
        <v>7</v>
      </c>
      <c r="C1937" s="21" t="s">
        <v>193</v>
      </c>
      <c r="D1937" s="21" t="s">
        <v>54</v>
      </c>
      <c r="E1937">
        <v>198</v>
      </c>
      <c r="F1937">
        <v>24</v>
      </c>
      <c r="G1937" s="21" t="s">
        <v>12</v>
      </c>
      <c r="H1937" s="21" t="s">
        <v>152</v>
      </c>
      <c r="I1937" s="21" t="s">
        <v>1258</v>
      </c>
    </row>
    <row r="1938" spans="1:9" x14ac:dyDescent="0.25">
      <c r="A1938" s="21" t="s">
        <v>1303</v>
      </c>
      <c r="B1938">
        <v>96</v>
      </c>
      <c r="C1938" s="21" t="s">
        <v>19</v>
      </c>
      <c r="D1938" s="21" t="s">
        <v>44</v>
      </c>
      <c r="E1938">
        <v>310</v>
      </c>
      <c r="F1938">
        <v>24</v>
      </c>
      <c r="G1938" s="21" t="s">
        <v>30</v>
      </c>
      <c r="H1938" s="21" t="s">
        <v>80</v>
      </c>
      <c r="I1938" s="21" t="s">
        <v>1258</v>
      </c>
    </row>
    <row r="1939" spans="1:9" x14ac:dyDescent="0.25">
      <c r="A1939" s="21" t="s">
        <v>1304</v>
      </c>
      <c r="B1939">
        <v>54</v>
      </c>
      <c r="C1939" s="21" t="s">
        <v>19</v>
      </c>
      <c r="D1939" s="21" t="s">
        <v>24</v>
      </c>
      <c r="E1939">
        <v>242</v>
      </c>
      <c r="F1939">
        <v>26</v>
      </c>
      <c r="G1939" s="21" t="s">
        <v>16</v>
      </c>
      <c r="H1939" s="21" t="s">
        <v>256</v>
      </c>
      <c r="I1939" s="21" t="s">
        <v>1258</v>
      </c>
    </row>
    <row r="1940" spans="1:9" x14ac:dyDescent="0.25">
      <c r="A1940" s="21" t="s">
        <v>1305</v>
      </c>
      <c r="B1940">
        <v>69</v>
      </c>
      <c r="C1940" s="21" t="s">
        <v>28</v>
      </c>
      <c r="D1940" s="21" t="s">
        <v>141</v>
      </c>
      <c r="E1940">
        <v>310</v>
      </c>
      <c r="F1940">
        <v>29</v>
      </c>
      <c r="G1940" s="21" t="s">
        <v>38</v>
      </c>
      <c r="H1940" s="21" t="s">
        <v>39</v>
      </c>
      <c r="I1940" s="21" t="s">
        <v>1258</v>
      </c>
    </row>
    <row r="1941" spans="1:9" x14ac:dyDescent="0.25">
      <c r="A1941" s="21" t="s">
        <v>1306</v>
      </c>
      <c r="B1941">
        <v>60</v>
      </c>
      <c r="C1941" s="21" t="s">
        <v>184</v>
      </c>
      <c r="D1941" s="21" t="s">
        <v>35</v>
      </c>
      <c r="E1941">
        <v>306</v>
      </c>
      <c r="F1941">
        <v>29</v>
      </c>
      <c r="G1941" s="21" t="s">
        <v>100</v>
      </c>
      <c r="H1941" s="21" t="s">
        <v>335</v>
      </c>
      <c r="I1941" s="21" t="s">
        <v>1258</v>
      </c>
    </row>
    <row r="1942" spans="1:9" x14ac:dyDescent="0.25">
      <c r="A1942" s="21" t="s">
        <v>1307</v>
      </c>
      <c r="B1942">
        <v>11</v>
      </c>
      <c r="C1942" s="21" t="s">
        <v>10</v>
      </c>
      <c r="D1942" s="21" t="s">
        <v>44</v>
      </c>
      <c r="E1942">
        <v>207</v>
      </c>
      <c r="F1942">
        <v>24</v>
      </c>
      <c r="G1942" s="21" t="s">
        <v>12</v>
      </c>
      <c r="H1942" s="21" t="s">
        <v>87</v>
      </c>
      <c r="I1942" s="21" t="s">
        <v>1258</v>
      </c>
    </row>
    <row r="1943" spans="1:9" x14ac:dyDescent="0.25">
      <c r="A1943" s="21" t="s">
        <v>1308</v>
      </c>
      <c r="B1943">
        <v>61</v>
      </c>
      <c r="C1943" s="21" t="s">
        <v>28</v>
      </c>
      <c r="D1943" s="21" t="s">
        <v>67</v>
      </c>
      <c r="E1943">
        <v>299</v>
      </c>
      <c r="F1943">
        <v>22</v>
      </c>
      <c r="G1943" s="21" t="s">
        <v>25</v>
      </c>
      <c r="H1943" s="21" t="s">
        <v>145</v>
      </c>
      <c r="I1943" s="21" t="s">
        <v>1258</v>
      </c>
    </row>
    <row r="1944" spans="1:9" x14ac:dyDescent="0.25">
      <c r="A1944" s="21" t="s">
        <v>1309</v>
      </c>
      <c r="B1944">
        <v>38</v>
      </c>
      <c r="C1944" s="21" t="s">
        <v>89</v>
      </c>
      <c r="D1944" s="21" t="s">
        <v>54</v>
      </c>
      <c r="E1944">
        <v>213</v>
      </c>
      <c r="F1944">
        <v>25</v>
      </c>
      <c r="G1944" s="21" t="s">
        <v>30</v>
      </c>
      <c r="H1944" s="21" t="s">
        <v>179</v>
      </c>
      <c r="I1944" s="21" t="s">
        <v>1258</v>
      </c>
    </row>
    <row r="1945" spans="1:9" x14ac:dyDescent="0.25">
      <c r="A1945" s="21" t="s">
        <v>1310</v>
      </c>
      <c r="B1945">
        <v>6</v>
      </c>
      <c r="C1945" s="21" t="s">
        <v>10</v>
      </c>
      <c r="D1945" s="21" t="s">
        <v>52</v>
      </c>
      <c r="E1945">
        <v>201</v>
      </c>
      <c r="F1945">
        <v>25</v>
      </c>
      <c r="G1945" s="21" t="s">
        <v>30</v>
      </c>
      <c r="H1945" s="21" t="s">
        <v>1311</v>
      </c>
      <c r="I1945" s="21" t="s">
        <v>1258</v>
      </c>
    </row>
    <row r="1946" spans="1:9" x14ac:dyDescent="0.25">
      <c r="A1946" s="21" t="s">
        <v>1312</v>
      </c>
      <c r="B1946">
        <v>8</v>
      </c>
      <c r="C1946" s="21" t="s">
        <v>10</v>
      </c>
      <c r="D1946" s="21" t="s">
        <v>125</v>
      </c>
      <c r="E1946">
        <v>178</v>
      </c>
      <c r="F1946">
        <v>22</v>
      </c>
      <c r="G1946" s="21" t="s">
        <v>30</v>
      </c>
      <c r="H1946" s="21" t="s">
        <v>516</v>
      </c>
      <c r="I1946" s="21" t="s">
        <v>1258</v>
      </c>
    </row>
    <row r="1947" spans="1:9" x14ac:dyDescent="0.25">
      <c r="A1947" s="21" t="s">
        <v>1313</v>
      </c>
      <c r="B1947">
        <v>57</v>
      </c>
      <c r="C1947" s="21" t="s">
        <v>15</v>
      </c>
      <c r="D1947" s="21" t="s">
        <v>24</v>
      </c>
      <c r="E1947">
        <v>231</v>
      </c>
      <c r="F1947">
        <v>30</v>
      </c>
      <c r="G1947" s="21" t="s">
        <v>21</v>
      </c>
      <c r="H1947" s="21" t="s">
        <v>233</v>
      </c>
      <c r="I1947" s="21" t="s">
        <v>1258</v>
      </c>
    </row>
    <row r="1948" spans="1:9" x14ac:dyDescent="0.25">
      <c r="A1948" s="21" t="s">
        <v>1314</v>
      </c>
      <c r="B1948">
        <v>46</v>
      </c>
      <c r="C1948" s="21" t="s">
        <v>89</v>
      </c>
      <c r="D1948" s="21" t="s">
        <v>11</v>
      </c>
      <c r="E1948">
        <v>205</v>
      </c>
      <c r="F1948">
        <v>27</v>
      </c>
      <c r="G1948" s="21" t="s">
        <v>12</v>
      </c>
      <c r="H1948" s="21" t="s">
        <v>204</v>
      </c>
      <c r="I1948" s="21" t="s">
        <v>1258</v>
      </c>
    </row>
    <row r="1949" spans="1:9" x14ac:dyDescent="0.25">
      <c r="A1949" s="21" t="s">
        <v>1315</v>
      </c>
      <c r="B1949">
        <v>45</v>
      </c>
      <c r="C1949" s="21" t="s">
        <v>15</v>
      </c>
      <c r="D1949" s="21" t="s">
        <v>44</v>
      </c>
      <c r="E1949">
        <v>215</v>
      </c>
      <c r="F1949">
        <v>23</v>
      </c>
      <c r="G1949" s="21" t="s">
        <v>30</v>
      </c>
      <c r="H1949" s="21" t="s">
        <v>241</v>
      </c>
      <c r="I1949" s="21" t="s">
        <v>1258</v>
      </c>
    </row>
    <row r="1950" spans="1:9" x14ac:dyDescent="0.25">
      <c r="A1950" s="21" t="s">
        <v>1316</v>
      </c>
      <c r="B1950">
        <v>39</v>
      </c>
      <c r="C1950" s="21" t="s">
        <v>89</v>
      </c>
      <c r="D1950" s="21" t="s">
        <v>11</v>
      </c>
      <c r="E1950">
        <v>200</v>
      </c>
      <c r="F1950">
        <v>28</v>
      </c>
      <c r="G1950" s="21" t="s">
        <v>100</v>
      </c>
      <c r="H1950" s="21" t="s">
        <v>62</v>
      </c>
      <c r="I1950" s="21" t="s">
        <v>1258</v>
      </c>
    </row>
    <row r="1951" spans="1:9" x14ac:dyDescent="0.25">
      <c r="A1951" s="21" t="s">
        <v>1317</v>
      </c>
      <c r="B1951">
        <v>22</v>
      </c>
      <c r="C1951" s="21" t="s">
        <v>51</v>
      </c>
      <c r="D1951" s="21" t="s">
        <v>54</v>
      </c>
      <c r="E1951">
        <v>216</v>
      </c>
      <c r="F1951">
        <v>24</v>
      </c>
      <c r="G1951" s="21" t="s">
        <v>12</v>
      </c>
      <c r="H1951" s="21" t="s">
        <v>251</v>
      </c>
      <c r="I1951" s="21" t="s">
        <v>1258</v>
      </c>
    </row>
    <row r="1952" spans="1:9" x14ac:dyDescent="0.25">
      <c r="A1952" s="21" t="s">
        <v>1318</v>
      </c>
      <c r="B1952">
        <v>43</v>
      </c>
      <c r="C1952" s="21" t="s">
        <v>15</v>
      </c>
      <c r="D1952" s="21" t="s">
        <v>24</v>
      </c>
      <c r="E1952">
        <v>230</v>
      </c>
      <c r="F1952">
        <v>25</v>
      </c>
      <c r="G1952" s="21" t="s">
        <v>12</v>
      </c>
      <c r="H1952" s="21" t="s">
        <v>176</v>
      </c>
      <c r="I1952" s="21" t="s">
        <v>1258</v>
      </c>
    </row>
    <row r="1953" spans="1:9" x14ac:dyDescent="0.25">
      <c r="A1953" s="21" t="s">
        <v>1319</v>
      </c>
      <c r="B1953">
        <v>66</v>
      </c>
      <c r="C1953" s="21" t="s">
        <v>28</v>
      </c>
      <c r="D1953" s="21" t="s">
        <v>35</v>
      </c>
      <c r="E1953">
        <v>315</v>
      </c>
      <c r="F1953">
        <v>27</v>
      </c>
      <c r="G1953" s="21" t="s">
        <v>30</v>
      </c>
      <c r="H1953" s="21" t="s">
        <v>233</v>
      </c>
      <c r="I1953" s="21" t="s">
        <v>1258</v>
      </c>
    </row>
    <row r="1954" spans="1:9" x14ac:dyDescent="0.25">
      <c r="A1954" s="21" t="s">
        <v>1320</v>
      </c>
      <c r="B1954">
        <v>15</v>
      </c>
      <c r="C1954" s="21" t="s">
        <v>76</v>
      </c>
      <c r="D1954" s="21" t="s">
        <v>11</v>
      </c>
      <c r="E1954">
        <v>185</v>
      </c>
      <c r="F1954">
        <v>26</v>
      </c>
      <c r="G1954" s="21" t="s">
        <v>16</v>
      </c>
      <c r="H1954" s="21" t="s">
        <v>251</v>
      </c>
      <c r="I1954" s="21" t="s">
        <v>1258</v>
      </c>
    </row>
    <row r="1955" spans="1:9" x14ac:dyDescent="0.25">
      <c r="A1955" s="21" t="s">
        <v>1321</v>
      </c>
      <c r="B1955">
        <v>41</v>
      </c>
      <c r="C1955" s="21" t="s">
        <v>124</v>
      </c>
      <c r="D1955" s="21" t="s">
        <v>11</v>
      </c>
      <c r="E1955">
        <v>205</v>
      </c>
      <c r="F1955">
        <v>23</v>
      </c>
      <c r="G1955" s="21" t="s">
        <v>30</v>
      </c>
      <c r="H1955" s="21" t="s">
        <v>128</v>
      </c>
      <c r="I1955" s="21" t="s">
        <v>1258</v>
      </c>
    </row>
    <row r="1956" spans="1:9" x14ac:dyDescent="0.25">
      <c r="A1956" s="21" t="s">
        <v>1322</v>
      </c>
      <c r="B1956">
        <v>98</v>
      </c>
      <c r="C1956" s="21" t="s">
        <v>19</v>
      </c>
      <c r="D1956" s="21" t="s">
        <v>24</v>
      </c>
      <c r="E1956">
        <v>305</v>
      </c>
      <c r="F1956">
        <v>28</v>
      </c>
      <c r="G1956" s="21" t="s">
        <v>100</v>
      </c>
      <c r="H1956" s="21" t="s">
        <v>231</v>
      </c>
      <c r="I1956" s="21" t="s">
        <v>1258</v>
      </c>
    </row>
    <row r="1957" spans="1:9" x14ac:dyDescent="0.25">
      <c r="A1957" s="21" t="s">
        <v>1323</v>
      </c>
      <c r="B1957">
        <v>55</v>
      </c>
      <c r="C1957" s="21" t="s">
        <v>19</v>
      </c>
      <c r="D1957" s="21" t="s">
        <v>24</v>
      </c>
      <c r="E1957">
        <v>251</v>
      </c>
      <c r="F1957">
        <v>24</v>
      </c>
      <c r="G1957" s="21" t="s">
        <v>83</v>
      </c>
      <c r="H1957" s="21" t="s">
        <v>374</v>
      </c>
      <c r="I1957" s="21" t="s">
        <v>1258</v>
      </c>
    </row>
    <row r="1958" spans="1:9" x14ac:dyDescent="0.25">
      <c r="A1958" s="21" t="s">
        <v>1324</v>
      </c>
      <c r="B1958">
        <v>4</v>
      </c>
      <c r="C1958" s="21" t="s">
        <v>48</v>
      </c>
      <c r="D1958" s="21" t="s">
        <v>135</v>
      </c>
      <c r="E1958">
        <v>188</v>
      </c>
      <c r="F1958">
        <v>25</v>
      </c>
      <c r="G1958" s="21" t="s">
        <v>45</v>
      </c>
      <c r="H1958" s="21" t="s">
        <v>189</v>
      </c>
      <c r="I1958" s="21" t="s">
        <v>1258</v>
      </c>
    </row>
    <row r="1959" spans="1:9" x14ac:dyDescent="0.25">
      <c r="A1959" s="21" t="s">
        <v>1325</v>
      </c>
      <c r="B1959">
        <v>33</v>
      </c>
      <c r="C1959" s="21" t="s">
        <v>89</v>
      </c>
      <c r="D1959" s="21" t="s">
        <v>11</v>
      </c>
      <c r="E1959">
        <v>205</v>
      </c>
      <c r="F1959">
        <v>24</v>
      </c>
      <c r="G1959" s="21" t="s">
        <v>30</v>
      </c>
      <c r="H1959" s="21" t="s">
        <v>656</v>
      </c>
      <c r="I1959" s="21" t="s">
        <v>1258</v>
      </c>
    </row>
    <row r="1960" spans="1:9" x14ac:dyDescent="0.25">
      <c r="A1960" s="21" t="s">
        <v>1326</v>
      </c>
      <c r="B1960">
        <v>89</v>
      </c>
      <c r="C1960" s="21" t="s">
        <v>57</v>
      </c>
      <c r="D1960" s="21" t="s">
        <v>29</v>
      </c>
      <c r="E1960">
        <v>250</v>
      </c>
      <c r="F1960">
        <v>21</v>
      </c>
      <c r="G1960" s="21" t="s">
        <v>25</v>
      </c>
      <c r="H1960" s="21" t="s">
        <v>36</v>
      </c>
      <c r="I1960" s="21" t="s">
        <v>1258</v>
      </c>
    </row>
    <row r="1961" spans="1:9" x14ac:dyDescent="0.25">
      <c r="A1961" s="21" t="s">
        <v>1330</v>
      </c>
      <c r="B1961">
        <v>97</v>
      </c>
      <c r="C1961" s="21" t="s">
        <v>19</v>
      </c>
      <c r="D1961" s="21" t="s">
        <v>35</v>
      </c>
      <c r="E1961">
        <v>315</v>
      </c>
      <c r="F1961">
        <v>28</v>
      </c>
      <c r="G1961" s="21" t="s">
        <v>45</v>
      </c>
      <c r="H1961" s="21" t="s">
        <v>1331</v>
      </c>
      <c r="I1961" s="21" t="s">
        <v>1258</v>
      </c>
    </row>
    <row r="1962" spans="1:9" x14ac:dyDescent="0.25">
      <c r="A1962" s="21" t="s">
        <v>1332</v>
      </c>
      <c r="B1962">
        <v>44</v>
      </c>
      <c r="C1962" s="21" t="s">
        <v>15</v>
      </c>
      <c r="D1962" s="21" t="s">
        <v>24</v>
      </c>
      <c r="E1962">
        <v>216</v>
      </c>
      <c r="F1962">
        <v>22</v>
      </c>
      <c r="G1962" s="21" t="s">
        <v>30</v>
      </c>
      <c r="H1962" s="21" t="s">
        <v>65</v>
      </c>
      <c r="I1962" s="21" t="s">
        <v>1258</v>
      </c>
    </row>
    <row r="1963" spans="1:9" x14ac:dyDescent="0.25">
      <c r="A1963" s="21" t="s">
        <v>1333</v>
      </c>
      <c r="B1963">
        <v>79</v>
      </c>
      <c r="C1963" s="21" t="s">
        <v>19</v>
      </c>
      <c r="D1963" s="21" t="s">
        <v>52</v>
      </c>
      <c r="E1963">
        <v>295</v>
      </c>
      <c r="F1963">
        <v>27</v>
      </c>
      <c r="G1963" s="21" t="s">
        <v>16</v>
      </c>
      <c r="H1963" s="21" t="s">
        <v>643</v>
      </c>
      <c r="I1963" s="21" t="s">
        <v>1258</v>
      </c>
    </row>
    <row r="1964" spans="1:9" x14ac:dyDescent="0.25">
      <c r="A1964" s="21" t="s">
        <v>1334</v>
      </c>
      <c r="B1964">
        <v>16</v>
      </c>
      <c r="C1964" s="21" t="s">
        <v>10</v>
      </c>
      <c r="D1964" s="21" t="s">
        <v>52</v>
      </c>
      <c r="E1964">
        <v>195</v>
      </c>
      <c r="F1964">
        <v>25</v>
      </c>
      <c r="G1964" s="21" t="s">
        <v>12</v>
      </c>
      <c r="H1964" s="21" t="s">
        <v>278</v>
      </c>
      <c r="I1964" s="21" t="s">
        <v>1258</v>
      </c>
    </row>
    <row r="1965" spans="1:9" x14ac:dyDescent="0.25">
      <c r="A1965" s="21" t="s">
        <v>1335</v>
      </c>
      <c r="B1965">
        <v>53</v>
      </c>
      <c r="C1965" s="21" t="s">
        <v>15</v>
      </c>
      <c r="D1965" s="21" t="s">
        <v>24</v>
      </c>
      <c r="E1965">
        <v>216</v>
      </c>
      <c r="F1965">
        <v>23</v>
      </c>
      <c r="G1965" s="21" t="s">
        <v>25</v>
      </c>
      <c r="H1965" s="21" t="s">
        <v>179</v>
      </c>
      <c r="I1965" s="21" t="s">
        <v>1258</v>
      </c>
    </row>
    <row r="1966" spans="1:9" x14ac:dyDescent="0.25">
      <c r="A1966" s="21" t="s">
        <v>1336</v>
      </c>
      <c r="B1966">
        <v>94</v>
      </c>
      <c r="C1966" s="21" t="s">
        <v>19</v>
      </c>
      <c r="D1966" s="21" t="s">
        <v>24</v>
      </c>
      <c r="E1966">
        <v>256</v>
      </c>
      <c r="F1966">
        <v>26</v>
      </c>
      <c r="G1966" s="21" t="s">
        <v>38</v>
      </c>
      <c r="H1966" s="21" t="s">
        <v>165</v>
      </c>
      <c r="I1966" s="21" t="s">
        <v>1258</v>
      </c>
    </row>
    <row r="1967" spans="1:9" x14ac:dyDescent="0.25">
      <c r="A1967" s="21" t="s">
        <v>1337</v>
      </c>
      <c r="B1967">
        <v>78</v>
      </c>
      <c r="C1967" s="21" t="s">
        <v>277</v>
      </c>
      <c r="D1967" s="21" t="s">
        <v>44</v>
      </c>
      <c r="E1967">
        <v>323</v>
      </c>
      <c r="F1967">
        <v>30</v>
      </c>
      <c r="G1967" s="21" t="s">
        <v>21</v>
      </c>
      <c r="H1967" s="21" t="s">
        <v>347</v>
      </c>
      <c r="I1967" s="21" t="s">
        <v>1258</v>
      </c>
    </row>
    <row r="1968" spans="1:9" x14ac:dyDescent="0.25">
      <c r="A1968" s="21" t="s">
        <v>1339</v>
      </c>
      <c r="B1968">
        <v>75</v>
      </c>
      <c r="C1968" s="21" t="s">
        <v>277</v>
      </c>
      <c r="D1968" s="21" t="s">
        <v>29</v>
      </c>
      <c r="E1968">
        <v>308</v>
      </c>
      <c r="F1968">
        <v>23</v>
      </c>
      <c r="G1968" s="21" t="s">
        <v>30</v>
      </c>
      <c r="H1968" s="21" t="s">
        <v>280</v>
      </c>
      <c r="I1968" s="21" t="s">
        <v>1258</v>
      </c>
    </row>
    <row r="1969" spans="1:9" x14ac:dyDescent="0.25">
      <c r="A1969" s="21" t="s">
        <v>1340</v>
      </c>
      <c r="B1969">
        <v>51</v>
      </c>
      <c r="C1969" s="21" t="s">
        <v>19</v>
      </c>
      <c r="D1969" s="21" t="s">
        <v>67</v>
      </c>
      <c r="E1969">
        <v>255</v>
      </c>
      <c r="F1969">
        <v>24</v>
      </c>
      <c r="G1969" s="21" t="s">
        <v>12</v>
      </c>
      <c r="H1969" s="21" t="s">
        <v>1341</v>
      </c>
      <c r="I1969" s="21" t="s">
        <v>1258</v>
      </c>
    </row>
    <row r="1970" spans="1:9" x14ac:dyDescent="0.25">
      <c r="A1970" s="21" t="s">
        <v>1342</v>
      </c>
      <c r="B1970">
        <v>85</v>
      </c>
      <c r="C1970" s="21" t="s">
        <v>57</v>
      </c>
      <c r="D1970" s="21" t="s">
        <v>44</v>
      </c>
      <c r="E1970">
        <v>267</v>
      </c>
      <c r="F1970">
        <v>26</v>
      </c>
      <c r="G1970" s="21" t="s">
        <v>16</v>
      </c>
      <c r="H1970" s="21" t="s">
        <v>143</v>
      </c>
      <c r="I1970" s="21" t="s">
        <v>1258</v>
      </c>
    </row>
    <row r="1971" spans="1:9" x14ac:dyDescent="0.25">
      <c r="A1971" s="21" t="s">
        <v>1343</v>
      </c>
      <c r="B1971">
        <v>9</v>
      </c>
      <c r="C1971" s="21" t="s">
        <v>15</v>
      </c>
      <c r="D1971" s="21" t="s">
        <v>24</v>
      </c>
      <c r="E1971">
        <v>211</v>
      </c>
      <c r="F1971">
        <v>25</v>
      </c>
      <c r="G1971" s="21" t="s">
        <v>30</v>
      </c>
      <c r="H1971" s="21" t="s">
        <v>1140</v>
      </c>
      <c r="I1971" s="21" t="s">
        <v>1258</v>
      </c>
    </row>
    <row r="1972" spans="1:9" x14ac:dyDescent="0.25">
      <c r="A1972" s="21" t="s">
        <v>1344</v>
      </c>
      <c r="B1972">
        <v>5</v>
      </c>
      <c r="C1972" s="21" t="s">
        <v>70</v>
      </c>
      <c r="D1972" s="21" t="s">
        <v>29</v>
      </c>
      <c r="E1972">
        <v>218</v>
      </c>
      <c r="F1972">
        <v>27</v>
      </c>
      <c r="G1972" s="21" t="s">
        <v>16</v>
      </c>
      <c r="H1972" s="21" t="s">
        <v>284</v>
      </c>
      <c r="I1972" s="21" t="s">
        <v>1258</v>
      </c>
    </row>
    <row r="1973" spans="1:9" x14ac:dyDescent="0.25">
      <c r="A1973" s="21" t="s">
        <v>1345</v>
      </c>
      <c r="B1973">
        <v>6</v>
      </c>
      <c r="C1973" s="21" t="s">
        <v>89</v>
      </c>
      <c r="D1973" s="21" t="s">
        <v>125</v>
      </c>
      <c r="E1973">
        <v>198</v>
      </c>
      <c r="F1973">
        <v>25</v>
      </c>
      <c r="G1973" s="21" t="s">
        <v>45</v>
      </c>
      <c r="H1973" s="21" t="s">
        <v>128</v>
      </c>
      <c r="I1973" s="21" t="s">
        <v>1258</v>
      </c>
    </row>
    <row r="1974" spans="1:9" x14ac:dyDescent="0.25">
      <c r="A1974" s="21" t="s">
        <v>1346</v>
      </c>
      <c r="B1974">
        <v>31</v>
      </c>
      <c r="C1974" s="21" t="s">
        <v>48</v>
      </c>
      <c r="D1974" s="21" t="s">
        <v>125</v>
      </c>
      <c r="E1974">
        <v>191</v>
      </c>
      <c r="F1974">
        <v>22</v>
      </c>
      <c r="G1974" s="21" t="s">
        <v>30</v>
      </c>
      <c r="H1974" s="21" t="s">
        <v>68</v>
      </c>
      <c r="I1974" s="21" t="s">
        <v>1258</v>
      </c>
    </row>
    <row r="1975" spans="1:9" x14ac:dyDescent="0.25">
      <c r="A1975" s="21" t="s">
        <v>1347</v>
      </c>
      <c r="B1975">
        <v>56</v>
      </c>
      <c r="C1975" s="21" t="s">
        <v>15</v>
      </c>
      <c r="D1975" s="21" t="s">
        <v>54</v>
      </c>
      <c r="E1975">
        <v>225</v>
      </c>
      <c r="F1975">
        <v>25</v>
      </c>
      <c r="G1975" s="21" t="s">
        <v>16</v>
      </c>
      <c r="H1975" s="21" t="s">
        <v>1348</v>
      </c>
      <c r="I1975" s="21" t="s">
        <v>1258</v>
      </c>
    </row>
    <row r="1976" spans="1:9" x14ac:dyDescent="0.25">
      <c r="A1976" s="21" t="s">
        <v>1349</v>
      </c>
      <c r="B1976">
        <v>95</v>
      </c>
      <c r="C1976" s="21" t="s">
        <v>19</v>
      </c>
      <c r="D1976" s="21" t="s">
        <v>44</v>
      </c>
      <c r="E1976">
        <v>303</v>
      </c>
      <c r="F1976">
        <v>24</v>
      </c>
      <c r="G1976" s="21" t="s">
        <v>16</v>
      </c>
      <c r="H1976" s="21" t="s">
        <v>233</v>
      </c>
      <c r="I1976" s="21" t="s">
        <v>1258</v>
      </c>
    </row>
    <row r="1977" spans="1:9" x14ac:dyDescent="0.25">
      <c r="A1977" s="21" t="s">
        <v>1350</v>
      </c>
      <c r="B1977">
        <v>17</v>
      </c>
      <c r="C1977" s="21" t="s">
        <v>10</v>
      </c>
      <c r="D1977" s="21" t="s">
        <v>11</v>
      </c>
      <c r="E1977">
        <v>192</v>
      </c>
      <c r="F1977">
        <v>22</v>
      </c>
      <c r="G1977" s="21" t="s">
        <v>25</v>
      </c>
      <c r="H1977" s="21" t="s">
        <v>36</v>
      </c>
      <c r="I1977" s="21" t="s">
        <v>1258</v>
      </c>
    </row>
    <row r="1978" spans="1:9" x14ac:dyDescent="0.25">
      <c r="A1978" s="21" t="s">
        <v>1351</v>
      </c>
      <c r="B1978">
        <v>2</v>
      </c>
      <c r="C1978" s="21" t="s">
        <v>70</v>
      </c>
      <c r="D1978" s="21" t="s">
        <v>24</v>
      </c>
      <c r="E1978">
        <v>214</v>
      </c>
      <c r="F1978">
        <v>22</v>
      </c>
      <c r="G1978" s="21" t="s">
        <v>30</v>
      </c>
      <c r="H1978" s="21" t="s">
        <v>204</v>
      </c>
      <c r="I1978" s="21" t="s">
        <v>1258</v>
      </c>
    </row>
    <row r="1979" spans="1:9" x14ac:dyDescent="0.25">
      <c r="A1979" s="21" t="s">
        <v>1352</v>
      </c>
      <c r="B1979">
        <v>88</v>
      </c>
      <c r="C1979" s="21" t="s">
        <v>57</v>
      </c>
      <c r="D1979" s="21" t="s">
        <v>44</v>
      </c>
      <c r="E1979">
        <v>250</v>
      </c>
      <c r="F1979">
        <v>23</v>
      </c>
      <c r="G1979" s="21" t="s">
        <v>30</v>
      </c>
      <c r="H1979" s="21" t="s">
        <v>516</v>
      </c>
      <c r="I1979" s="21" t="s">
        <v>1258</v>
      </c>
    </row>
    <row r="1980" spans="1:9" x14ac:dyDescent="0.25">
      <c r="A1980" s="21" t="s">
        <v>1353</v>
      </c>
      <c r="B1980">
        <v>14</v>
      </c>
      <c r="C1980" s="21" t="s">
        <v>76</v>
      </c>
      <c r="D1980" s="21" t="s">
        <v>11</v>
      </c>
      <c r="E1980">
        <v>187</v>
      </c>
      <c r="F1980">
        <v>34</v>
      </c>
      <c r="G1980" s="21" t="s">
        <v>254</v>
      </c>
      <c r="H1980" s="21" t="s">
        <v>3253</v>
      </c>
      <c r="I1980" s="21" t="s">
        <v>1258</v>
      </c>
    </row>
    <row r="1981" spans="1:9" x14ac:dyDescent="0.25">
      <c r="A1981" s="21" t="s">
        <v>1354</v>
      </c>
      <c r="B1981">
        <v>92</v>
      </c>
      <c r="C1981" s="21" t="s">
        <v>19</v>
      </c>
      <c r="D1981" s="21" t="s">
        <v>44</v>
      </c>
      <c r="E1981">
        <v>264</v>
      </c>
      <c r="F1981">
        <v>24</v>
      </c>
      <c r="G1981" s="21" t="s">
        <v>30</v>
      </c>
      <c r="H1981" s="21" t="s">
        <v>251</v>
      </c>
      <c r="I1981" s="21" t="s">
        <v>1258</v>
      </c>
    </row>
    <row r="1982" spans="1:9" x14ac:dyDescent="0.25">
      <c r="A1982" s="21" t="s">
        <v>1264</v>
      </c>
      <c r="B1982">
        <v>77</v>
      </c>
      <c r="C1982" s="21" t="s">
        <v>140</v>
      </c>
      <c r="D1982" s="21" t="s">
        <v>20</v>
      </c>
      <c r="E1982">
        <v>363</v>
      </c>
      <c r="F1982">
        <v>23</v>
      </c>
      <c r="G1982" s="21" t="s">
        <v>12</v>
      </c>
      <c r="H1982" s="21" t="s">
        <v>231</v>
      </c>
      <c r="I1982" s="21" t="s">
        <v>1258</v>
      </c>
    </row>
    <row r="1983" spans="1:9" x14ac:dyDescent="0.25">
      <c r="A1983" s="21" t="s">
        <v>1281</v>
      </c>
      <c r="B1983">
        <v>76</v>
      </c>
      <c r="C1983" s="21" t="s">
        <v>140</v>
      </c>
      <c r="D1983" s="21" t="s">
        <v>29</v>
      </c>
      <c r="E1983">
        <v>322</v>
      </c>
      <c r="F1983">
        <v>30</v>
      </c>
      <c r="G1983" s="21" t="s">
        <v>100</v>
      </c>
      <c r="H1983" s="21" t="s">
        <v>284</v>
      </c>
      <c r="I1983" s="21" t="s">
        <v>1258</v>
      </c>
    </row>
    <row r="1984" spans="1:9" x14ac:dyDescent="0.25">
      <c r="A1984" s="21" t="s">
        <v>1301</v>
      </c>
      <c r="B1984">
        <v>58</v>
      </c>
      <c r="C1984" s="21" t="s">
        <v>19</v>
      </c>
      <c r="D1984" s="21" t="s">
        <v>24</v>
      </c>
      <c r="E1984">
        <v>265</v>
      </c>
      <c r="F1984">
        <v>27</v>
      </c>
      <c r="G1984" s="21" t="s">
        <v>38</v>
      </c>
      <c r="H1984" s="21" t="s">
        <v>65</v>
      </c>
      <c r="I1984" s="21" t="s">
        <v>1258</v>
      </c>
    </row>
    <row r="1985" spans="1:9" x14ac:dyDescent="0.25">
      <c r="A1985" s="21" t="s">
        <v>1327</v>
      </c>
      <c r="B1985">
        <v>65</v>
      </c>
      <c r="C1985" s="21" t="s">
        <v>28</v>
      </c>
      <c r="D1985" s="21" t="s">
        <v>29</v>
      </c>
      <c r="E1985">
        <v>308</v>
      </c>
      <c r="F1985">
        <v>24</v>
      </c>
      <c r="G1985" s="21" t="s">
        <v>12</v>
      </c>
      <c r="H1985" s="21" t="s">
        <v>187</v>
      </c>
      <c r="I1985" s="21" t="s">
        <v>1258</v>
      </c>
    </row>
    <row r="1986" spans="1:9" x14ac:dyDescent="0.25">
      <c r="A1986" s="21" t="s">
        <v>1338</v>
      </c>
      <c r="B1986">
        <v>87</v>
      </c>
      <c r="C1986" s="21" t="s">
        <v>57</v>
      </c>
      <c r="D1986" s="21" t="s">
        <v>29</v>
      </c>
      <c r="E1986">
        <v>271</v>
      </c>
      <c r="F1986">
        <v>29</v>
      </c>
      <c r="G1986" s="21" t="s">
        <v>21</v>
      </c>
      <c r="H1986" s="21" t="s">
        <v>65</v>
      </c>
      <c r="I1986" s="21" t="s">
        <v>1258</v>
      </c>
    </row>
    <row r="1987" spans="1:9" x14ac:dyDescent="0.25">
      <c r="A1987" s="21" t="s">
        <v>1328</v>
      </c>
      <c r="B1987">
        <v>64</v>
      </c>
      <c r="C1987" s="21" t="s">
        <v>28</v>
      </c>
      <c r="D1987" s="21" t="s">
        <v>67</v>
      </c>
      <c r="E1987">
        <v>305</v>
      </c>
      <c r="F1987">
        <v>27</v>
      </c>
      <c r="G1987" s="21" t="s">
        <v>16</v>
      </c>
      <c r="H1987" s="21" t="s">
        <v>1329</v>
      </c>
      <c r="I1987" s="21" t="s">
        <v>1258</v>
      </c>
    </row>
    <row r="1988" spans="1:9" x14ac:dyDescent="0.25">
      <c r="A1988" s="21" t="s">
        <v>3067</v>
      </c>
      <c r="B1988">
        <v>23</v>
      </c>
      <c r="C1988" s="21" t="s">
        <v>48</v>
      </c>
      <c r="D1988" s="21" t="s">
        <v>125</v>
      </c>
      <c r="E1988">
        <v>196</v>
      </c>
      <c r="F1988">
        <v>25</v>
      </c>
      <c r="G1988" s="21" t="s">
        <v>45</v>
      </c>
      <c r="H1988" s="21" t="s">
        <v>231</v>
      </c>
      <c r="I1988" s="21" t="s">
        <v>3066</v>
      </c>
    </row>
    <row r="1989" spans="1:9" x14ac:dyDescent="0.25">
      <c r="A1989" s="21" t="s">
        <v>3068</v>
      </c>
      <c r="B1989">
        <v>31</v>
      </c>
      <c r="C1989" s="21" t="s">
        <v>89</v>
      </c>
      <c r="D1989" s="21" t="s">
        <v>11</v>
      </c>
      <c r="E1989">
        <v>214</v>
      </c>
      <c r="F1989">
        <v>29</v>
      </c>
      <c r="G1989" s="21" t="s">
        <v>21</v>
      </c>
      <c r="H1989" s="21" t="s">
        <v>3251</v>
      </c>
      <c r="I1989" s="21" t="s">
        <v>3066</v>
      </c>
    </row>
    <row r="1990" spans="1:9" x14ac:dyDescent="0.25">
      <c r="A1990" s="21" t="s">
        <v>3069</v>
      </c>
      <c r="B1990">
        <v>69</v>
      </c>
      <c r="C1990" s="21" t="s">
        <v>140</v>
      </c>
      <c r="D1990" s="21" t="s">
        <v>35</v>
      </c>
      <c r="E1990">
        <v>310</v>
      </c>
      <c r="F1990">
        <v>30</v>
      </c>
      <c r="G1990" s="21" t="s">
        <v>111</v>
      </c>
      <c r="H1990" s="21" t="s">
        <v>272</v>
      </c>
      <c r="I1990" s="21" t="s">
        <v>3066</v>
      </c>
    </row>
    <row r="1991" spans="1:9" x14ac:dyDescent="0.25">
      <c r="A1991" s="21" t="s">
        <v>3070</v>
      </c>
      <c r="B1991">
        <v>51</v>
      </c>
      <c r="C1991" s="21" t="s">
        <v>15</v>
      </c>
      <c r="D1991" s="21" t="s">
        <v>24</v>
      </c>
      <c r="E1991">
        <v>229</v>
      </c>
      <c r="F1991">
        <v>24</v>
      </c>
      <c r="G1991" s="21" t="s">
        <v>12</v>
      </c>
      <c r="H1991" s="21" t="s">
        <v>39</v>
      </c>
      <c r="I1991" s="21" t="s">
        <v>3066</v>
      </c>
    </row>
    <row r="1992" spans="1:9" x14ac:dyDescent="0.25">
      <c r="A1992" s="21" t="s">
        <v>3071</v>
      </c>
      <c r="B1992">
        <v>35</v>
      </c>
      <c r="C1992" s="21" t="s">
        <v>51</v>
      </c>
      <c r="D1992" s="21" t="s">
        <v>125</v>
      </c>
      <c r="E1992">
        <v>202</v>
      </c>
      <c r="F1992">
        <v>23</v>
      </c>
      <c r="G1992" s="21" t="s">
        <v>25</v>
      </c>
      <c r="H1992" s="21" t="s">
        <v>374</v>
      </c>
      <c r="I1992" s="21" t="s">
        <v>3066</v>
      </c>
    </row>
    <row r="1993" spans="1:9" x14ac:dyDescent="0.25">
      <c r="A1993" s="21" t="s">
        <v>3072</v>
      </c>
      <c r="B1993">
        <v>42</v>
      </c>
      <c r="C1993" s="21" t="s">
        <v>15</v>
      </c>
      <c r="D1993" s="21" t="s">
        <v>24</v>
      </c>
      <c r="E1993">
        <v>233</v>
      </c>
      <c r="F1993">
        <v>22</v>
      </c>
      <c r="G1993" s="21" t="s">
        <v>25</v>
      </c>
      <c r="H1993" s="21" t="s">
        <v>17</v>
      </c>
      <c r="I1993" s="21" t="s">
        <v>3066</v>
      </c>
    </row>
    <row r="1994" spans="1:9" x14ac:dyDescent="0.25">
      <c r="A1994" s="21" t="s">
        <v>3073</v>
      </c>
      <c r="C1994" s="21" t="s">
        <v>76</v>
      </c>
      <c r="D1994" s="21" t="s">
        <v>44</v>
      </c>
      <c r="E1994">
        <v>201</v>
      </c>
      <c r="F1994">
        <v>22</v>
      </c>
      <c r="G1994" s="21" t="s">
        <v>25</v>
      </c>
      <c r="H1994" s="21" t="s">
        <v>187</v>
      </c>
      <c r="I1994" s="21" t="s">
        <v>3066</v>
      </c>
    </row>
    <row r="1995" spans="1:9" x14ac:dyDescent="0.25">
      <c r="A1995" s="21" t="s">
        <v>3074</v>
      </c>
      <c r="B1995">
        <v>41</v>
      </c>
      <c r="C1995" s="21" t="s">
        <v>15</v>
      </c>
      <c r="D1995" s="21" t="s">
        <v>52</v>
      </c>
      <c r="E1995">
        <v>226</v>
      </c>
      <c r="F1995">
        <v>23</v>
      </c>
      <c r="G1995" s="21" t="s">
        <v>25</v>
      </c>
      <c r="H1995" s="21" t="s">
        <v>3251</v>
      </c>
      <c r="I1995" s="21" t="s">
        <v>3066</v>
      </c>
    </row>
    <row r="1996" spans="1:9" x14ac:dyDescent="0.25">
      <c r="A1996" s="21" t="s">
        <v>3075</v>
      </c>
      <c r="B1996">
        <v>98</v>
      </c>
      <c r="C1996" s="21" t="s">
        <v>19</v>
      </c>
      <c r="D1996" s="21" t="s">
        <v>44</v>
      </c>
      <c r="E1996">
        <v>308</v>
      </c>
      <c r="F1996">
        <v>23</v>
      </c>
      <c r="G1996" s="21" t="s">
        <v>25</v>
      </c>
      <c r="H1996" s="21" t="s">
        <v>335</v>
      </c>
      <c r="I1996" s="21" t="s">
        <v>3066</v>
      </c>
    </row>
    <row r="1997" spans="1:9" x14ac:dyDescent="0.25">
      <c r="A1997" s="21" t="s">
        <v>3076</v>
      </c>
      <c r="B1997">
        <v>59</v>
      </c>
      <c r="C1997" s="21" t="s">
        <v>15</v>
      </c>
      <c r="D1997" s="21" t="s">
        <v>44</v>
      </c>
      <c r="E1997">
        <v>232</v>
      </c>
      <c r="F1997">
        <v>29</v>
      </c>
      <c r="G1997" s="21" t="s">
        <v>100</v>
      </c>
      <c r="H1997" s="21" t="s">
        <v>168</v>
      </c>
      <c r="I1997" s="21" t="s">
        <v>3066</v>
      </c>
    </row>
    <row r="1998" spans="1:9" x14ac:dyDescent="0.25">
      <c r="A1998" s="21" t="s">
        <v>4813</v>
      </c>
      <c r="B1998">
        <v>80</v>
      </c>
      <c r="C1998" s="21" t="s">
        <v>57</v>
      </c>
      <c r="D1998" s="21" t="s">
        <v>29</v>
      </c>
      <c r="E1998">
        <v>242</v>
      </c>
      <c r="G1998" s="21" t="s">
        <v>25</v>
      </c>
      <c r="H1998" s="21" t="s">
        <v>65</v>
      </c>
      <c r="I1998" s="21" t="s">
        <v>3066</v>
      </c>
    </row>
    <row r="1999" spans="1:9" x14ac:dyDescent="0.25">
      <c r="A1999" s="21" t="s">
        <v>3077</v>
      </c>
      <c r="B1999">
        <v>24</v>
      </c>
      <c r="C1999" s="21" t="s">
        <v>89</v>
      </c>
      <c r="D1999" s="21" t="s">
        <v>44</v>
      </c>
      <c r="E1999">
        <v>230</v>
      </c>
      <c r="F1999">
        <v>23</v>
      </c>
      <c r="G1999" s="21" t="s">
        <v>25</v>
      </c>
      <c r="H1999" s="21" t="s">
        <v>132</v>
      </c>
      <c r="I1999" s="21" t="s">
        <v>3066</v>
      </c>
    </row>
    <row r="2000" spans="1:9" x14ac:dyDescent="0.25">
      <c r="A2000" s="21" t="s">
        <v>3078</v>
      </c>
      <c r="B2000">
        <v>97</v>
      </c>
      <c r="C2000" s="21" t="s">
        <v>19</v>
      </c>
      <c r="D2000" s="21" t="s">
        <v>44</v>
      </c>
      <c r="E2000">
        <v>314</v>
      </c>
      <c r="F2000">
        <v>26</v>
      </c>
      <c r="G2000" s="21" t="s">
        <v>100</v>
      </c>
      <c r="H2000" s="21" t="s">
        <v>39</v>
      </c>
      <c r="I2000" s="21" t="s">
        <v>3066</v>
      </c>
    </row>
    <row r="2001" spans="1:9" x14ac:dyDescent="0.25">
      <c r="A2001" s="21" t="s">
        <v>3079</v>
      </c>
      <c r="B2001">
        <v>18</v>
      </c>
      <c r="C2001" s="21" t="s">
        <v>10</v>
      </c>
      <c r="D2001" s="21" t="s">
        <v>125</v>
      </c>
      <c r="E2001">
        <v>195</v>
      </c>
      <c r="F2001">
        <v>31</v>
      </c>
      <c r="G2001" s="21" t="s">
        <v>186</v>
      </c>
      <c r="H2001" s="21" t="s">
        <v>683</v>
      </c>
      <c r="I2001" s="21" t="s">
        <v>3066</v>
      </c>
    </row>
    <row r="2002" spans="1:9" x14ac:dyDescent="0.25">
      <c r="A2002" s="21" t="s">
        <v>3080</v>
      </c>
      <c r="B2002">
        <v>56</v>
      </c>
      <c r="C2002" s="21" t="s">
        <v>158</v>
      </c>
      <c r="D2002" s="21" t="s">
        <v>24</v>
      </c>
      <c r="E2002">
        <v>248</v>
      </c>
      <c r="G2002" s="21" t="s">
        <v>25</v>
      </c>
      <c r="H2002" s="21" t="s">
        <v>132</v>
      </c>
      <c r="I2002" s="21" t="s">
        <v>3066</v>
      </c>
    </row>
    <row r="2003" spans="1:9" x14ac:dyDescent="0.25">
      <c r="A2003" s="21" t="s">
        <v>3081</v>
      </c>
      <c r="B2003">
        <v>2</v>
      </c>
      <c r="C2003" s="21" t="s">
        <v>76</v>
      </c>
      <c r="D2003" s="21" t="s">
        <v>52</v>
      </c>
      <c r="E2003">
        <v>207</v>
      </c>
      <c r="F2003">
        <v>37</v>
      </c>
      <c r="G2003" s="21" t="s">
        <v>422</v>
      </c>
      <c r="H2003" s="21" t="s">
        <v>272</v>
      </c>
      <c r="I2003" s="21" t="s">
        <v>3066</v>
      </c>
    </row>
    <row r="2004" spans="1:9" x14ac:dyDescent="0.25">
      <c r="A2004" s="21" t="s">
        <v>3082</v>
      </c>
      <c r="B2004">
        <v>49</v>
      </c>
      <c r="C2004" s="21" t="s">
        <v>57</v>
      </c>
      <c r="D2004" s="21" t="s">
        <v>24</v>
      </c>
      <c r="E2004">
        <v>243</v>
      </c>
      <c r="F2004">
        <v>25</v>
      </c>
      <c r="G2004" s="21" t="s">
        <v>30</v>
      </c>
      <c r="H2004" s="21" t="s">
        <v>1774</v>
      </c>
      <c r="I2004" s="21" t="s">
        <v>3066</v>
      </c>
    </row>
    <row r="2005" spans="1:9" x14ac:dyDescent="0.25">
      <c r="A2005" s="21" t="s">
        <v>3083</v>
      </c>
      <c r="B2005">
        <v>20</v>
      </c>
      <c r="C2005" s="21" t="s">
        <v>10</v>
      </c>
      <c r="D2005" s="21" t="s">
        <v>52</v>
      </c>
      <c r="E2005">
        <v>188</v>
      </c>
      <c r="G2005" s="21" t="s">
        <v>25</v>
      </c>
      <c r="H2005" s="21" t="s">
        <v>68</v>
      </c>
      <c r="I2005" s="21" t="s">
        <v>3066</v>
      </c>
    </row>
    <row r="2006" spans="1:9" x14ac:dyDescent="0.25">
      <c r="A2006" s="21" t="s">
        <v>3084</v>
      </c>
      <c r="B2006">
        <v>30</v>
      </c>
      <c r="C2006" s="21" t="s">
        <v>89</v>
      </c>
      <c r="D2006" s="21" t="s">
        <v>54</v>
      </c>
      <c r="E2006">
        <v>202</v>
      </c>
      <c r="F2006">
        <v>24</v>
      </c>
      <c r="G2006" s="21" t="s">
        <v>83</v>
      </c>
      <c r="H2006" s="21" t="s">
        <v>251</v>
      </c>
      <c r="I2006" s="21" t="s">
        <v>3066</v>
      </c>
    </row>
    <row r="2007" spans="1:9" x14ac:dyDescent="0.25">
      <c r="A2007" s="21" t="s">
        <v>3085</v>
      </c>
      <c r="B2007">
        <v>84</v>
      </c>
      <c r="C2007" s="21" t="s">
        <v>57</v>
      </c>
      <c r="D2007" s="21" t="s">
        <v>35</v>
      </c>
      <c r="E2007">
        <v>252</v>
      </c>
      <c r="F2007">
        <v>25</v>
      </c>
      <c r="G2007" s="21" t="s">
        <v>12</v>
      </c>
      <c r="H2007" s="21" t="s">
        <v>132</v>
      </c>
      <c r="I2007" s="21" t="s">
        <v>3066</v>
      </c>
    </row>
    <row r="2008" spans="1:9" x14ac:dyDescent="0.25">
      <c r="A2008" s="21" t="s">
        <v>3086</v>
      </c>
      <c r="B2008">
        <v>81</v>
      </c>
      <c r="C2008" s="21" t="s">
        <v>57</v>
      </c>
      <c r="D2008" s="21" t="s">
        <v>24</v>
      </c>
      <c r="E2008">
        <v>238</v>
      </c>
      <c r="F2008">
        <v>25</v>
      </c>
      <c r="G2008" s="21" t="s">
        <v>12</v>
      </c>
      <c r="H2008" s="21" t="s">
        <v>304</v>
      </c>
      <c r="I2008" s="21" t="s">
        <v>3066</v>
      </c>
    </row>
    <row r="2009" spans="1:9" x14ac:dyDescent="0.25">
      <c r="A2009" s="21" t="s">
        <v>3087</v>
      </c>
      <c r="B2009">
        <v>28</v>
      </c>
      <c r="C2009" s="21" t="s">
        <v>51</v>
      </c>
      <c r="D2009" s="21" t="s">
        <v>11</v>
      </c>
      <c r="E2009">
        <v>247</v>
      </c>
      <c r="F2009">
        <v>24</v>
      </c>
      <c r="G2009" s="21" t="s">
        <v>12</v>
      </c>
      <c r="H2009" s="21" t="s">
        <v>278</v>
      </c>
      <c r="I2009" s="21" t="s">
        <v>3066</v>
      </c>
    </row>
    <row r="2010" spans="1:9" x14ac:dyDescent="0.25">
      <c r="A2010" s="21" t="s">
        <v>3088</v>
      </c>
      <c r="B2010">
        <v>87</v>
      </c>
      <c r="C2010" s="21" t="s">
        <v>10</v>
      </c>
      <c r="D2010" s="21" t="s">
        <v>24</v>
      </c>
      <c r="E2010">
        <v>204</v>
      </c>
      <c r="F2010">
        <v>22</v>
      </c>
      <c r="G2010" s="21" t="s">
        <v>25</v>
      </c>
      <c r="H2010" s="21" t="s">
        <v>1074</v>
      </c>
      <c r="I2010" s="21" t="s">
        <v>3066</v>
      </c>
    </row>
    <row r="2011" spans="1:9" x14ac:dyDescent="0.25">
      <c r="A2011" s="21" t="s">
        <v>3089</v>
      </c>
      <c r="B2011">
        <v>29</v>
      </c>
      <c r="C2011" s="21" t="s">
        <v>48</v>
      </c>
      <c r="D2011" s="21" t="s">
        <v>24</v>
      </c>
      <c r="E2011">
        <v>209</v>
      </c>
      <c r="F2011">
        <v>26</v>
      </c>
      <c r="G2011" s="21" t="s">
        <v>38</v>
      </c>
      <c r="H2011" s="21" t="s">
        <v>143</v>
      </c>
      <c r="I2011" s="21" t="s">
        <v>3066</v>
      </c>
    </row>
    <row r="2012" spans="1:9" x14ac:dyDescent="0.25">
      <c r="A2012" s="21" t="s">
        <v>3090</v>
      </c>
      <c r="B2012">
        <v>55</v>
      </c>
      <c r="C2012" s="21" t="s">
        <v>15</v>
      </c>
      <c r="D2012" s="21" t="s">
        <v>35</v>
      </c>
      <c r="E2012">
        <v>258</v>
      </c>
      <c r="F2012">
        <v>22</v>
      </c>
      <c r="G2012" s="21" t="s">
        <v>25</v>
      </c>
      <c r="H2012" s="21" t="s">
        <v>115</v>
      </c>
      <c r="I2012" s="21" t="s">
        <v>3066</v>
      </c>
    </row>
    <row r="2013" spans="1:9" x14ac:dyDescent="0.25">
      <c r="A2013" s="21" t="s">
        <v>3091</v>
      </c>
      <c r="B2013">
        <v>48</v>
      </c>
      <c r="C2013" s="21" t="s">
        <v>48</v>
      </c>
      <c r="D2013" s="21" t="s">
        <v>52</v>
      </c>
      <c r="E2013">
        <v>187</v>
      </c>
      <c r="F2013">
        <v>26</v>
      </c>
      <c r="G2013" s="21" t="s">
        <v>30</v>
      </c>
      <c r="H2013" s="21" t="s">
        <v>272</v>
      </c>
      <c r="I2013" s="21" t="s">
        <v>3066</v>
      </c>
    </row>
    <row r="2014" spans="1:9" x14ac:dyDescent="0.25">
      <c r="A2014" s="21" t="s">
        <v>3092</v>
      </c>
      <c r="B2014">
        <v>19</v>
      </c>
      <c r="C2014" s="21" t="s">
        <v>70</v>
      </c>
      <c r="D2014" s="21" t="s">
        <v>44</v>
      </c>
      <c r="E2014">
        <v>222</v>
      </c>
      <c r="F2014">
        <v>28</v>
      </c>
      <c r="G2014" s="21" t="s">
        <v>83</v>
      </c>
      <c r="H2014" s="21" t="s">
        <v>267</v>
      </c>
      <c r="I2014" s="21" t="s">
        <v>3066</v>
      </c>
    </row>
    <row r="2015" spans="1:9" x14ac:dyDescent="0.25">
      <c r="A2015" s="21" t="s">
        <v>3093</v>
      </c>
      <c r="B2015">
        <v>99</v>
      </c>
      <c r="C2015" s="21" t="s">
        <v>19</v>
      </c>
      <c r="D2015" s="21" t="s">
        <v>29</v>
      </c>
      <c r="E2015">
        <v>338</v>
      </c>
      <c r="F2015">
        <v>23</v>
      </c>
      <c r="G2015" s="21" t="s">
        <v>25</v>
      </c>
      <c r="H2015" s="21" t="s">
        <v>385</v>
      </c>
      <c r="I2015" s="21" t="s">
        <v>3066</v>
      </c>
    </row>
    <row r="2016" spans="1:9" x14ac:dyDescent="0.25">
      <c r="A2016" s="21" t="s">
        <v>3094</v>
      </c>
      <c r="B2016">
        <v>37</v>
      </c>
      <c r="C2016" s="21" t="s">
        <v>48</v>
      </c>
      <c r="D2016" s="21" t="s">
        <v>125</v>
      </c>
      <c r="E2016">
        <v>184</v>
      </c>
      <c r="F2016">
        <v>26</v>
      </c>
      <c r="G2016" s="21" t="s">
        <v>30</v>
      </c>
      <c r="H2016" s="21" t="s">
        <v>456</v>
      </c>
      <c r="I2016" s="21" t="s">
        <v>3066</v>
      </c>
    </row>
    <row r="2017" spans="1:9" x14ac:dyDescent="0.25">
      <c r="A2017" s="21" t="s">
        <v>3095</v>
      </c>
      <c r="B2017">
        <v>38</v>
      </c>
      <c r="C2017" s="21" t="s">
        <v>89</v>
      </c>
      <c r="D2017" s="21" t="s">
        <v>52</v>
      </c>
      <c r="E2017">
        <v>202</v>
      </c>
      <c r="F2017">
        <v>23</v>
      </c>
      <c r="G2017" s="21" t="s">
        <v>83</v>
      </c>
      <c r="H2017" s="21" t="s">
        <v>618</v>
      </c>
      <c r="I2017" s="21" t="s">
        <v>3066</v>
      </c>
    </row>
    <row r="2018" spans="1:9" x14ac:dyDescent="0.25">
      <c r="A2018" s="21" t="s">
        <v>3096</v>
      </c>
      <c r="B2018">
        <v>40</v>
      </c>
      <c r="C2018" s="21" t="s">
        <v>15</v>
      </c>
      <c r="D2018" s="21" t="s">
        <v>29</v>
      </c>
      <c r="E2018">
        <v>229</v>
      </c>
      <c r="F2018">
        <v>25</v>
      </c>
      <c r="G2018" s="21" t="s">
        <v>30</v>
      </c>
      <c r="H2018" s="21" t="s">
        <v>439</v>
      </c>
      <c r="I2018" s="21" t="s">
        <v>3066</v>
      </c>
    </row>
    <row r="2019" spans="1:9" x14ac:dyDescent="0.25">
      <c r="A2019" s="21" t="s">
        <v>3097</v>
      </c>
      <c r="B2019">
        <v>53</v>
      </c>
      <c r="C2019" s="21" t="s">
        <v>15</v>
      </c>
      <c r="D2019" s="21" t="s">
        <v>35</v>
      </c>
      <c r="E2019">
        <v>257</v>
      </c>
      <c r="F2019">
        <v>23</v>
      </c>
      <c r="G2019" s="21" t="s">
        <v>12</v>
      </c>
      <c r="H2019" s="21" t="s">
        <v>385</v>
      </c>
      <c r="I2019" s="21" t="s">
        <v>3066</v>
      </c>
    </row>
    <row r="2020" spans="1:9" x14ac:dyDescent="0.25">
      <c r="A2020" s="21" t="s">
        <v>3098</v>
      </c>
      <c r="B2020">
        <v>52</v>
      </c>
      <c r="C2020" s="21" t="s">
        <v>15</v>
      </c>
      <c r="D2020" s="21" t="s">
        <v>29</v>
      </c>
      <c r="E2020">
        <v>277</v>
      </c>
      <c r="F2020">
        <v>24</v>
      </c>
      <c r="G2020" s="21" t="s">
        <v>16</v>
      </c>
      <c r="H2020" s="21" t="s">
        <v>98</v>
      </c>
      <c r="I2020" s="21" t="s">
        <v>3066</v>
      </c>
    </row>
    <row r="2021" spans="1:9" x14ac:dyDescent="0.25">
      <c r="A2021" s="21" t="s">
        <v>3099</v>
      </c>
      <c r="B2021">
        <v>39</v>
      </c>
      <c r="C2021" s="21" t="s">
        <v>51</v>
      </c>
      <c r="D2021" s="21" t="s">
        <v>135</v>
      </c>
      <c r="E2021">
        <v>197</v>
      </c>
      <c r="F2021">
        <v>21</v>
      </c>
      <c r="G2021" s="21" t="s">
        <v>25</v>
      </c>
      <c r="H2021" s="21" t="s">
        <v>117</v>
      </c>
      <c r="I2021" s="21" t="s">
        <v>3066</v>
      </c>
    </row>
    <row r="2022" spans="1:9" x14ac:dyDescent="0.25">
      <c r="A2022" s="21" t="s">
        <v>3100</v>
      </c>
      <c r="B2022">
        <v>54</v>
      </c>
      <c r="C2022" s="21" t="s">
        <v>15</v>
      </c>
      <c r="D2022" s="21" t="s">
        <v>24</v>
      </c>
      <c r="E2022">
        <v>261</v>
      </c>
      <c r="F2022">
        <v>24</v>
      </c>
      <c r="G2022" s="21" t="s">
        <v>30</v>
      </c>
      <c r="H2022" s="21" t="s">
        <v>191</v>
      </c>
      <c r="I2022" s="21" t="s">
        <v>3066</v>
      </c>
    </row>
    <row r="2023" spans="1:9" x14ac:dyDescent="0.25">
      <c r="A2023" s="21" t="s">
        <v>3101</v>
      </c>
      <c r="B2023">
        <v>67</v>
      </c>
      <c r="C2023" s="21" t="s">
        <v>184</v>
      </c>
      <c r="D2023" s="21" t="s">
        <v>35</v>
      </c>
      <c r="E2023">
        <v>296</v>
      </c>
      <c r="F2023">
        <v>25</v>
      </c>
      <c r="G2023" s="21" t="s">
        <v>30</v>
      </c>
      <c r="H2023" s="21" t="s">
        <v>22</v>
      </c>
      <c r="I2023" s="21" t="s">
        <v>3066</v>
      </c>
    </row>
    <row r="2024" spans="1:9" x14ac:dyDescent="0.25">
      <c r="A2024" s="21" t="s">
        <v>3102</v>
      </c>
      <c r="B2024">
        <v>96</v>
      </c>
      <c r="C2024" s="21" t="s">
        <v>19</v>
      </c>
      <c r="D2024" s="21" t="s">
        <v>44</v>
      </c>
      <c r="E2024">
        <v>304</v>
      </c>
      <c r="F2024">
        <v>24</v>
      </c>
      <c r="G2024" s="21" t="s">
        <v>30</v>
      </c>
      <c r="H2024" s="21" t="s">
        <v>117</v>
      </c>
      <c r="I2024" s="21" t="s">
        <v>3066</v>
      </c>
    </row>
    <row r="2025" spans="1:9" x14ac:dyDescent="0.25">
      <c r="A2025" s="21" t="s">
        <v>3103</v>
      </c>
      <c r="B2025">
        <v>32</v>
      </c>
      <c r="C2025" s="21" t="s">
        <v>51</v>
      </c>
      <c r="D2025" s="21" t="s">
        <v>125</v>
      </c>
      <c r="E2025">
        <v>214</v>
      </c>
      <c r="F2025">
        <v>23</v>
      </c>
      <c r="G2025" s="21" t="s">
        <v>30</v>
      </c>
      <c r="H2025" s="21" t="s">
        <v>558</v>
      </c>
      <c r="I2025" s="21" t="s">
        <v>3066</v>
      </c>
    </row>
    <row r="2026" spans="1:9" x14ac:dyDescent="0.25">
      <c r="A2026" s="21" t="s">
        <v>3104</v>
      </c>
      <c r="B2026">
        <v>22</v>
      </c>
      <c r="C2026" s="21" t="s">
        <v>48</v>
      </c>
      <c r="D2026" s="21" t="s">
        <v>125</v>
      </c>
      <c r="E2026">
        <v>184</v>
      </c>
      <c r="F2026">
        <v>24</v>
      </c>
      <c r="G2026" s="21" t="s">
        <v>30</v>
      </c>
      <c r="H2026" s="21" t="s">
        <v>243</v>
      </c>
      <c r="I2026" s="21" t="s">
        <v>3066</v>
      </c>
    </row>
    <row r="2027" spans="1:9" x14ac:dyDescent="0.25">
      <c r="A2027" s="21" t="s">
        <v>3105</v>
      </c>
      <c r="B2027">
        <v>74</v>
      </c>
      <c r="C2027" s="21" t="s">
        <v>277</v>
      </c>
      <c r="D2027" s="21" t="s">
        <v>29</v>
      </c>
      <c r="E2027">
        <v>311</v>
      </c>
      <c r="F2027">
        <v>26</v>
      </c>
      <c r="G2027" s="21" t="s">
        <v>16</v>
      </c>
      <c r="H2027" s="21" t="s">
        <v>558</v>
      </c>
      <c r="I2027" s="21" t="s">
        <v>3066</v>
      </c>
    </row>
    <row r="2028" spans="1:9" x14ac:dyDescent="0.25">
      <c r="A2028" s="21" t="s">
        <v>3106</v>
      </c>
      <c r="B2028">
        <v>33</v>
      </c>
      <c r="C2028" s="21" t="s">
        <v>51</v>
      </c>
      <c r="D2028" s="21" t="s">
        <v>135</v>
      </c>
      <c r="E2028">
        <v>208</v>
      </c>
      <c r="F2028">
        <v>27</v>
      </c>
      <c r="G2028" s="21" t="s">
        <v>38</v>
      </c>
      <c r="H2028" s="21" t="s">
        <v>377</v>
      </c>
      <c r="I2028" s="21" t="s">
        <v>3066</v>
      </c>
    </row>
    <row r="2029" spans="1:9" x14ac:dyDescent="0.25">
      <c r="A2029" s="21" t="s">
        <v>3107</v>
      </c>
      <c r="B2029">
        <v>72</v>
      </c>
      <c r="C2029" s="21" t="s">
        <v>140</v>
      </c>
      <c r="D2029" s="21" t="s">
        <v>82</v>
      </c>
      <c r="E2029">
        <v>370</v>
      </c>
      <c r="F2029">
        <v>23</v>
      </c>
      <c r="G2029" s="21" t="s">
        <v>25</v>
      </c>
      <c r="H2029" s="21" t="s">
        <v>138</v>
      </c>
      <c r="I2029" s="21" t="s">
        <v>3066</v>
      </c>
    </row>
    <row r="2030" spans="1:9" x14ac:dyDescent="0.25">
      <c r="A2030" s="21" t="s">
        <v>3108</v>
      </c>
      <c r="B2030">
        <v>49</v>
      </c>
      <c r="C2030" s="21" t="s">
        <v>15</v>
      </c>
      <c r="D2030" s="21" t="s">
        <v>44</v>
      </c>
      <c r="E2030">
        <v>255</v>
      </c>
      <c r="F2030">
        <v>24</v>
      </c>
      <c r="G2030" s="21" t="s">
        <v>83</v>
      </c>
      <c r="H2030" s="21" t="s">
        <v>558</v>
      </c>
      <c r="I2030" s="21" t="s">
        <v>3066</v>
      </c>
    </row>
    <row r="2031" spans="1:9" x14ac:dyDescent="0.25">
      <c r="A2031" s="21" t="s">
        <v>3109</v>
      </c>
      <c r="B2031">
        <v>13</v>
      </c>
      <c r="C2031" s="21" t="s">
        <v>10</v>
      </c>
      <c r="D2031" s="21" t="s">
        <v>29</v>
      </c>
      <c r="E2031">
        <v>227</v>
      </c>
      <c r="F2031">
        <v>26</v>
      </c>
      <c r="G2031" s="21" t="s">
        <v>16</v>
      </c>
      <c r="H2031" s="21" t="s">
        <v>162</v>
      </c>
      <c r="I2031" s="21" t="s">
        <v>3066</v>
      </c>
    </row>
    <row r="2032" spans="1:9" x14ac:dyDescent="0.25">
      <c r="A2032" s="21" t="s">
        <v>3110</v>
      </c>
      <c r="B2032">
        <v>89</v>
      </c>
      <c r="C2032" s="21" t="s">
        <v>57</v>
      </c>
      <c r="D2032" s="21" t="s">
        <v>67</v>
      </c>
      <c r="E2032">
        <v>267</v>
      </c>
      <c r="F2032">
        <v>38</v>
      </c>
      <c r="G2032" s="21" t="s">
        <v>2033</v>
      </c>
      <c r="H2032" s="21" t="s">
        <v>39</v>
      </c>
      <c r="I2032" s="21" t="s">
        <v>3066</v>
      </c>
    </row>
    <row r="2033" spans="1:9" x14ac:dyDescent="0.25">
      <c r="A2033" s="21" t="s">
        <v>3111</v>
      </c>
      <c r="B2033">
        <v>10</v>
      </c>
      <c r="C2033" s="21" t="s">
        <v>70</v>
      </c>
      <c r="D2033" s="21" t="s">
        <v>35</v>
      </c>
      <c r="E2033">
        <v>219</v>
      </c>
      <c r="F2033">
        <v>23</v>
      </c>
      <c r="G2033" s="21" t="s">
        <v>12</v>
      </c>
      <c r="H2033" s="21" t="s">
        <v>439</v>
      </c>
      <c r="I2033" s="21" t="s">
        <v>3066</v>
      </c>
    </row>
    <row r="2034" spans="1:9" x14ac:dyDescent="0.25">
      <c r="A2034" s="21" t="s">
        <v>3112</v>
      </c>
      <c r="B2034">
        <v>94</v>
      </c>
      <c r="C2034" s="21" t="s">
        <v>19</v>
      </c>
      <c r="D2034" s="21" t="s">
        <v>67</v>
      </c>
      <c r="E2034">
        <v>296</v>
      </c>
      <c r="F2034">
        <v>28</v>
      </c>
      <c r="G2034" s="21" t="s">
        <v>100</v>
      </c>
      <c r="H2034" s="21" t="s">
        <v>302</v>
      </c>
      <c r="I2034" s="21" t="s">
        <v>3066</v>
      </c>
    </row>
    <row r="2035" spans="1:9" x14ac:dyDescent="0.25">
      <c r="A2035" s="21" t="s">
        <v>3113</v>
      </c>
      <c r="B2035">
        <v>47</v>
      </c>
      <c r="C2035" s="21" t="s">
        <v>57</v>
      </c>
      <c r="D2035" s="21" t="s">
        <v>35</v>
      </c>
      <c r="E2035">
        <v>251</v>
      </c>
      <c r="F2035">
        <v>25</v>
      </c>
      <c r="G2035" s="21" t="s">
        <v>83</v>
      </c>
      <c r="H2035" s="21" t="s">
        <v>31</v>
      </c>
      <c r="I2035" s="21" t="s">
        <v>3066</v>
      </c>
    </row>
    <row r="2036" spans="1:9" x14ac:dyDescent="0.25">
      <c r="A2036" s="21" t="s">
        <v>3114</v>
      </c>
      <c r="B2036">
        <v>47</v>
      </c>
      <c r="C2036" s="21" t="s">
        <v>15</v>
      </c>
      <c r="D2036" s="21" t="s">
        <v>44</v>
      </c>
      <c r="E2036">
        <v>246</v>
      </c>
      <c r="F2036">
        <v>24</v>
      </c>
      <c r="G2036" s="21" t="s">
        <v>25</v>
      </c>
      <c r="H2036" s="21" t="s">
        <v>145</v>
      </c>
      <c r="I2036" s="21" t="s">
        <v>3066</v>
      </c>
    </row>
    <row r="2037" spans="1:9" x14ac:dyDescent="0.25">
      <c r="A2037" s="21" t="s">
        <v>3115</v>
      </c>
      <c r="B2037">
        <v>58</v>
      </c>
      <c r="C2037" s="21" t="s">
        <v>15</v>
      </c>
      <c r="D2037" s="21" t="s">
        <v>52</v>
      </c>
      <c r="E2037">
        <v>227</v>
      </c>
      <c r="F2037">
        <v>23</v>
      </c>
      <c r="G2037" s="21" t="s">
        <v>30</v>
      </c>
      <c r="H2037" s="21" t="s">
        <v>278</v>
      </c>
      <c r="I2037" s="21" t="s">
        <v>3066</v>
      </c>
    </row>
    <row r="2038" spans="1:9" x14ac:dyDescent="0.25">
      <c r="A2038" s="21" t="s">
        <v>3116</v>
      </c>
      <c r="B2038">
        <v>65</v>
      </c>
      <c r="C2038" s="21" t="s">
        <v>184</v>
      </c>
      <c r="D2038" s="21" t="s">
        <v>35</v>
      </c>
      <c r="E2038">
        <v>301</v>
      </c>
      <c r="F2038">
        <v>24</v>
      </c>
      <c r="G2038" s="21" t="s">
        <v>83</v>
      </c>
      <c r="H2038" s="21" t="s">
        <v>3251</v>
      </c>
      <c r="I2038" s="21" t="s">
        <v>3066</v>
      </c>
    </row>
    <row r="2039" spans="1:9" x14ac:dyDescent="0.25">
      <c r="A2039" s="21" t="s">
        <v>3117</v>
      </c>
      <c r="B2039">
        <v>77</v>
      </c>
      <c r="C2039" s="21" t="s">
        <v>277</v>
      </c>
      <c r="D2039" s="21" t="s">
        <v>67</v>
      </c>
      <c r="E2039">
        <v>312</v>
      </c>
      <c r="G2039" s="21" t="s">
        <v>25</v>
      </c>
      <c r="H2039" s="21" t="s">
        <v>22</v>
      </c>
      <c r="I2039" s="21" t="s">
        <v>3066</v>
      </c>
    </row>
    <row r="2040" spans="1:9" x14ac:dyDescent="0.25">
      <c r="A2040" s="21" t="s">
        <v>3118</v>
      </c>
      <c r="B2040">
        <v>71</v>
      </c>
      <c r="C2040" s="21" t="s">
        <v>28</v>
      </c>
      <c r="D2040" s="21" t="s">
        <v>29</v>
      </c>
      <c r="E2040">
        <v>310</v>
      </c>
      <c r="F2040">
        <v>24</v>
      </c>
      <c r="G2040" s="21" t="s">
        <v>30</v>
      </c>
      <c r="H2040" s="21" t="s">
        <v>36</v>
      </c>
      <c r="I2040" s="21" t="s">
        <v>3066</v>
      </c>
    </row>
    <row r="2041" spans="1:9" x14ac:dyDescent="0.25">
      <c r="A2041" s="21" t="s">
        <v>3119</v>
      </c>
      <c r="B2041">
        <v>70</v>
      </c>
      <c r="C2041" s="21" t="s">
        <v>140</v>
      </c>
      <c r="D2041" s="21" t="s">
        <v>29</v>
      </c>
      <c r="E2041">
        <v>310</v>
      </c>
      <c r="F2041">
        <v>24</v>
      </c>
      <c r="G2041" s="21" t="s">
        <v>30</v>
      </c>
      <c r="H2041" s="21" t="s">
        <v>516</v>
      </c>
      <c r="I2041" s="21" t="s">
        <v>3066</v>
      </c>
    </row>
    <row r="2042" spans="1:9" x14ac:dyDescent="0.25">
      <c r="A2042" s="21" t="s">
        <v>3120</v>
      </c>
      <c r="B2042">
        <v>73</v>
      </c>
      <c r="C2042" s="21" t="s">
        <v>140</v>
      </c>
      <c r="D2042" s="21" t="s">
        <v>20</v>
      </c>
      <c r="E2042">
        <v>314</v>
      </c>
      <c r="F2042">
        <v>26</v>
      </c>
      <c r="G2042" s="21" t="s">
        <v>12</v>
      </c>
      <c r="H2042" s="21" t="s">
        <v>357</v>
      </c>
      <c r="I2042" s="21" t="s">
        <v>3066</v>
      </c>
    </row>
    <row r="2043" spans="1:9" x14ac:dyDescent="0.25">
      <c r="A2043" s="21" t="s">
        <v>3121</v>
      </c>
      <c r="B2043">
        <v>25</v>
      </c>
      <c r="C2043" s="21" t="s">
        <v>48</v>
      </c>
      <c r="D2043" s="21" t="s">
        <v>125</v>
      </c>
      <c r="E2043">
        <v>200</v>
      </c>
      <c r="F2043">
        <v>25</v>
      </c>
      <c r="G2043" s="21" t="s">
        <v>16</v>
      </c>
      <c r="H2043" s="21" t="s">
        <v>115</v>
      </c>
      <c r="I2043" s="21" t="s">
        <v>3066</v>
      </c>
    </row>
    <row r="2044" spans="1:9" x14ac:dyDescent="0.25">
      <c r="A2044" s="21" t="s">
        <v>3122</v>
      </c>
      <c r="B2044">
        <v>16</v>
      </c>
      <c r="C2044" s="21" t="s">
        <v>193</v>
      </c>
      <c r="D2044" s="21" t="s">
        <v>35</v>
      </c>
      <c r="E2044">
        <v>220</v>
      </c>
      <c r="F2044">
        <v>31</v>
      </c>
      <c r="G2044" s="21" t="s">
        <v>64</v>
      </c>
      <c r="H2044" s="21" t="s">
        <v>385</v>
      </c>
      <c r="I2044" s="21" t="s">
        <v>3066</v>
      </c>
    </row>
    <row r="2045" spans="1:9" x14ac:dyDescent="0.25">
      <c r="A2045" s="21" t="s">
        <v>3123</v>
      </c>
      <c r="B2045">
        <v>79</v>
      </c>
      <c r="C2045" s="21" t="s">
        <v>19</v>
      </c>
      <c r="D2045" s="21" t="s">
        <v>44</v>
      </c>
      <c r="E2045">
        <v>306</v>
      </c>
      <c r="F2045">
        <v>26</v>
      </c>
      <c r="G2045" s="21" t="s">
        <v>25</v>
      </c>
      <c r="H2045" s="21" t="s">
        <v>194</v>
      </c>
      <c r="I2045" s="21" t="s">
        <v>3066</v>
      </c>
    </row>
    <row r="2046" spans="1:9" x14ac:dyDescent="0.25">
      <c r="A2046" s="21" t="s">
        <v>3124</v>
      </c>
      <c r="B2046">
        <v>56</v>
      </c>
      <c r="C2046" s="21" t="s">
        <v>15</v>
      </c>
      <c r="D2046" s="21" t="s">
        <v>44</v>
      </c>
      <c r="E2046">
        <v>238</v>
      </c>
      <c r="F2046">
        <v>26</v>
      </c>
      <c r="G2046" s="21" t="s">
        <v>12</v>
      </c>
      <c r="H2046" s="21" t="s">
        <v>80</v>
      </c>
      <c r="I2046" s="21" t="s">
        <v>3066</v>
      </c>
    </row>
    <row r="2047" spans="1:9" x14ac:dyDescent="0.25">
      <c r="A2047" s="21" t="s">
        <v>3125</v>
      </c>
      <c r="B2047">
        <v>90</v>
      </c>
      <c r="C2047" s="21" t="s">
        <v>19</v>
      </c>
      <c r="D2047" s="21" t="s">
        <v>44</v>
      </c>
      <c r="E2047">
        <v>307</v>
      </c>
      <c r="F2047">
        <v>29</v>
      </c>
      <c r="G2047" s="21" t="s">
        <v>100</v>
      </c>
      <c r="H2047" s="21" t="s">
        <v>233</v>
      </c>
      <c r="I2047" s="21" t="s">
        <v>3066</v>
      </c>
    </row>
    <row r="2048" spans="1:9" x14ac:dyDescent="0.25">
      <c r="A2048" s="21" t="s">
        <v>3126</v>
      </c>
      <c r="B2048">
        <v>75</v>
      </c>
      <c r="C2048" s="21" t="s">
        <v>140</v>
      </c>
      <c r="D2048" s="21" t="s">
        <v>29</v>
      </c>
      <c r="E2048">
        <v>321</v>
      </c>
      <c r="F2048">
        <v>21</v>
      </c>
      <c r="G2048" s="21" t="s">
        <v>25</v>
      </c>
      <c r="H2048" s="21" t="s">
        <v>39</v>
      </c>
      <c r="I2048" s="21" t="s">
        <v>3066</v>
      </c>
    </row>
    <row r="2049" spans="1:9" x14ac:dyDescent="0.25">
      <c r="A2049" s="21" t="s">
        <v>3127</v>
      </c>
      <c r="B2049">
        <v>12</v>
      </c>
      <c r="C2049" s="21" t="s">
        <v>70</v>
      </c>
      <c r="D2049" s="21" t="s">
        <v>24</v>
      </c>
      <c r="E2049">
        <v>225</v>
      </c>
      <c r="F2049">
        <v>38</v>
      </c>
      <c r="G2049" s="21" t="s">
        <v>77</v>
      </c>
      <c r="H2049" s="21" t="s">
        <v>226</v>
      </c>
      <c r="I2049" s="21" t="s">
        <v>3066</v>
      </c>
    </row>
    <row r="2050" spans="1:9" x14ac:dyDescent="0.25">
      <c r="A2050" s="21" t="s">
        <v>3128</v>
      </c>
      <c r="B2050">
        <v>8</v>
      </c>
      <c r="C2050" s="21" t="s">
        <v>10</v>
      </c>
      <c r="D2050" s="21" t="s">
        <v>135</v>
      </c>
      <c r="E2050">
        <v>212</v>
      </c>
      <c r="F2050">
        <v>22</v>
      </c>
      <c r="G2050" s="21" t="s">
        <v>30</v>
      </c>
      <c r="H2050" s="21" t="s">
        <v>136</v>
      </c>
      <c r="I2050" s="21" t="s">
        <v>3066</v>
      </c>
    </row>
    <row r="2051" spans="1:9" x14ac:dyDescent="0.25">
      <c r="A2051" s="21" t="s">
        <v>3129</v>
      </c>
      <c r="B2051">
        <v>76</v>
      </c>
      <c r="C2051" s="21" t="s">
        <v>277</v>
      </c>
      <c r="D2051" s="21" t="s">
        <v>35</v>
      </c>
      <c r="E2051">
        <v>307</v>
      </c>
      <c r="F2051">
        <v>24</v>
      </c>
      <c r="G2051" s="21" t="s">
        <v>12</v>
      </c>
      <c r="H2051" s="21" t="s">
        <v>98</v>
      </c>
      <c r="I2051" s="21" t="s">
        <v>3066</v>
      </c>
    </row>
    <row r="2052" spans="1:9" x14ac:dyDescent="0.25">
      <c r="A2052" s="21" t="s">
        <v>3130</v>
      </c>
      <c r="B2052">
        <v>26</v>
      </c>
      <c r="C2052" s="21" t="s">
        <v>89</v>
      </c>
      <c r="D2052" s="21" t="s">
        <v>54</v>
      </c>
      <c r="E2052">
        <v>198</v>
      </c>
      <c r="F2052">
        <v>24</v>
      </c>
      <c r="G2052" s="21" t="s">
        <v>16</v>
      </c>
      <c r="H2052" s="21" t="s">
        <v>481</v>
      </c>
      <c r="I2052" s="21" t="s">
        <v>3066</v>
      </c>
    </row>
    <row r="2053" spans="1:9" x14ac:dyDescent="0.25">
      <c r="A2053" s="21" t="s">
        <v>3131</v>
      </c>
      <c r="B2053">
        <v>64</v>
      </c>
      <c r="C2053" s="21" t="s">
        <v>184</v>
      </c>
      <c r="D2053" s="21" t="s">
        <v>44</v>
      </c>
      <c r="E2053">
        <v>309</v>
      </c>
      <c r="G2053" s="21" t="s">
        <v>25</v>
      </c>
      <c r="H2053" s="21" t="s">
        <v>3252</v>
      </c>
      <c r="I2053" s="21" t="s">
        <v>3066</v>
      </c>
    </row>
    <row r="2054" spans="1:9" x14ac:dyDescent="0.25">
      <c r="A2054" s="21" t="s">
        <v>3132</v>
      </c>
      <c r="B2054">
        <v>36</v>
      </c>
      <c r="C2054" s="21" t="s">
        <v>89</v>
      </c>
      <c r="D2054" s="21" t="s">
        <v>24</v>
      </c>
      <c r="E2054">
        <v>202</v>
      </c>
      <c r="F2054">
        <v>24</v>
      </c>
      <c r="G2054" s="21" t="s">
        <v>12</v>
      </c>
      <c r="H2054" s="21" t="s">
        <v>618</v>
      </c>
      <c r="I2054" s="21" t="s">
        <v>3066</v>
      </c>
    </row>
    <row r="2055" spans="1:9" x14ac:dyDescent="0.25">
      <c r="A2055" s="21" t="s">
        <v>3133</v>
      </c>
      <c r="B2055">
        <v>93</v>
      </c>
      <c r="C2055" s="21" t="s">
        <v>19</v>
      </c>
      <c r="D2055" s="21" t="s">
        <v>35</v>
      </c>
      <c r="E2055">
        <v>330</v>
      </c>
      <c r="F2055">
        <v>24</v>
      </c>
      <c r="G2055" s="21" t="s">
        <v>30</v>
      </c>
      <c r="H2055" s="21" t="s">
        <v>251</v>
      </c>
      <c r="I2055" s="21" t="s">
        <v>3066</v>
      </c>
    </row>
    <row r="2056" spans="1:9" x14ac:dyDescent="0.25">
      <c r="A2056" s="21" t="s">
        <v>3134</v>
      </c>
      <c r="B2056">
        <v>60</v>
      </c>
      <c r="C2056" s="21" t="s">
        <v>19</v>
      </c>
      <c r="D2056" s="21" t="s">
        <v>35</v>
      </c>
      <c r="E2056">
        <v>307</v>
      </c>
      <c r="F2056">
        <v>25</v>
      </c>
      <c r="G2056" s="21" t="s">
        <v>83</v>
      </c>
      <c r="H2056" s="21" t="s">
        <v>355</v>
      </c>
      <c r="I2056" s="21" t="s">
        <v>3066</v>
      </c>
    </row>
    <row r="2057" spans="1:9" x14ac:dyDescent="0.25">
      <c r="A2057" s="21" t="s">
        <v>3135</v>
      </c>
      <c r="B2057">
        <v>91</v>
      </c>
      <c r="C2057" s="21" t="s">
        <v>15</v>
      </c>
      <c r="D2057" s="21" t="s">
        <v>29</v>
      </c>
      <c r="E2057">
        <v>265</v>
      </c>
      <c r="F2057">
        <v>29</v>
      </c>
      <c r="G2057" s="21" t="s">
        <v>21</v>
      </c>
      <c r="H2057" s="21" t="s">
        <v>558</v>
      </c>
      <c r="I2057" s="21" t="s">
        <v>3066</v>
      </c>
    </row>
    <row r="2058" spans="1:9" x14ac:dyDescent="0.25">
      <c r="A2058" s="21" t="s">
        <v>3136</v>
      </c>
      <c r="B2058">
        <v>45</v>
      </c>
      <c r="C2058" s="21" t="s">
        <v>89</v>
      </c>
      <c r="D2058" s="21" t="s">
        <v>11</v>
      </c>
      <c r="E2058">
        <v>205</v>
      </c>
      <c r="F2058">
        <v>23</v>
      </c>
      <c r="G2058" s="21" t="s">
        <v>25</v>
      </c>
      <c r="H2058" s="21" t="s">
        <v>130</v>
      </c>
      <c r="I2058" s="21" t="s">
        <v>3066</v>
      </c>
    </row>
    <row r="2059" spans="1:9" x14ac:dyDescent="0.25">
      <c r="A2059" s="21" t="s">
        <v>3137</v>
      </c>
      <c r="B2059">
        <v>21</v>
      </c>
      <c r="C2059" s="21" t="s">
        <v>48</v>
      </c>
      <c r="D2059" s="21" t="s">
        <v>11</v>
      </c>
      <c r="E2059">
        <v>194</v>
      </c>
      <c r="F2059">
        <v>23</v>
      </c>
      <c r="G2059" s="21" t="s">
        <v>30</v>
      </c>
      <c r="H2059" s="21" t="s">
        <v>196</v>
      </c>
      <c r="I2059" s="21" t="s">
        <v>3066</v>
      </c>
    </row>
    <row r="2060" spans="1:9" x14ac:dyDescent="0.25">
      <c r="A2060" s="21" t="s">
        <v>3138</v>
      </c>
      <c r="B2060">
        <v>44</v>
      </c>
      <c r="C2060" s="21" t="s">
        <v>15</v>
      </c>
      <c r="D2060" s="21" t="s">
        <v>52</v>
      </c>
      <c r="E2060">
        <v>241</v>
      </c>
      <c r="F2060">
        <v>26</v>
      </c>
      <c r="G2060" s="21" t="s">
        <v>16</v>
      </c>
      <c r="H2060" s="21" t="s">
        <v>618</v>
      </c>
      <c r="I2060" s="21" t="s">
        <v>3066</v>
      </c>
    </row>
    <row r="2061" spans="1:9" x14ac:dyDescent="0.25">
      <c r="A2061" s="21" t="s">
        <v>3139</v>
      </c>
      <c r="B2061">
        <v>86</v>
      </c>
      <c r="C2061" s="21" t="s">
        <v>10</v>
      </c>
      <c r="D2061" s="21" t="s">
        <v>52</v>
      </c>
      <c r="E2061">
        <v>220</v>
      </c>
      <c r="F2061">
        <v>26</v>
      </c>
      <c r="G2061" s="21" t="s">
        <v>12</v>
      </c>
      <c r="H2061" s="21" t="s">
        <v>216</v>
      </c>
      <c r="I2061" s="21" t="s">
        <v>3066</v>
      </c>
    </row>
    <row r="2062" spans="1:9" x14ac:dyDescent="0.25">
      <c r="A2062" s="21" t="s">
        <v>3140</v>
      </c>
      <c r="B2062">
        <v>27</v>
      </c>
      <c r="C2062" s="21" t="s">
        <v>51</v>
      </c>
      <c r="D2062" s="21" t="s">
        <v>24</v>
      </c>
      <c r="E2062">
        <v>217</v>
      </c>
      <c r="F2062">
        <v>24</v>
      </c>
      <c r="G2062" s="21" t="s">
        <v>30</v>
      </c>
      <c r="H2062" s="21" t="s">
        <v>627</v>
      </c>
      <c r="I2062" s="21" t="s">
        <v>3066</v>
      </c>
    </row>
    <row r="2063" spans="1:9" x14ac:dyDescent="0.25">
      <c r="A2063" s="21" t="s">
        <v>3141</v>
      </c>
      <c r="B2063">
        <v>34</v>
      </c>
      <c r="C2063" s="21" t="s">
        <v>48</v>
      </c>
      <c r="D2063" s="21" t="s">
        <v>125</v>
      </c>
      <c r="E2063">
        <v>191</v>
      </c>
      <c r="F2063">
        <v>24</v>
      </c>
      <c r="G2063" s="21" t="s">
        <v>25</v>
      </c>
      <c r="H2063" s="21" t="s">
        <v>87</v>
      </c>
      <c r="I2063" s="21" t="s">
        <v>3066</v>
      </c>
    </row>
    <row r="2064" spans="1:9" x14ac:dyDescent="0.25">
      <c r="A2064" s="21" t="s">
        <v>3142</v>
      </c>
      <c r="B2064">
        <v>43</v>
      </c>
      <c r="C2064" s="21" t="s">
        <v>48</v>
      </c>
      <c r="D2064" s="21" t="s">
        <v>11</v>
      </c>
      <c r="E2064">
        <v>186</v>
      </c>
      <c r="F2064">
        <v>24</v>
      </c>
      <c r="G2064" s="21" t="s">
        <v>83</v>
      </c>
      <c r="H2064" s="21" t="s">
        <v>189</v>
      </c>
      <c r="I2064" s="21" t="s">
        <v>3066</v>
      </c>
    </row>
    <row r="2065" spans="1:9" x14ac:dyDescent="0.25">
      <c r="A2065" s="21" t="s">
        <v>3143</v>
      </c>
      <c r="B2065">
        <v>50</v>
      </c>
      <c r="C2065" s="21" t="s">
        <v>28</v>
      </c>
      <c r="D2065" s="21" t="s">
        <v>35</v>
      </c>
      <c r="E2065">
        <v>304</v>
      </c>
      <c r="F2065">
        <v>23</v>
      </c>
      <c r="G2065" s="21" t="s">
        <v>25</v>
      </c>
      <c r="H2065" s="21" t="s">
        <v>282</v>
      </c>
      <c r="I2065" s="21" t="s">
        <v>3066</v>
      </c>
    </row>
    <row r="2066" spans="1:9" x14ac:dyDescent="0.25">
      <c r="A2066" s="21" t="s">
        <v>3144</v>
      </c>
      <c r="B2066">
        <v>85</v>
      </c>
      <c r="C2066" s="21" t="s">
        <v>57</v>
      </c>
      <c r="D2066" s="21" t="s">
        <v>29</v>
      </c>
      <c r="E2066">
        <v>240</v>
      </c>
      <c r="F2066">
        <v>28</v>
      </c>
      <c r="G2066" s="21" t="s">
        <v>45</v>
      </c>
      <c r="H2066" s="21" t="s">
        <v>1774</v>
      </c>
      <c r="I2066" s="21" t="s">
        <v>3066</v>
      </c>
    </row>
    <row r="2067" spans="1:9" x14ac:dyDescent="0.25">
      <c r="A2067" s="21" t="s">
        <v>3145</v>
      </c>
      <c r="B2067">
        <v>83</v>
      </c>
      <c r="C2067" s="21" t="s">
        <v>10</v>
      </c>
      <c r="D2067" s="21" t="s">
        <v>52</v>
      </c>
      <c r="E2067">
        <v>191</v>
      </c>
      <c r="F2067">
        <v>24</v>
      </c>
      <c r="G2067" s="21" t="s">
        <v>25</v>
      </c>
      <c r="H2067" s="21" t="s">
        <v>556</v>
      </c>
      <c r="I2067" s="21" t="s">
        <v>3066</v>
      </c>
    </row>
    <row r="2068" spans="1:9" x14ac:dyDescent="0.25">
      <c r="A2068" s="21" t="s">
        <v>3146</v>
      </c>
      <c r="B2068">
        <v>78</v>
      </c>
      <c r="C2068" s="21" t="s">
        <v>140</v>
      </c>
      <c r="D2068" s="21" t="s">
        <v>35</v>
      </c>
      <c r="E2068">
        <v>305</v>
      </c>
      <c r="F2068">
        <v>24</v>
      </c>
      <c r="G2068" s="21" t="s">
        <v>83</v>
      </c>
      <c r="H2068" s="21" t="s">
        <v>68</v>
      </c>
      <c r="I2068" s="21" t="s">
        <v>3066</v>
      </c>
    </row>
    <row r="2069" spans="1:9" x14ac:dyDescent="0.25">
      <c r="A2069" s="21" t="s">
        <v>3147</v>
      </c>
      <c r="B2069">
        <v>7</v>
      </c>
      <c r="C2069" s="21" t="s">
        <v>15</v>
      </c>
      <c r="D2069" s="21" t="s">
        <v>35</v>
      </c>
      <c r="E2069">
        <v>241</v>
      </c>
      <c r="F2069">
        <v>22</v>
      </c>
      <c r="G2069" s="21" t="s">
        <v>25</v>
      </c>
      <c r="H2069" s="21" t="s">
        <v>196</v>
      </c>
      <c r="I2069" s="21" t="s">
        <v>3066</v>
      </c>
    </row>
    <row r="2070" spans="1:9" x14ac:dyDescent="0.25">
      <c r="A2070" s="21" t="s">
        <v>3148</v>
      </c>
      <c r="B2070">
        <v>63</v>
      </c>
      <c r="C2070" s="21" t="s">
        <v>140</v>
      </c>
      <c r="D2070" s="21" t="s">
        <v>67</v>
      </c>
      <c r="E2070">
        <v>324</v>
      </c>
      <c r="F2070">
        <v>22</v>
      </c>
      <c r="G2070" s="21" t="s">
        <v>25</v>
      </c>
      <c r="H2070" s="21" t="s">
        <v>3251</v>
      </c>
      <c r="I2070" s="21" t="s">
        <v>3066</v>
      </c>
    </row>
    <row r="2071" spans="1:9" x14ac:dyDescent="0.25">
      <c r="A2071" s="21" t="s">
        <v>3149</v>
      </c>
      <c r="B2071">
        <v>11</v>
      </c>
      <c r="C2071" s="21" t="s">
        <v>10</v>
      </c>
      <c r="D2071" s="21" t="s">
        <v>52</v>
      </c>
      <c r="E2071">
        <v>211</v>
      </c>
      <c r="F2071">
        <v>29</v>
      </c>
      <c r="G2071" s="21" t="s">
        <v>64</v>
      </c>
      <c r="H2071" s="21" t="s">
        <v>136</v>
      </c>
      <c r="I2071" s="21" t="s">
        <v>3066</v>
      </c>
    </row>
    <row r="2072" spans="1:9" x14ac:dyDescent="0.25">
      <c r="A2072" s="21" t="s">
        <v>3155</v>
      </c>
      <c r="B2072">
        <v>9</v>
      </c>
      <c r="C2072" s="21" t="s">
        <v>10</v>
      </c>
      <c r="D2072" s="21" t="s">
        <v>29</v>
      </c>
      <c r="E2072">
        <v>208</v>
      </c>
      <c r="F2072">
        <v>23</v>
      </c>
      <c r="G2072" s="21" t="s">
        <v>25</v>
      </c>
      <c r="H2072" s="21" t="s">
        <v>122</v>
      </c>
      <c r="I2072" s="21" t="s">
        <v>3066</v>
      </c>
    </row>
    <row r="2073" spans="1:9" x14ac:dyDescent="0.25">
      <c r="A2073" s="21" t="s">
        <v>3150</v>
      </c>
      <c r="B2073">
        <v>57</v>
      </c>
      <c r="C2073" s="21" t="s">
        <v>15</v>
      </c>
      <c r="D2073" s="21" t="s">
        <v>44</v>
      </c>
      <c r="E2073">
        <v>230</v>
      </c>
      <c r="F2073">
        <v>25</v>
      </c>
      <c r="G2073" s="21" t="s">
        <v>83</v>
      </c>
      <c r="H2073" s="21" t="s">
        <v>261</v>
      </c>
      <c r="I2073" s="21" t="s">
        <v>3066</v>
      </c>
    </row>
    <row r="2074" spans="1:9" x14ac:dyDescent="0.25">
      <c r="A2074" s="21" t="s">
        <v>3151</v>
      </c>
      <c r="B2074">
        <v>88</v>
      </c>
      <c r="C2074" s="21" t="s">
        <v>10</v>
      </c>
      <c r="D2074" s="21" t="s">
        <v>52</v>
      </c>
      <c r="E2074">
        <v>210</v>
      </c>
      <c r="F2074">
        <v>25</v>
      </c>
      <c r="G2074" s="21" t="s">
        <v>12</v>
      </c>
      <c r="H2074" s="21" t="s">
        <v>272</v>
      </c>
      <c r="I2074" s="21" t="s">
        <v>3066</v>
      </c>
    </row>
    <row r="2075" spans="1:9" x14ac:dyDescent="0.25">
      <c r="A2075" s="21" t="s">
        <v>3152</v>
      </c>
      <c r="B2075">
        <v>46</v>
      </c>
      <c r="C2075" s="21" t="s">
        <v>158</v>
      </c>
      <c r="D2075" s="21" t="s">
        <v>35</v>
      </c>
      <c r="E2075">
        <v>228</v>
      </c>
      <c r="F2075">
        <v>24</v>
      </c>
      <c r="G2075" s="21" t="s">
        <v>30</v>
      </c>
      <c r="H2075" s="21" t="s">
        <v>162</v>
      </c>
      <c r="I2075" s="21" t="s">
        <v>3066</v>
      </c>
    </row>
    <row r="2076" spans="1:9" x14ac:dyDescent="0.25">
      <c r="A2076" s="21" t="s">
        <v>3153</v>
      </c>
      <c r="B2076">
        <v>48</v>
      </c>
      <c r="C2076" s="21" t="s">
        <v>57</v>
      </c>
      <c r="D2076" s="21" t="s">
        <v>35</v>
      </c>
      <c r="E2076">
        <v>238</v>
      </c>
      <c r="F2076">
        <v>25</v>
      </c>
      <c r="G2076" s="21" t="s">
        <v>83</v>
      </c>
      <c r="H2076" s="21" t="s">
        <v>196</v>
      </c>
      <c r="I2076" s="21" t="s">
        <v>3066</v>
      </c>
    </row>
    <row r="2077" spans="1:9" x14ac:dyDescent="0.25">
      <c r="A2077" s="21" t="s">
        <v>3154</v>
      </c>
      <c r="B2077">
        <v>95</v>
      </c>
      <c r="C2077" s="21" t="s">
        <v>19</v>
      </c>
      <c r="D2077" s="21" t="s">
        <v>44</v>
      </c>
      <c r="E2077">
        <v>304</v>
      </c>
      <c r="F2077">
        <v>24</v>
      </c>
      <c r="G2077" s="21" t="s">
        <v>25</v>
      </c>
      <c r="H2077" s="21" t="s">
        <v>196</v>
      </c>
      <c r="I2077" s="21" t="s">
        <v>3066</v>
      </c>
    </row>
    <row r="2078" spans="1:9" x14ac:dyDescent="0.25">
      <c r="A2078" s="21" t="s">
        <v>2220</v>
      </c>
      <c r="B2078">
        <v>3</v>
      </c>
      <c r="C2078" s="21" t="s">
        <v>10</v>
      </c>
      <c r="D2078" s="21" t="s">
        <v>44</v>
      </c>
      <c r="E2078">
        <v>190</v>
      </c>
      <c r="F2078">
        <v>29</v>
      </c>
      <c r="G2078" s="21" t="s">
        <v>100</v>
      </c>
      <c r="H2078" s="21" t="s">
        <v>256</v>
      </c>
      <c r="I2078" s="21" t="s">
        <v>2219</v>
      </c>
    </row>
    <row r="2079" spans="1:9" x14ac:dyDescent="0.25">
      <c r="A2079" s="21" t="s">
        <v>2221</v>
      </c>
      <c r="B2079">
        <v>87</v>
      </c>
      <c r="C2079" s="21" t="s">
        <v>57</v>
      </c>
      <c r="D2079" s="21" t="s">
        <v>67</v>
      </c>
      <c r="E2079">
        <v>240</v>
      </c>
      <c r="G2079" s="21" t="s">
        <v>25</v>
      </c>
      <c r="H2079" s="21" t="s">
        <v>122</v>
      </c>
      <c r="I2079" s="21" t="s">
        <v>2219</v>
      </c>
    </row>
    <row r="2080" spans="1:9" x14ac:dyDescent="0.25">
      <c r="A2080" s="21" t="s">
        <v>2222</v>
      </c>
      <c r="B2080">
        <v>35</v>
      </c>
      <c r="C2080" s="21" t="s">
        <v>48</v>
      </c>
      <c r="D2080" s="21" t="s">
        <v>11</v>
      </c>
      <c r="E2080">
        <v>185</v>
      </c>
      <c r="F2080">
        <v>23</v>
      </c>
      <c r="G2080" s="21" t="s">
        <v>25</v>
      </c>
      <c r="H2080" s="21" t="s">
        <v>87</v>
      </c>
      <c r="I2080" s="21" t="s">
        <v>2219</v>
      </c>
    </row>
    <row r="2081" spans="1:9" x14ac:dyDescent="0.25">
      <c r="A2081" s="21" t="s">
        <v>2223</v>
      </c>
      <c r="B2081">
        <v>46</v>
      </c>
      <c r="C2081" s="21" t="s">
        <v>319</v>
      </c>
      <c r="D2081" s="21" t="s">
        <v>67</v>
      </c>
      <c r="E2081">
        <v>245</v>
      </c>
      <c r="F2081">
        <v>23</v>
      </c>
      <c r="G2081" s="21" t="s">
        <v>25</v>
      </c>
      <c r="H2081" s="21" t="s">
        <v>357</v>
      </c>
      <c r="I2081" s="21" t="s">
        <v>2219</v>
      </c>
    </row>
    <row r="2082" spans="1:9" x14ac:dyDescent="0.25">
      <c r="A2082" s="21" t="s">
        <v>2224</v>
      </c>
      <c r="B2082">
        <v>56</v>
      </c>
      <c r="C2082" s="21" t="s">
        <v>28</v>
      </c>
      <c r="D2082" s="21" t="s">
        <v>29</v>
      </c>
      <c r="E2082">
        <v>325</v>
      </c>
      <c r="F2082">
        <v>27</v>
      </c>
      <c r="G2082" s="21" t="s">
        <v>45</v>
      </c>
      <c r="H2082" s="21" t="s">
        <v>233</v>
      </c>
      <c r="I2082" s="21" t="s">
        <v>2219</v>
      </c>
    </row>
    <row r="2083" spans="1:9" x14ac:dyDescent="0.25">
      <c r="A2083" s="21" t="s">
        <v>2225</v>
      </c>
      <c r="B2083">
        <v>32</v>
      </c>
      <c r="C2083" s="21" t="s">
        <v>51</v>
      </c>
      <c r="D2083" s="21" t="s">
        <v>11</v>
      </c>
      <c r="E2083">
        <v>235</v>
      </c>
      <c r="F2083">
        <v>25</v>
      </c>
      <c r="G2083" s="21" t="s">
        <v>83</v>
      </c>
      <c r="H2083" s="21" t="s">
        <v>643</v>
      </c>
      <c r="I2083" s="21" t="s">
        <v>2219</v>
      </c>
    </row>
    <row r="2084" spans="1:9" x14ac:dyDescent="0.25">
      <c r="A2084" s="21" t="s">
        <v>2226</v>
      </c>
      <c r="B2084">
        <v>77</v>
      </c>
      <c r="C2084" s="21" t="s">
        <v>277</v>
      </c>
      <c r="D2084" s="21" t="s">
        <v>35</v>
      </c>
      <c r="E2084">
        <v>335</v>
      </c>
      <c r="F2084">
        <v>24</v>
      </c>
      <c r="G2084" s="21" t="s">
        <v>30</v>
      </c>
      <c r="H2084" s="21" t="s">
        <v>233</v>
      </c>
      <c r="I2084" s="21" t="s">
        <v>2219</v>
      </c>
    </row>
    <row r="2085" spans="1:9" x14ac:dyDescent="0.25">
      <c r="A2085" s="21" t="s">
        <v>2227</v>
      </c>
      <c r="B2085">
        <v>95</v>
      </c>
      <c r="C2085" s="21" t="s">
        <v>114</v>
      </c>
      <c r="D2085" s="21" t="s">
        <v>29</v>
      </c>
      <c r="E2085">
        <v>320</v>
      </c>
      <c r="F2085">
        <v>24</v>
      </c>
      <c r="G2085" s="21" t="s">
        <v>12</v>
      </c>
      <c r="H2085" s="21" t="s">
        <v>65</v>
      </c>
      <c r="I2085" s="21" t="s">
        <v>2219</v>
      </c>
    </row>
    <row r="2086" spans="1:9" x14ac:dyDescent="0.25">
      <c r="A2086" s="21" t="s">
        <v>472</v>
      </c>
      <c r="B2086">
        <v>41</v>
      </c>
      <c r="C2086" s="21" t="s">
        <v>51</v>
      </c>
      <c r="D2086" s="21" t="s">
        <v>11</v>
      </c>
      <c r="E2086">
        <v>220</v>
      </c>
      <c r="F2086">
        <v>23</v>
      </c>
      <c r="G2086" s="21" t="s">
        <v>83</v>
      </c>
      <c r="H2086" s="21" t="s">
        <v>308</v>
      </c>
      <c r="I2086" s="21" t="s">
        <v>2219</v>
      </c>
    </row>
    <row r="2087" spans="1:9" x14ac:dyDescent="0.25">
      <c r="A2087" s="21" t="s">
        <v>2228</v>
      </c>
      <c r="B2087">
        <v>53</v>
      </c>
      <c r="C2087" s="21" t="s">
        <v>319</v>
      </c>
      <c r="D2087" s="21" t="s">
        <v>29</v>
      </c>
      <c r="E2087">
        <v>250</v>
      </c>
      <c r="F2087">
        <v>24</v>
      </c>
      <c r="G2087" s="21" t="s">
        <v>16</v>
      </c>
      <c r="H2087" s="21" t="s">
        <v>241</v>
      </c>
      <c r="I2087" s="21" t="s">
        <v>2219</v>
      </c>
    </row>
    <row r="2088" spans="1:9" x14ac:dyDescent="0.25">
      <c r="A2088" s="21" t="s">
        <v>2229</v>
      </c>
      <c r="B2088">
        <v>31</v>
      </c>
      <c r="C2088" s="21" t="s">
        <v>89</v>
      </c>
      <c r="D2088" s="21" t="s">
        <v>11</v>
      </c>
      <c r="E2088">
        <v>210</v>
      </c>
      <c r="F2088">
        <v>28</v>
      </c>
      <c r="G2088" s="21" t="s">
        <v>100</v>
      </c>
      <c r="H2088" s="21" t="s">
        <v>106</v>
      </c>
      <c r="I2088" s="21" t="s">
        <v>2219</v>
      </c>
    </row>
    <row r="2089" spans="1:9" x14ac:dyDescent="0.25">
      <c r="A2089" s="21" t="s">
        <v>2230</v>
      </c>
      <c r="B2089">
        <v>34</v>
      </c>
      <c r="C2089" s="21" t="s">
        <v>89</v>
      </c>
      <c r="D2089" s="21" t="s">
        <v>125</v>
      </c>
      <c r="E2089">
        <v>200</v>
      </c>
      <c r="F2089">
        <v>26</v>
      </c>
      <c r="G2089" s="21" t="s">
        <v>45</v>
      </c>
      <c r="H2089" s="21" t="s">
        <v>256</v>
      </c>
      <c r="I2089" s="21" t="s">
        <v>2219</v>
      </c>
    </row>
    <row r="2090" spans="1:9" x14ac:dyDescent="0.25">
      <c r="A2090" s="21" t="s">
        <v>2232</v>
      </c>
      <c r="B2090">
        <v>21</v>
      </c>
      <c r="C2090" s="21" t="s">
        <v>89</v>
      </c>
      <c r="D2090" s="21" t="s">
        <v>44</v>
      </c>
      <c r="E2090">
        <v>220</v>
      </c>
      <c r="F2090">
        <v>24</v>
      </c>
      <c r="G2090" s="21" t="s">
        <v>12</v>
      </c>
      <c r="H2090" s="21" t="s">
        <v>2193</v>
      </c>
      <c r="I2090" s="21" t="s">
        <v>2219</v>
      </c>
    </row>
    <row r="2091" spans="1:9" x14ac:dyDescent="0.25">
      <c r="A2091" s="21" t="s">
        <v>2233</v>
      </c>
      <c r="B2091">
        <v>70</v>
      </c>
      <c r="C2091" s="21" t="s">
        <v>140</v>
      </c>
      <c r="D2091" s="21" t="s">
        <v>67</v>
      </c>
      <c r="E2091">
        <v>300</v>
      </c>
      <c r="F2091">
        <v>25</v>
      </c>
      <c r="G2091" s="21" t="s">
        <v>30</v>
      </c>
      <c r="H2091" s="21" t="s">
        <v>204</v>
      </c>
      <c r="I2091" s="21" t="s">
        <v>2219</v>
      </c>
    </row>
    <row r="2092" spans="1:9" x14ac:dyDescent="0.25">
      <c r="A2092" s="21" t="s">
        <v>2234</v>
      </c>
      <c r="B2092">
        <v>63</v>
      </c>
      <c r="C2092" s="21" t="s">
        <v>277</v>
      </c>
      <c r="D2092" s="21" t="s">
        <v>35</v>
      </c>
      <c r="E2092">
        <v>305</v>
      </c>
      <c r="F2092">
        <v>26</v>
      </c>
      <c r="G2092" s="21" t="s">
        <v>45</v>
      </c>
      <c r="H2092" s="21" t="s">
        <v>1074</v>
      </c>
      <c r="I2092" s="21" t="s">
        <v>2219</v>
      </c>
    </row>
    <row r="2093" spans="1:9" x14ac:dyDescent="0.25">
      <c r="A2093" s="21" t="s">
        <v>2235</v>
      </c>
      <c r="B2093">
        <v>9</v>
      </c>
      <c r="C2093" s="21" t="s">
        <v>70</v>
      </c>
      <c r="D2093" s="21" t="s">
        <v>24</v>
      </c>
      <c r="E2093">
        <v>205</v>
      </c>
      <c r="F2093">
        <v>23</v>
      </c>
      <c r="G2093" s="21" t="s">
        <v>25</v>
      </c>
      <c r="H2093" s="21" t="s">
        <v>516</v>
      </c>
      <c r="I2093" s="21" t="s">
        <v>2219</v>
      </c>
    </row>
    <row r="2094" spans="1:9" x14ac:dyDescent="0.25">
      <c r="A2094" s="21" t="s">
        <v>2236</v>
      </c>
      <c r="B2094">
        <v>65</v>
      </c>
      <c r="C2094" s="21" t="s">
        <v>277</v>
      </c>
      <c r="D2094" s="21" t="s">
        <v>67</v>
      </c>
      <c r="E2094">
        <v>325</v>
      </c>
      <c r="F2094">
        <v>25</v>
      </c>
      <c r="G2094" s="21" t="s">
        <v>16</v>
      </c>
      <c r="H2094" s="21" t="s">
        <v>115</v>
      </c>
      <c r="I2094" s="21" t="s">
        <v>2219</v>
      </c>
    </row>
    <row r="2095" spans="1:9" x14ac:dyDescent="0.25">
      <c r="A2095" s="21" t="s">
        <v>2237</v>
      </c>
      <c r="B2095">
        <v>14</v>
      </c>
      <c r="C2095" s="21" t="s">
        <v>70</v>
      </c>
      <c r="D2095" s="21" t="s">
        <v>44</v>
      </c>
      <c r="E2095">
        <v>225</v>
      </c>
      <c r="F2095">
        <v>25</v>
      </c>
      <c r="G2095" s="21" t="s">
        <v>45</v>
      </c>
      <c r="H2095" s="21" t="s">
        <v>280</v>
      </c>
      <c r="I2095" s="21" t="s">
        <v>2219</v>
      </c>
    </row>
    <row r="2096" spans="1:9" x14ac:dyDescent="0.25">
      <c r="A2096" s="21" t="s">
        <v>2238</v>
      </c>
      <c r="B2096">
        <v>79</v>
      </c>
      <c r="C2096" s="21" t="s">
        <v>140</v>
      </c>
      <c r="D2096" s="21" t="s">
        <v>35</v>
      </c>
      <c r="E2096">
        <v>320</v>
      </c>
      <c r="F2096">
        <v>21</v>
      </c>
      <c r="G2096" s="21" t="s">
        <v>25</v>
      </c>
      <c r="H2096" s="21" t="s">
        <v>106</v>
      </c>
      <c r="I2096" s="21" t="s">
        <v>2219</v>
      </c>
    </row>
    <row r="2097" spans="1:9" x14ac:dyDescent="0.25">
      <c r="A2097" s="21" t="s">
        <v>2239</v>
      </c>
      <c r="B2097">
        <v>60</v>
      </c>
      <c r="C2097" s="21" t="s">
        <v>277</v>
      </c>
      <c r="D2097" s="21" t="s">
        <v>44</v>
      </c>
      <c r="E2097">
        <v>305</v>
      </c>
      <c r="F2097">
        <v>28</v>
      </c>
      <c r="G2097" s="21" t="s">
        <v>38</v>
      </c>
      <c r="H2097" s="21" t="s">
        <v>36</v>
      </c>
      <c r="I2097" s="21" t="s">
        <v>2219</v>
      </c>
    </row>
    <row r="2098" spans="1:9" x14ac:dyDescent="0.25">
      <c r="A2098" s="21" t="s">
        <v>2240</v>
      </c>
      <c r="B2098">
        <v>75</v>
      </c>
      <c r="C2098" s="21" t="s">
        <v>140</v>
      </c>
      <c r="D2098" s="21" t="s">
        <v>29</v>
      </c>
      <c r="E2098">
        <v>315</v>
      </c>
      <c r="F2098">
        <v>29</v>
      </c>
      <c r="G2098" s="21" t="s">
        <v>21</v>
      </c>
      <c r="H2098" s="21" t="s">
        <v>241</v>
      </c>
      <c r="I2098" s="21" t="s">
        <v>2219</v>
      </c>
    </row>
    <row r="2099" spans="1:9" x14ac:dyDescent="0.25">
      <c r="A2099" s="21" t="s">
        <v>2241</v>
      </c>
      <c r="B2099">
        <v>46</v>
      </c>
      <c r="C2099" s="21" t="s">
        <v>158</v>
      </c>
      <c r="D2099" s="21" t="s">
        <v>52</v>
      </c>
      <c r="E2099">
        <v>235</v>
      </c>
      <c r="F2099">
        <v>23</v>
      </c>
      <c r="G2099" s="21" t="s">
        <v>30</v>
      </c>
      <c r="H2099" s="21" t="s">
        <v>233</v>
      </c>
      <c r="I2099" s="21" t="s">
        <v>2219</v>
      </c>
    </row>
    <row r="2100" spans="1:9" x14ac:dyDescent="0.25">
      <c r="A2100" s="21" t="s">
        <v>2242</v>
      </c>
      <c r="B2100">
        <v>33</v>
      </c>
      <c r="C2100" s="21" t="s">
        <v>51</v>
      </c>
      <c r="D2100" s="21" t="s">
        <v>11</v>
      </c>
      <c r="E2100">
        <v>235</v>
      </c>
      <c r="F2100">
        <v>26</v>
      </c>
      <c r="G2100" s="21" t="s">
        <v>45</v>
      </c>
      <c r="H2100" s="21" t="s">
        <v>109</v>
      </c>
      <c r="I2100" s="21" t="s">
        <v>2219</v>
      </c>
    </row>
    <row r="2101" spans="1:9" x14ac:dyDescent="0.25">
      <c r="A2101" s="21" t="s">
        <v>2243</v>
      </c>
      <c r="B2101">
        <v>42</v>
      </c>
      <c r="C2101" s="21" t="s">
        <v>89</v>
      </c>
      <c r="D2101" s="21" t="s">
        <v>44</v>
      </c>
      <c r="E2101">
        <v>210</v>
      </c>
      <c r="F2101">
        <v>26</v>
      </c>
      <c r="G2101" s="21" t="s">
        <v>12</v>
      </c>
      <c r="H2101" s="21" t="s">
        <v>256</v>
      </c>
      <c r="I2101" s="21" t="s">
        <v>2219</v>
      </c>
    </row>
    <row r="2102" spans="1:9" x14ac:dyDescent="0.25">
      <c r="A2102" s="21" t="s">
        <v>2244</v>
      </c>
      <c r="B2102">
        <v>5</v>
      </c>
      <c r="C2102" s="21" t="s">
        <v>76</v>
      </c>
      <c r="D2102" s="21" t="s">
        <v>11</v>
      </c>
      <c r="E2102">
        <v>200</v>
      </c>
      <c r="F2102">
        <v>27</v>
      </c>
      <c r="G2102" s="21" t="s">
        <v>38</v>
      </c>
      <c r="H2102" s="21" t="s">
        <v>13</v>
      </c>
      <c r="I2102" s="21" t="s">
        <v>2219</v>
      </c>
    </row>
    <row r="2103" spans="1:9" x14ac:dyDescent="0.25">
      <c r="A2103" s="21" t="s">
        <v>2245</v>
      </c>
      <c r="B2103">
        <v>52</v>
      </c>
      <c r="C2103" s="21" t="s">
        <v>15</v>
      </c>
      <c r="D2103" s="21" t="s">
        <v>52</v>
      </c>
      <c r="E2103">
        <v>230</v>
      </c>
      <c r="F2103">
        <v>23</v>
      </c>
      <c r="G2103" s="21" t="s">
        <v>25</v>
      </c>
      <c r="H2103" s="21" t="s">
        <v>278</v>
      </c>
      <c r="I2103" s="21" t="s">
        <v>2219</v>
      </c>
    </row>
    <row r="2104" spans="1:9" x14ac:dyDescent="0.25">
      <c r="A2104" s="21" t="s">
        <v>2246</v>
      </c>
      <c r="B2104">
        <v>97</v>
      </c>
      <c r="C2104" s="21" t="s">
        <v>319</v>
      </c>
      <c r="D2104" s="21" t="s">
        <v>29</v>
      </c>
      <c r="E2104">
        <v>265</v>
      </c>
      <c r="F2104">
        <v>24</v>
      </c>
      <c r="G2104" s="21" t="s">
        <v>12</v>
      </c>
      <c r="H2104" s="21" t="s">
        <v>3251</v>
      </c>
      <c r="I2104" s="21" t="s">
        <v>2219</v>
      </c>
    </row>
    <row r="2105" spans="1:9" x14ac:dyDescent="0.25">
      <c r="A2105" s="21" t="s">
        <v>2247</v>
      </c>
      <c r="B2105">
        <v>36</v>
      </c>
      <c r="C2105" s="21" t="s">
        <v>48</v>
      </c>
      <c r="D2105" s="21" t="s">
        <v>52</v>
      </c>
      <c r="E2105">
        <v>195</v>
      </c>
      <c r="F2105">
        <v>24</v>
      </c>
      <c r="G2105" s="21" t="s">
        <v>30</v>
      </c>
      <c r="H2105" s="21" t="s">
        <v>2193</v>
      </c>
      <c r="I2105" s="21" t="s">
        <v>2219</v>
      </c>
    </row>
    <row r="2106" spans="1:9" x14ac:dyDescent="0.25">
      <c r="A2106" s="21" t="s">
        <v>2248</v>
      </c>
      <c r="B2106">
        <v>38</v>
      </c>
      <c r="C2106" s="21" t="s">
        <v>124</v>
      </c>
      <c r="D2106" s="21" t="s">
        <v>54</v>
      </c>
      <c r="E2106">
        <v>210</v>
      </c>
      <c r="F2106">
        <v>24</v>
      </c>
      <c r="G2106" s="21" t="s">
        <v>12</v>
      </c>
      <c r="H2106" s="21" t="s">
        <v>516</v>
      </c>
      <c r="I2106" s="21" t="s">
        <v>2219</v>
      </c>
    </row>
    <row r="2107" spans="1:9" x14ac:dyDescent="0.25">
      <c r="A2107" s="21" t="s">
        <v>2249</v>
      </c>
      <c r="B2107">
        <v>98</v>
      </c>
      <c r="C2107" s="21" t="s">
        <v>319</v>
      </c>
      <c r="D2107" s="21" t="s">
        <v>24</v>
      </c>
      <c r="E2107">
        <v>235</v>
      </c>
      <c r="F2107">
        <v>28</v>
      </c>
      <c r="G2107" s="21" t="s">
        <v>45</v>
      </c>
      <c r="H2107" s="21" t="s">
        <v>516</v>
      </c>
      <c r="I2107" s="21" t="s">
        <v>2219</v>
      </c>
    </row>
    <row r="2108" spans="1:9" x14ac:dyDescent="0.25">
      <c r="A2108" s="21" t="s">
        <v>2250</v>
      </c>
      <c r="C2108" s="21" t="s">
        <v>193</v>
      </c>
      <c r="D2108" s="21" t="s">
        <v>29</v>
      </c>
      <c r="E2108">
        <v>225</v>
      </c>
      <c r="F2108">
        <v>32</v>
      </c>
      <c r="G2108" s="21" t="s">
        <v>254</v>
      </c>
      <c r="H2108" s="21" t="s">
        <v>374</v>
      </c>
      <c r="I2108" s="21" t="s">
        <v>2219</v>
      </c>
    </row>
    <row r="2109" spans="1:9" x14ac:dyDescent="0.25">
      <c r="A2109" s="21" t="s">
        <v>2251</v>
      </c>
      <c r="B2109">
        <v>24</v>
      </c>
      <c r="C2109" s="21" t="s">
        <v>48</v>
      </c>
      <c r="D2109" s="21" t="s">
        <v>52</v>
      </c>
      <c r="E2109">
        <v>205</v>
      </c>
      <c r="F2109">
        <v>23</v>
      </c>
      <c r="G2109" s="21" t="s">
        <v>12</v>
      </c>
      <c r="H2109" s="21" t="s">
        <v>251</v>
      </c>
      <c r="I2109" s="21" t="s">
        <v>2219</v>
      </c>
    </row>
    <row r="2110" spans="1:9" x14ac:dyDescent="0.25">
      <c r="A2110" s="21" t="s">
        <v>2252</v>
      </c>
      <c r="B2110">
        <v>10</v>
      </c>
      <c r="C2110" s="21" t="s">
        <v>10</v>
      </c>
      <c r="D2110" s="21" t="s">
        <v>44</v>
      </c>
      <c r="E2110">
        <v>190</v>
      </c>
      <c r="G2110" s="21" t="s">
        <v>25</v>
      </c>
      <c r="H2110" s="21" t="s">
        <v>333</v>
      </c>
      <c r="I2110" s="21" t="s">
        <v>2219</v>
      </c>
    </row>
    <row r="2111" spans="1:9" x14ac:dyDescent="0.25">
      <c r="A2111" s="21" t="s">
        <v>2253</v>
      </c>
      <c r="B2111">
        <v>69</v>
      </c>
      <c r="C2111" s="21" t="s">
        <v>319</v>
      </c>
      <c r="D2111" s="21" t="s">
        <v>29</v>
      </c>
      <c r="E2111">
        <v>275</v>
      </c>
      <c r="F2111">
        <v>28</v>
      </c>
      <c r="G2111" s="21" t="s">
        <v>30</v>
      </c>
      <c r="H2111" s="21" t="s">
        <v>267</v>
      </c>
      <c r="I2111" s="21" t="s">
        <v>2219</v>
      </c>
    </row>
    <row r="2112" spans="1:9" x14ac:dyDescent="0.25">
      <c r="A2112" s="21" t="s">
        <v>2254</v>
      </c>
      <c r="B2112">
        <v>17</v>
      </c>
      <c r="C2112" s="21" t="s">
        <v>10</v>
      </c>
      <c r="D2112" s="21" t="s">
        <v>52</v>
      </c>
      <c r="E2112">
        <v>198</v>
      </c>
      <c r="F2112">
        <v>27</v>
      </c>
      <c r="G2112" s="21" t="s">
        <v>100</v>
      </c>
      <c r="H2112" s="21" t="s">
        <v>389</v>
      </c>
      <c r="I2112" s="21" t="s">
        <v>2219</v>
      </c>
    </row>
    <row r="2113" spans="1:9" x14ac:dyDescent="0.25">
      <c r="A2113" s="21" t="s">
        <v>2255</v>
      </c>
      <c r="B2113">
        <v>8</v>
      </c>
      <c r="C2113" s="21" t="s">
        <v>48</v>
      </c>
      <c r="D2113" s="21" t="s">
        <v>52</v>
      </c>
      <c r="E2113">
        <v>200</v>
      </c>
      <c r="F2113">
        <v>22</v>
      </c>
      <c r="G2113" s="21" t="s">
        <v>30</v>
      </c>
      <c r="H2113" s="21" t="s">
        <v>115</v>
      </c>
      <c r="I2113" s="21" t="s">
        <v>2219</v>
      </c>
    </row>
    <row r="2114" spans="1:9" x14ac:dyDescent="0.25">
      <c r="A2114" s="21" t="s">
        <v>2256</v>
      </c>
      <c r="B2114">
        <v>66</v>
      </c>
      <c r="C2114" s="21" t="s">
        <v>277</v>
      </c>
      <c r="D2114" s="21" t="s">
        <v>35</v>
      </c>
      <c r="E2114">
        <v>325</v>
      </c>
      <c r="F2114">
        <v>25</v>
      </c>
      <c r="G2114" s="21" t="s">
        <v>83</v>
      </c>
      <c r="H2114" s="21" t="s">
        <v>65</v>
      </c>
      <c r="I2114" s="21" t="s">
        <v>2219</v>
      </c>
    </row>
    <row r="2115" spans="1:9" x14ac:dyDescent="0.25">
      <c r="A2115" s="21" t="s">
        <v>2257</v>
      </c>
      <c r="B2115">
        <v>71</v>
      </c>
      <c r="C2115" s="21" t="s">
        <v>114</v>
      </c>
      <c r="D2115" s="21" t="s">
        <v>29</v>
      </c>
      <c r="E2115">
        <v>280</v>
      </c>
      <c r="F2115">
        <v>25</v>
      </c>
      <c r="G2115" s="21" t="s">
        <v>30</v>
      </c>
      <c r="H2115" s="21" t="s">
        <v>683</v>
      </c>
      <c r="I2115" s="21" t="s">
        <v>2219</v>
      </c>
    </row>
    <row r="2116" spans="1:9" x14ac:dyDescent="0.25">
      <c r="A2116" s="21" t="s">
        <v>2258</v>
      </c>
      <c r="B2116">
        <v>30</v>
      </c>
      <c r="C2116" s="21" t="s">
        <v>51</v>
      </c>
      <c r="D2116" s="21" t="s">
        <v>52</v>
      </c>
      <c r="E2116">
        <v>210</v>
      </c>
      <c r="F2116">
        <v>23</v>
      </c>
      <c r="G2116" s="21" t="s">
        <v>30</v>
      </c>
      <c r="H2116" s="21" t="s">
        <v>130</v>
      </c>
      <c r="I2116" s="21" t="s">
        <v>2219</v>
      </c>
    </row>
    <row r="2117" spans="1:9" x14ac:dyDescent="0.25">
      <c r="A2117" s="21" t="s">
        <v>2259</v>
      </c>
      <c r="B2117">
        <v>99</v>
      </c>
      <c r="C2117" s="21" t="s">
        <v>114</v>
      </c>
      <c r="D2117" s="21" t="s">
        <v>44</v>
      </c>
      <c r="E2117">
        <v>305</v>
      </c>
      <c r="F2117">
        <v>28</v>
      </c>
      <c r="G2117" s="21" t="s">
        <v>100</v>
      </c>
      <c r="H2117" s="21" t="s">
        <v>256</v>
      </c>
      <c r="I2117" s="21" t="s">
        <v>2219</v>
      </c>
    </row>
    <row r="2118" spans="1:9" x14ac:dyDescent="0.25">
      <c r="A2118" s="21" t="s">
        <v>2260</v>
      </c>
      <c r="B2118">
        <v>26</v>
      </c>
      <c r="C2118" s="21" t="s">
        <v>48</v>
      </c>
      <c r="D2118" s="21" t="s">
        <v>125</v>
      </c>
      <c r="E2118">
        <v>180</v>
      </c>
      <c r="F2118">
        <v>26</v>
      </c>
      <c r="G2118" s="21" t="s">
        <v>45</v>
      </c>
      <c r="H2118" s="21" t="s">
        <v>267</v>
      </c>
      <c r="I2118" s="21" t="s">
        <v>2219</v>
      </c>
    </row>
    <row r="2119" spans="1:9" x14ac:dyDescent="0.25">
      <c r="A2119" s="21" t="s">
        <v>2261</v>
      </c>
      <c r="B2119">
        <v>44</v>
      </c>
      <c r="C2119" s="21" t="s">
        <v>158</v>
      </c>
      <c r="D2119" s="21" t="s">
        <v>24</v>
      </c>
      <c r="E2119">
        <v>235</v>
      </c>
      <c r="F2119">
        <v>36</v>
      </c>
      <c r="G2119" s="21" t="s">
        <v>712</v>
      </c>
      <c r="H2119" s="21" t="s">
        <v>31</v>
      </c>
      <c r="I2119" s="21" t="s">
        <v>2219</v>
      </c>
    </row>
    <row r="2120" spans="1:9" x14ac:dyDescent="0.25">
      <c r="A2120" s="21" t="s">
        <v>2262</v>
      </c>
      <c r="B2120">
        <v>92</v>
      </c>
      <c r="C2120" s="21" t="s">
        <v>319</v>
      </c>
      <c r="D2120" s="21" t="s">
        <v>67</v>
      </c>
      <c r="E2120">
        <v>250</v>
      </c>
      <c r="F2120">
        <v>25</v>
      </c>
      <c r="G2120" s="21" t="s">
        <v>16</v>
      </c>
      <c r="H2120" s="21" t="s">
        <v>629</v>
      </c>
      <c r="I2120" s="21" t="s">
        <v>2219</v>
      </c>
    </row>
    <row r="2121" spans="1:9" x14ac:dyDescent="0.25">
      <c r="A2121" s="21" t="s">
        <v>2263</v>
      </c>
      <c r="B2121">
        <v>91</v>
      </c>
      <c r="C2121" s="21" t="s">
        <v>319</v>
      </c>
      <c r="D2121" s="21" t="s">
        <v>44</v>
      </c>
      <c r="E2121">
        <v>255</v>
      </c>
      <c r="F2121">
        <v>23</v>
      </c>
      <c r="G2121" s="21" t="s">
        <v>25</v>
      </c>
      <c r="H2121" s="21" t="s">
        <v>55</v>
      </c>
      <c r="I2121" s="21" t="s">
        <v>2219</v>
      </c>
    </row>
    <row r="2122" spans="1:9" x14ac:dyDescent="0.25">
      <c r="A2122" s="21" t="s">
        <v>2264</v>
      </c>
      <c r="B2122">
        <v>73</v>
      </c>
      <c r="C2122" s="21" t="s">
        <v>277</v>
      </c>
      <c r="D2122" s="21" t="s">
        <v>67</v>
      </c>
      <c r="E2122">
        <v>315</v>
      </c>
      <c r="F2122">
        <v>24</v>
      </c>
      <c r="G2122" s="21" t="s">
        <v>16</v>
      </c>
      <c r="H2122" s="21" t="s">
        <v>36</v>
      </c>
      <c r="I2122" s="21" t="s">
        <v>2219</v>
      </c>
    </row>
    <row r="2123" spans="1:9" x14ac:dyDescent="0.25">
      <c r="A2123" s="21" t="s">
        <v>2265</v>
      </c>
      <c r="B2123">
        <v>19</v>
      </c>
      <c r="C2123" s="21" t="s">
        <v>10</v>
      </c>
      <c r="D2123" s="21" t="s">
        <v>44</v>
      </c>
      <c r="E2123">
        <v>210</v>
      </c>
      <c r="F2123">
        <v>27</v>
      </c>
      <c r="G2123" s="21" t="s">
        <v>16</v>
      </c>
      <c r="H2123" s="21" t="s">
        <v>256</v>
      </c>
      <c r="I2123" s="21" t="s">
        <v>2219</v>
      </c>
    </row>
    <row r="2124" spans="1:9" x14ac:dyDescent="0.25">
      <c r="A2124" s="21" t="s">
        <v>2266</v>
      </c>
      <c r="B2124">
        <v>96</v>
      </c>
      <c r="C2124" s="21" t="s">
        <v>319</v>
      </c>
      <c r="D2124" s="21" t="s">
        <v>44</v>
      </c>
      <c r="E2124">
        <v>265</v>
      </c>
      <c r="F2124">
        <v>27</v>
      </c>
      <c r="G2124" s="21" t="s">
        <v>30</v>
      </c>
      <c r="H2124" s="21" t="s">
        <v>400</v>
      </c>
      <c r="I2124" s="21" t="s">
        <v>2219</v>
      </c>
    </row>
    <row r="2125" spans="1:9" x14ac:dyDescent="0.25">
      <c r="A2125" s="21" t="s">
        <v>2267</v>
      </c>
      <c r="B2125">
        <v>55</v>
      </c>
      <c r="C2125" s="21" t="s">
        <v>15</v>
      </c>
      <c r="D2125" s="21" t="s">
        <v>44</v>
      </c>
      <c r="E2125">
        <v>225</v>
      </c>
      <c r="F2125">
        <v>28</v>
      </c>
      <c r="G2125" s="21" t="s">
        <v>100</v>
      </c>
      <c r="H2125" s="21" t="s">
        <v>274</v>
      </c>
      <c r="I2125" s="21" t="s">
        <v>2219</v>
      </c>
    </row>
    <row r="2126" spans="1:9" x14ac:dyDescent="0.25">
      <c r="A2126" s="21" t="s">
        <v>1412</v>
      </c>
      <c r="B2126">
        <v>37</v>
      </c>
      <c r="C2126" s="21" t="s">
        <v>51</v>
      </c>
      <c r="D2126" s="21" t="s">
        <v>11</v>
      </c>
      <c r="E2126">
        <v>210</v>
      </c>
      <c r="G2126" s="21" t="s">
        <v>25</v>
      </c>
      <c r="H2126" s="21" t="s">
        <v>3251</v>
      </c>
      <c r="I2126" s="21" t="s">
        <v>2219</v>
      </c>
    </row>
    <row r="2127" spans="1:9" x14ac:dyDescent="0.25">
      <c r="A2127" s="21" t="s">
        <v>2268</v>
      </c>
      <c r="B2127">
        <v>49</v>
      </c>
      <c r="C2127" s="21" t="s">
        <v>15</v>
      </c>
      <c r="D2127" s="21" t="s">
        <v>44</v>
      </c>
      <c r="E2127">
        <v>235</v>
      </c>
      <c r="F2127">
        <v>25</v>
      </c>
      <c r="G2127" s="21" t="s">
        <v>45</v>
      </c>
      <c r="H2127" s="21" t="s">
        <v>370</v>
      </c>
      <c r="I2127" s="21" t="s">
        <v>2219</v>
      </c>
    </row>
    <row r="2128" spans="1:9" x14ac:dyDescent="0.25">
      <c r="A2128" s="21" t="s">
        <v>2269</v>
      </c>
      <c r="B2128">
        <v>88</v>
      </c>
      <c r="C2128" s="21" t="s">
        <v>10</v>
      </c>
      <c r="D2128" s="21" t="s">
        <v>24</v>
      </c>
      <c r="E2128">
        <v>200</v>
      </c>
      <c r="F2128">
        <v>22</v>
      </c>
      <c r="G2128" s="21" t="s">
        <v>30</v>
      </c>
      <c r="H2128" s="21" t="s">
        <v>267</v>
      </c>
      <c r="I2128" s="21" t="s">
        <v>2219</v>
      </c>
    </row>
    <row r="2129" spans="1:9" x14ac:dyDescent="0.25">
      <c r="A2129" s="21" t="s">
        <v>2270</v>
      </c>
      <c r="B2129">
        <v>47</v>
      </c>
      <c r="C2129" s="21" t="s">
        <v>15</v>
      </c>
      <c r="D2129" s="21" t="s">
        <v>44</v>
      </c>
      <c r="E2129">
        <v>240</v>
      </c>
      <c r="F2129">
        <v>24</v>
      </c>
      <c r="G2129" s="21" t="s">
        <v>12</v>
      </c>
      <c r="H2129" s="21" t="s">
        <v>168</v>
      </c>
      <c r="I2129" s="21" t="s">
        <v>2219</v>
      </c>
    </row>
    <row r="2130" spans="1:9" x14ac:dyDescent="0.25">
      <c r="A2130" s="21" t="s">
        <v>3256</v>
      </c>
      <c r="B2130">
        <v>6</v>
      </c>
      <c r="C2130" s="21" t="s">
        <v>70</v>
      </c>
      <c r="D2130" s="21" t="s">
        <v>52</v>
      </c>
      <c r="E2130">
        <v>215</v>
      </c>
      <c r="F2130">
        <v>27</v>
      </c>
      <c r="G2130" s="21" t="s">
        <v>45</v>
      </c>
      <c r="H2130" s="21" t="s">
        <v>187</v>
      </c>
      <c r="I2130" s="21" t="s">
        <v>2219</v>
      </c>
    </row>
    <row r="2131" spans="1:9" x14ac:dyDescent="0.25">
      <c r="A2131" s="21" t="s">
        <v>2271</v>
      </c>
      <c r="B2131">
        <v>64</v>
      </c>
      <c r="C2131" s="21" t="s">
        <v>28</v>
      </c>
      <c r="D2131" s="21" t="s">
        <v>67</v>
      </c>
      <c r="E2131">
        <v>325</v>
      </c>
      <c r="F2131">
        <v>23</v>
      </c>
      <c r="G2131" s="21" t="s">
        <v>25</v>
      </c>
      <c r="H2131" s="21" t="s">
        <v>104</v>
      </c>
      <c r="I2131" s="21" t="s">
        <v>2219</v>
      </c>
    </row>
    <row r="2132" spans="1:9" x14ac:dyDescent="0.25">
      <c r="A2132" s="21" t="s">
        <v>2272</v>
      </c>
      <c r="B2132">
        <v>22</v>
      </c>
      <c r="C2132" s="21" t="s">
        <v>51</v>
      </c>
      <c r="D2132" s="21" t="s">
        <v>54</v>
      </c>
      <c r="E2132">
        <v>205</v>
      </c>
      <c r="F2132">
        <v>26</v>
      </c>
      <c r="G2132" s="21" t="s">
        <v>38</v>
      </c>
      <c r="H2132" s="21" t="s">
        <v>165</v>
      </c>
      <c r="I2132" s="21" t="s">
        <v>2219</v>
      </c>
    </row>
    <row r="2133" spans="1:9" x14ac:dyDescent="0.25">
      <c r="A2133" s="21" t="s">
        <v>2273</v>
      </c>
      <c r="B2133">
        <v>78</v>
      </c>
      <c r="C2133" s="21" t="s">
        <v>114</v>
      </c>
      <c r="D2133" s="21" t="s">
        <v>44</v>
      </c>
      <c r="E2133">
        <v>345</v>
      </c>
      <c r="F2133">
        <v>23</v>
      </c>
      <c r="G2133" s="21" t="s">
        <v>25</v>
      </c>
      <c r="H2133" s="21" t="s">
        <v>683</v>
      </c>
      <c r="I2133" s="21" t="s">
        <v>2219</v>
      </c>
    </row>
    <row r="2134" spans="1:9" x14ac:dyDescent="0.25">
      <c r="A2134" s="21" t="s">
        <v>2274</v>
      </c>
      <c r="B2134">
        <v>29</v>
      </c>
      <c r="C2134" s="21" t="s">
        <v>48</v>
      </c>
      <c r="D2134" s="21" t="s">
        <v>24</v>
      </c>
      <c r="E2134">
        <v>195</v>
      </c>
      <c r="F2134">
        <v>32</v>
      </c>
      <c r="G2134" s="21" t="s">
        <v>64</v>
      </c>
      <c r="H2134" s="21" t="s">
        <v>181</v>
      </c>
      <c r="I2134" s="21" t="s">
        <v>2219</v>
      </c>
    </row>
    <row r="2135" spans="1:9" x14ac:dyDescent="0.25">
      <c r="A2135" s="21" t="s">
        <v>2275</v>
      </c>
      <c r="B2135">
        <v>67</v>
      </c>
      <c r="C2135" s="21" t="s">
        <v>140</v>
      </c>
      <c r="D2135" s="21" t="s">
        <v>29</v>
      </c>
      <c r="E2135">
        <v>300</v>
      </c>
      <c r="F2135">
        <v>26</v>
      </c>
      <c r="G2135" s="21" t="s">
        <v>83</v>
      </c>
      <c r="H2135" s="21" t="s">
        <v>3252</v>
      </c>
      <c r="I2135" s="21" t="s">
        <v>2219</v>
      </c>
    </row>
    <row r="2136" spans="1:9" x14ac:dyDescent="0.25">
      <c r="A2136" s="21" t="s">
        <v>2276</v>
      </c>
      <c r="B2136">
        <v>2</v>
      </c>
      <c r="C2136" s="21" t="s">
        <v>10</v>
      </c>
      <c r="D2136" s="21" t="s">
        <v>11</v>
      </c>
      <c r="E2136">
        <v>210</v>
      </c>
      <c r="F2136">
        <v>25</v>
      </c>
      <c r="G2136" s="21" t="s">
        <v>45</v>
      </c>
      <c r="H2136" s="21" t="s">
        <v>481</v>
      </c>
      <c r="I2136" s="21" t="s">
        <v>2219</v>
      </c>
    </row>
    <row r="2137" spans="1:9" x14ac:dyDescent="0.25">
      <c r="A2137" s="21" t="s">
        <v>2277</v>
      </c>
      <c r="B2137">
        <v>90</v>
      </c>
      <c r="C2137" s="21" t="s">
        <v>319</v>
      </c>
      <c r="D2137" s="21" t="s">
        <v>24</v>
      </c>
      <c r="E2137">
        <v>245</v>
      </c>
      <c r="F2137">
        <v>23</v>
      </c>
      <c r="G2137" s="21" t="s">
        <v>25</v>
      </c>
      <c r="H2137" s="21" t="s">
        <v>26</v>
      </c>
      <c r="I2137" s="21" t="s">
        <v>2219</v>
      </c>
    </row>
    <row r="2138" spans="1:9" x14ac:dyDescent="0.25">
      <c r="A2138" s="21" t="s">
        <v>2278</v>
      </c>
      <c r="B2138">
        <v>72</v>
      </c>
      <c r="C2138" s="21" t="s">
        <v>140</v>
      </c>
      <c r="D2138" s="21" t="s">
        <v>29</v>
      </c>
      <c r="E2138">
        <v>325</v>
      </c>
      <c r="F2138">
        <v>27</v>
      </c>
      <c r="G2138" s="21" t="s">
        <v>38</v>
      </c>
      <c r="H2138" s="21" t="s">
        <v>147</v>
      </c>
      <c r="I2138" s="21" t="s">
        <v>2219</v>
      </c>
    </row>
    <row r="2139" spans="1:9" x14ac:dyDescent="0.25">
      <c r="A2139" s="21" t="s">
        <v>2279</v>
      </c>
      <c r="B2139">
        <v>54</v>
      </c>
      <c r="C2139" s="21" t="s">
        <v>114</v>
      </c>
      <c r="D2139" s="21" t="s">
        <v>44</v>
      </c>
      <c r="E2139">
        <v>305</v>
      </c>
      <c r="F2139">
        <v>23</v>
      </c>
      <c r="G2139" s="21" t="s">
        <v>30</v>
      </c>
      <c r="H2139" s="21" t="s">
        <v>117</v>
      </c>
      <c r="I2139" s="21" t="s">
        <v>2219</v>
      </c>
    </row>
    <row r="2140" spans="1:9" x14ac:dyDescent="0.25">
      <c r="A2140" s="21" t="s">
        <v>2280</v>
      </c>
      <c r="B2140">
        <v>15</v>
      </c>
      <c r="C2140" s="21" t="s">
        <v>10</v>
      </c>
      <c r="D2140" s="21" t="s">
        <v>24</v>
      </c>
      <c r="E2140">
        <v>190</v>
      </c>
      <c r="G2140" s="21" t="s">
        <v>25</v>
      </c>
      <c r="H2140" s="21" t="s">
        <v>241</v>
      </c>
      <c r="I2140" s="21" t="s">
        <v>2219</v>
      </c>
    </row>
    <row r="2141" spans="1:9" x14ac:dyDescent="0.25">
      <c r="A2141" s="21" t="s">
        <v>2281</v>
      </c>
      <c r="B2141">
        <v>74</v>
      </c>
      <c r="C2141" s="21" t="s">
        <v>28</v>
      </c>
      <c r="D2141" s="21" t="s">
        <v>20</v>
      </c>
      <c r="E2141">
        <v>330</v>
      </c>
      <c r="F2141">
        <v>24</v>
      </c>
      <c r="G2141" s="21" t="s">
        <v>83</v>
      </c>
      <c r="H2141" s="21" t="s">
        <v>2282</v>
      </c>
      <c r="I2141" s="21" t="s">
        <v>2219</v>
      </c>
    </row>
    <row r="2142" spans="1:9" x14ac:dyDescent="0.25">
      <c r="A2142" s="21" t="s">
        <v>2283</v>
      </c>
      <c r="B2142">
        <v>85</v>
      </c>
      <c r="C2142" s="21" t="s">
        <v>10</v>
      </c>
      <c r="D2142" s="21" t="s">
        <v>52</v>
      </c>
      <c r="E2142">
        <v>185</v>
      </c>
      <c r="F2142">
        <v>22</v>
      </c>
      <c r="G2142" s="21" t="s">
        <v>25</v>
      </c>
      <c r="H2142" s="21" t="s">
        <v>385</v>
      </c>
      <c r="I2142" s="21" t="s">
        <v>2219</v>
      </c>
    </row>
    <row r="2143" spans="1:9" x14ac:dyDescent="0.25">
      <c r="A2143" s="21" t="s">
        <v>2284</v>
      </c>
      <c r="B2143">
        <v>45</v>
      </c>
      <c r="C2143" s="21" t="s">
        <v>91</v>
      </c>
      <c r="D2143" s="21" t="s">
        <v>44</v>
      </c>
      <c r="E2143">
        <v>240</v>
      </c>
      <c r="F2143">
        <v>25</v>
      </c>
      <c r="G2143" s="21" t="s">
        <v>30</v>
      </c>
      <c r="H2143" s="21" t="s">
        <v>147</v>
      </c>
      <c r="I2143" s="21" t="s">
        <v>2219</v>
      </c>
    </row>
    <row r="2144" spans="1:9" x14ac:dyDescent="0.25">
      <c r="A2144" s="21" t="s">
        <v>2285</v>
      </c>
      <c r="B2144">
        <v>18</v>
      </c>
      <c r="C2144" s="21" t="s">
        <v>10</v>
      </c>
      <c r="D2144" s="21" t="s">
        <v>54</v>
      </c>
      <c r="E2144">
        <v>195</v>
      </c>
      <c r="F2144">
        <v>34</v>
      </c>
      <c r="G2144" s="21" t="s">
        <v>407</v>
      </c>
      <c r="H2144" s="21" t="s">
        <v>2024</v>
      </c>
      <c r="I2144" s="21" t="s">
        <v>2219</v>
      </c>
    </row>
    <row r="2145" spans="1:9" x14ac:dyDescent="0.25">
      <c r="A2145" s="21" t="s">
        <v>2286</v>
      </c>
      <c r="B2145">
        <v>27</v>
      </c>
      <c r="C2145" s="21" t="s">
        <v>89</v>
      </c>
      <c r="D2145" s="21" t="s">
        <v>24</v>
      </c>
      <c r="E2145">
        <v>200</v>
      </c>
      <c r="F2145">
        <v>23</v>
      </c>
      <c r="G2145" s="21" t="s">
        <v>12</v>
      </c>
      <c r="H2145" s="21" t="s">
        <v>143</v>
      </c>
      <c r="I2145" s="21" t="s">
        <v>2219</v>
      </c>
    </row>
    <row r="2146" spans="1:9" x14ac:dyDescent="0.25">
      <c r="A2146" s="21" t="s">
        <v>2287</v>
      </c>
      <c r="B2146">
        <v>93</v>
      </c>
      <c r="C2146" s="21" t="s">
        <v>114</v>
      </c>
      <c r="D2146" s="21" t="s">
        <v>52</v>
      </c>
      <c r="E2146">
        <v>330</v>
      </c>
      <c r="F2146">
        <v>25</v>
      </c>
      <c r="G2146" s="21" t="s">
        <v>12</v>
      </c>
      <c r="H2146" s="21" t="s">
        <v>87</v>
      </c>
      <c r="I2146" s="21" t="s">
        <v>2219</v>
      </c>
    </row>
    <row r="2147" spans="1:9" x14ac:dyDescent="0.25">
      <c r="A2147" s="21" t="s">
        <v>2288</v>
      </c>
      <c r="B2147">
        <v>81</v>
      </c>
      <c r="C2147" s="21" t="s">
        <v>10</v>
      </c>
      <c r="D2147" s="21" t="s">
        <v>125</v>
      </c>
      <c r="E2147">
        <v>190</v>
      </c>
      <c r="F2147">
        <v>25</v>
      </c>
      <c r="G2147" s="21" t="s">
        <v>83</v>
      </c>
      <c r="H2147" s="21" t="s">
        <v>36</v>
      </c>
      <c r="I2147" s="21" t="s">
        <v>2219</v>
      </c>
    </row>
    <row r="2148" spans="1:9" x14ac:dyDescent="0.25">
      <c r="A2148" s="21" t="s">
        <v>2289</v>
      </c>
      <c r="B2148">
        <v>43</v>
      </c>
      <c r="C2148" s="21" t="s">
        <v>57</v>
      </c>
      <c r="D2148" s="21" t="s">
        <v>67</v>
      </c>
      <c r="E2148">
        <v>240</v>
      </c>
      <c r="F2148">
        <v>23</v>
      </c>
      <c r="G2148" s="21" t="s">
        <v>25</v>
      </c>
      <c r="H2148" s="21" t="s">
        <v>1370</v>
      </c>
      <c r="I2148" s="21" t="s">
        <v>2219</v>
      </c>
    </row>
    <row r="2149" spans="1:9" x14ac:dyDescent="0.25">
      <c r="A2149" s="21" t="s">
        <v>2290</v>
      </c>
      <c r="B2149">
        <v>40</v>
      </c>
      <c r="C2149" s="21" t="s">
        <v>15</v>
      </c>
      <c r="D2149" s="21" t="s">
        <v>44</v>
      </c>
      <c r="E2149">
        <v>240</v>
      </c>
      <c r="F2149">
        <v>21</v>
      </c>
      <c r="G2149" s="21" t="s">
        <v>25</v>
      </c>
      <c r="H2149" s="21" t="s">
        <v>3251</v>
      </c>
      <c r="I2149" s="21" t="s">
        <v>2219</v>
      </c>
    </row>
    <row r="2150" spans="1:9" x14ac:dyDescent="0.25">
      <c r="A2150" s="21" t="s">
        <v>2291</v>
      </c>
      <c r="B2150">
        <v>12</v>
      </c>
      <c r="C2150" s="21" t="s">
        <v>10</v>
      </c>
      <c r="D2150" s="21" t="s">
        <v>125</v>
      </c>
      <c r="E2150">
        <v>190</v>
      </c>
      <c r="F2150">
        <v>23</v>
      </c>
      <c r="G2150" s="21" t="s">
        <v>30</v>
      </c>
      <c r="H2150" s="21" t="s">
        <v>115</v>
      </c>
      <c r="I2150" s="21" t="s">
        <v>2219</v>
      </c>
    </row>
    <row r="2151" spans="1:9" x14ac:dyDescent="0.25">
      <c r="A2151" s="21" t="s">
        <v>2292</v>
      </c>
      <c r="B2151">
        <v>50</v>
      </c>
      <c r="C2151" s="21" t="s">
        <v>15</v>
      </c>
      <c r="D2151" s="21" t="s">
        <v>52</v>
      </c>
      <c r="E2151">
        <v>230</v>
      </c>
      <c r="F2151">
        <v>31</v>
      </c>
      <c r="G2151" s="21" t="s">
        <v>64</v>
      </c>
      <c r="H2151" s="21" t="s">
        <v>1329</v>
      </c>
      <c r="I2151" s="21" t="s">
        <v>2219</v>
      </c>
    </row>
    <row r="2152" spans="1:9" x14ac:dyDescent="0.25">
      <c r="A2152" s="21" t="s">
        <v>2293</v>
      </c>
      <c r="B2152">
        <v>84</v>
      </c>
      <c r="C2152" s="21" t="s">
        <v>57</v>
      </c>
      <c r="D2152" s="21" t="s">
        <v>29</v>
      </c>
      <c r="E2152">
        <v>245</v>
      </c>
      <c r="F2152">
        <v>25</v>
      </c>
      <c r="G2152" s="21" t="s">
        <v>83</v>
      </c>
      <c r="H2152" s="21" t="s">
        <v>267</v>
      </c>
      <c r="I2152" s="21" t="s">
        <v>2219</v>
      </c>
    </row>
    <row r="2153" spans="1:9" x14ac:dyDescent="0.25">
      <c r="A2153" s="21" t="s">
        <v>2294</v>
      </c>
      <c r="B2153">
        <v>28</v>
      </c>
      <c r="C2153" s="21" t="s">
        <v>48</v>
      </c>
      <c r="D2153" s="21" t="s">
        <v>44</v>
      </c>
      <c r="E2153">
        <v>195</v>
      </c>
      <c r="F2153">
        <v>23</v>
      </c>
      <c r="G2153" s="21" t="s">
        <v>30</v>
      </c>
      <c r="H2153" s="21" t="s">
        <v>274</v>
      </c>
      <c r="I2153" s="21" t="s">
        <v>2219</v>
      </c>
    </row>
    <row r="2154" spans="1:9" x14ac:dyDescent="0.25">
      <c r="A2154" s="21" t="s">
        <v>2295</v>
      </c>
      <c r="B2154">
        <v>68</v>
      </c>
      <c r="C2154" s="21" t="s">
        <v>184</v>
      </c>
      <c r="D2154" s="21" t="s">
        <v>35</v>
      </c>
      <c r="E2154">
        <v>310</v>
      </c>
      <c r="F2154">
        <v>25</v>
      </c>
      <c r="G2154" s="21" t="s">
        <v>30</v>
      </c>
      <c r="H2154" s="21" t="s">
        <v>87</v>
      </c>
      <c r="I2154" s="21" t="s">
        <v>2219</v>
      </c>
    </row>
    <row r="2155" spans="1:9" x14ac:dyDescent="0.25">
      <c r="A2155" s="21" t="s">
        <v>2297</v>
      </c>
      <c r="B2155">
        <v>23</v>
      </c>
      <c r="C2155" s="21" t="s">
        <v>48</v>
      </c>
      <c r="D2155" s="21" t="s">
        <v>11</v>
      </c>
      <c r="E2155">
        <v>190</v>
      </c>
      <c r="F2155">
        <v>24</v>
      </c>
      <c r="G2155" s="21" t="s">
        <v>12</v>
      </c>
      <c r="H2155" s="21" t="s">
        <v>754</v>
      </c>
      <c r="I2155" s="21" t="s">
        <v>2219</v>
      </c>
    </row>
    <row r="2156" spans="1:9" x14ac:dyDescent="0.25">
      <c r="A2156" s="21" t="s">
        <v>2296</v>
      </c>
      <c r="B2156">
        <v>80</v>
      </c>
      <c r="C2156" s="21" t="s">
        <v>57</v>
      </c>
      <c r="D2156" s="21" t="s">
        <v>35</v>
      </c>
      <c r="E2156">
        <v>260</v>
      </c>
      <c r="F2156">
        <v>26</v>
      </c>
      <c r="G2156" s="21" t="s">
        <v>45</v>
      </c>
      <c r="H2156" s="21" t="s">
        <v>138</v>
      </c>
      <c r="I2156" s="21" t="s">
        <v>2219</v>
      </c>
    </row>
    <row r="2157" spans="1:9" x14ac:dyDescent="0.25">
      <c r="A2157" s="21" t="s">
        <v>2298</v>
      </c>
      <c r="B2157">
        <v>86</v>
      </c>
      <c r="C2157" s="21" t="s">
        <v>57</v>
      </c>
      <c r="D2157" s="21" t="s">
        <v>35</v>
      </c>
      <c r="E2157">
        <v>255</v>
      </c>
      <c r="F2157">
        <v>28</v>
      </c>
      <c r="G2157" s="21" t="s">
        <v>12</v>
      </c>
      <c r="H2157" s="21" t="s">
        <v>256</v>
      </c>
      <c r="I2157" s="21" t="s">
        <v>2219</v>
      </c>
    </row>
    <row r="2158" spans="1:9" x14ac:dyDescent="0.25">
      <c r="A2158" s="21" t="s">
        <v>2299</v>
      </c>
      <c r="B2158">
        <v>7</v>
      </c>
      <c r="C2158" s="21" t="s">
        <v>15</v>
      </c>
      <c r="D2158" s="21" t="s">
        <v>11</v>
      </c>
      <c r="E2158">
        <v>230</v>
      </c>
      <c r="F2158">
        <v>28</v>
      </c>
      <c r="G2158" s="21" t="s">
        <v>21</v>
      </c>
      <c r="H2158" s="21" t="s">
        <v>274</v>
      </c>
      <c r="I2158" s="21" t="s">
        <v>2219</v>
      </c>
    </row>
    <row r="2159" spans="1:9" x14ac:dyDescent="0.25">
      <c r="A2159" s="21" t="s">
        <v>2300</v>
      </c>
      <c r="B2159">
        <v>94</v>
      </c>
      <c r="C2159" s="21" t="s">
        <v>15</v>
      </c>
      <c r="D2159" s="21" t="s">
        <v>11</v>
      </c>
      <c r="E2159">
        <v>235</v>
      </c>
      <c r="F2159">
        <v>22</v>
      </c>
      <c r="G2159" s="21" t="s">
        <v>25</v>
      </c>
      <c r="H2159" s="21" t="s">
        <v>176</v>
      </c>
      <c r="I2159" s="21" t="s">
        <v>2219</v>
      </c>
    </row>
    <row r="2160" spans="1:9" x14ac:dyDescent="0.25">
      <c r="A2160" s="21" t="s">
        <v>2301</v>
      </c>
      <c r="B2160">
        <v>82</v>
      </c>
      <c r="C2160" s="21" t="s">
        <v>57</v>
      </c>
      <c r="D2160" s="21" t="s">
        <v>35</v>
      </c>
      <c r="E2160">
        <v>250</v>
      </c>
      <c r="F2160">
        <v>22</v>
      </c>
      <c r="G2160" s="21" t="s">
        <v>30</v>
      </c>
      <c r="H2160" s="21" t="s">
        <v>31</v>
      </c>
      <c r="I2160" s="21" t="s">
        <v>2219</v>
      </c>
    </row>
    <row r="2161" spans="1:9" x14ac:dyDescent="0.25">
      <c r="A2161" s="21" t="s">
        <v>2302</v>
      </c>
      <c r="B2161">
        <v>48</v>
      </c>
      <c r="C2161" s="21" t="s">
        <v>319</v>
      </c>
      <c r="D2161" s="21" t="s">
        <v>24</v>
      </c>
      <c r="E2161">
        <v>260</v>
      </c>
      <c r="F2161">
        <v>26</v>
      </c>
      <c r="G2161" s="21" t="s">
        <v>16</v>
      </c>
      <c r="H2161" s="21" t="s">
        <v>39</v>
      </c>
      <c r="I2161" s="21" t="s">
        <v>2219</v>
      </c>
    </row>
    <row r="2162" spans="1:9" x14ac:dyDescent="0.25">
      <c r="A2162" s="21" t="s">
        <v>2303</v>
      </c>
      <c r="B2162">
        <v>11</v>
      </c>
      <c r="C2162" s="21" t="s">
        <v>70</v>
      </c>
      <c r="D2162" s="21" t="s">
        <v>54</v>
      </c>
      <c r="E2162">
        <v>210</v>
      </c>
      <c r="F2162">
        <v>27</v>
      </c>
      <c r="G2162" s="21" t="s">
        <v>12</v>
      </c>
      <c r="H2162" s="21" t="s">
        <v>256</v>
      </c>
      <c r="I2162" s="21" t="s">
        <v>2219</v>
      </c>
    </row>
    <row r="2163" spans="1:9" x14ac:dyDescent="0.25">
      <c r="A2163" s="21" t="s">
        <v>2304</v>
      </c>
      <c r="B2163">
        <v>39</v>
      </c>
      <c r="C2163" s="21" t="s">
        <v>48</v>
      </c>
      <c r="D2163" s="21" t="s">
        <v>35</v>
      </c>
      <c r="E2163">
        <v>210</v>
      </c>
      <c r="F2163">
        <v>25</v>
      </c>
      <c r="G2163" s="21" t="s">
        <v>12</v>
      </c>
      <c r="H2163" s="21" t="s">
        <v>683</v>
      </c>
      <c r="I2163" s="21" t="s">
        <v>2219</v>
      </c>
    </row>
    <row r="2164" spans="1:9" x14ac:dyDescent="0.25">
      <c r="A2164" s="21" t="s">
        <v>2305</v>
      </c>
      <c r="B2164">
        <v>57</v>
      </c>
      <c r="C2164" s="21" t="s">
        <v>15</v>
      </c>
      <c r="D2164" s="21" t="s">
        <v>52</v>
      </c>
      <c r="E2164">
        <v>245</v>
      </c>
      <c r="F2164">
        <v>29</v>
      </c>
      <c r="G2164" s="21" t="s">
        <v>21</v>
      </c>
      <c r="H2164" s="21" t="s">
        <v>168</v>
      </c>
      <c r="I2164" s="21" t="s">
        <v>2219</v>
      </c>
    </row>
    <row r="2165" spans="1:9" x14ac:dyDescent="0.25">
      <c r="A2165" s="21" t="s">
        <v>2306</v>
      </c>
      <c r="B2165">
        <v>20</v>
      </c>
      <c r="C2165" s="21" t="s">
        <v>89</v>
      </c>
      <c r="D2165" s="21" t="s">
        <v>54</v>
      </c>
      <c r="E2165">
        <v>200</v>
      </c>
      <c r="F2165">
        <v>27</v>
      </c>
      <c r="G2165" s="21" t="s">
        <v>38</v>
      </c>
      <c r="H2165" s="21" t="s">
        <v>572</v>
      </c>
      <c r="I2165" s="21" t="s">
        <v>2219</v>
      </c>
    </row>
    <row r="2166" spans="1:9" x14ac:dyDescent="0.25">
      <c r="A2166" s="21" t="s">
        <v>2307</v>
      </c>
      <c r="B2166">
        <v>83</v>
      </c>
      <c r="C2166" s="21" t="s">
        <v>10</v>
      </c>
      <c r="D2166" s="21" t="s">
        <v>52</v>
      </c>
      <c r="E2166">
        <v>195</v>
      </c>
      <c r="G2166" s="21" t="s">
        <v>25</v>
      </c>
      <c r="H2166" s="21" t="s">
        <v>439</v>
      </c>
      <c r="I2166" s="21" t="s">
        <v>2219</v>
      </c>
    </row>
    <row r="2167" spans="1:9" x14ac:dyDescent="0.25">
      <c r="A2167" s="21" t="s">
        <v>2308</v>
      </c>
      <c r="B2167">
        <v>16</v>
      </c>
      <c r="C2167" s="21" t="s">
        <v>10</v>
      </c>
      <c r="D2167" s="21" t="s">
        <v>24</v>
      </c>
      <c r="E2167">
        <v>215</v>
      </c>
      <c r="F2167">
        <v>29</v>
      </c>
      <c r="G2167" s="21" t="s">
        <v>45</v>
      </c>
      <c r="H2167" s="21" t="s">
        <v>2309</v>
      </c>
      <c r="I2167" s="21" t="s">
        <v>2219</v>
      </c>
    </row>
    <row r="2168" spans="1:9" x14ac:dyDescent="0.25">
      <c r="A2168" s="21" t="s">
        <v>1161</v>
      </c>
      <c r="B2168">
        <v>15</v>
      </c>
      <c r="C2168" s="21" t="s">
        <v>10</v>
      </c>
      <c r="D2168" s="21" t="s">
        <v>11</v>
      </c>
      <c r="E2168">
        <v>198</v>
      </c>
      <c r="F2168">
        <v>29</v>
      </c>
      <c r="G2168" s="21" t="s">
        <v>21</v>
      </c>
      <c r="H2168" s="21" t="s">
        <v>280</v>
      </c>
      <c r="I2168" s="21" t="s">
        <v>1160</v>
      </c>
    </row>
    <row r="2169" spans="1:9" x14ac:dyDescent="0.25">
      <c r="A2169" s="21" t="s">
        <v>1162</v>
      </c>
      <c r="B2169">
        <v>94</v>
      </c>
      <c r="C2169" s="21" t="s">
        <v>19</v>
      </c>
      <c r="D2169" s="21" t="s">
        <v>67</v>
      </c>
      <c r="E2169">
        <v>301</v>
      </c>
      <c r="F2169">
        <v>30</v>
      </c>
      <c r="G2169" s="21" t="s">
        <v>21</v>
      </c>
      <c r="H2169" s="21" t="s">
        <v>165</v>
      </c>
      <c r="I2169" s="21" t="s">
        <v>1160</v>
      </c>
    </row>
    <row r="2170" spans="1:9" x14ac:dyDescent="0.25">
      <c r="A2170" s="21" t="s">
        <v>1163</v>
      </c>
      <c r="B2170">
        <v>60</v>
      </c>
      <c r="C2170" s="21" t="s">
        <v>184</v>
      </c>
      <c r="D2170" s="21" t="s">
        <v>44</v>
      </c>
      <c r="E2170">
        <v>300</v>
      </c>
      <c r="F2170">
        <v>30</v>
      </c>
      <c r="G2170" s="21" t="s">
        <v>21</v>
      </c>
      <c r="H2170" s="21" t="s">
        <v>196</v>
      </c>
      <c r="I2170" s="21" t="s">
        <v>1160</v>
      </c>
    </row>
    <row r="2171" spans="1:9" x14ac:dyDescent="0.25">
      <c r="A2171" s="21" t="s">
        <v>1164</v>
      </c>
      <c r="B2171">
        <v>86</v>
      </c>
      <c r="C2171" s="21" t="s">
        <v>57</v>
      </c>
      <c r="D2171" s="21" t="s">
        <v>44</v>
      </c>
      <c r="E2171">
        <v>257</v>
      </c>
      <c r="F2171">
        <v>24</v>
      </c>
      <c r="G2171" s="21" t="s">
        <v>12</v>
      </c>
      <c r="H2171" s="21" t="s">
        <v>39</v>
      </c>
      <c r="I2171" s="21" t="s">
        <v>1160</v>
      </c>
    </row>
    <row r="2172" spans="1:9" x14ac:dyDescent="0.25">
      <c r="A2172" s="21" t="s">
        <v>1165</v>
      </c>
      <c r="B2172">
        <v>7</v>
      </c>
      <c r="C2172" s="21" t="s">
        <v>193</v>
      </c>
      <c r="D2172" s="21" t="s">
        <v>24</v>
      </c>
      <c r="E2172">
        <v>205</v>
      </c>
      <c r="F2172">
        <v>25</v>
      </c>
      <c r="G2172" s="21" t="s">
        <v>16</v>
      </c>
      <c r="H2172" s="21" t="s">
        <v>165</v>
      </c>
      <c r="I2172" s="21" t="s">
        <v>1160</v>
      </c>
    </row>
    <row r="2173" spans="1:9" x14ac:dyDescent="0.25">
      <c r="A2173" s="21" t="s">
        <v>1166</v>
      </c>
      <c r="B2173">
        <v>90</v>
      </c>
      <c r="C2173" s="21" t="s">
        <v>114</v>
      </c>
      <c r="D2173" s="21" t="s">
        <v>35</v>
      </c>
      <c r="E2173">
        <v>310</v>
      </c>
      <c r="F2173">
        <v>23</v>
      </c>
      <c r="G2173" s="21" t="s">
        <v>30</v>
      </c>
      <c r="H2173" s="21" t="s">
        <v>233</v>
      </c>
      <c r="I2173" s="21" t="s">
        <v>1160</v>
      </c>
    </row>
    <row r="2174" spans="1:9" x14ac:dyDescent="0.25">
      <c r="A2174" s="21" t="s">
        <v>1167</v>
      </c>
      <c r="B2174">
        <v>8</v>
      </c>
      <c r="C2174" s="21" t="s">
        <v>15</v>
      </c>
      <c r="D2174" s="21" t="s">
        <v>24</v>
      </c>
      <c r="E2174">
        <v>255</v>
      </c>
      <c r="F2174">
        <v>25</v>
      </c>
      <c r="G2174" s="21" t="s">
        <v>45</v>
      </c>
      <c r="H2174" s="21" t="s">
        <v>400</v>
      </c>
      <c r="I2174" s="21" t="s">
        <v>1160</v>
      </c>
    </row>
    <row r="2175" spans="1:9" x14ac:dyDescent="0.25">
      <c r="A2175" s="21" t="s">
        <v>1168</v>
      </c>
      <c r="B2175">
        <v>29</v>
      </c>
      <c r="C2175" s="21" t="s">
        <v>124</v>
      </c>
      <c r="D2175" s="21" t="s">
        <v>11</v>
      </c>
      <c r="E2175">
        <v>200</v>
      </c>
      <c r="F2175">
        <v>32</v>
      </c>
      <c r="G2175" s="21" t="s">
        <v>254</v>
      </c>
      <c r="H2175" s="21" t="s">
        <v>1169</v>
      </c>
      <c r="I2175" s="21" t="s">
        <v>1160</v>
      </c>
    </row>
    <row r="2176" spans="1:9" x14ac:dyDescent="0.25">
      <c r="A2176" s="21" t="s">
        <v>1170</v>
      </c>
      <c r="B2176">
        <v>34</v>
      </c>
      <c r="C2176" s="21" t="s">
        <v>89</v>
      </c>
      <c r="D2176" s="21" t="s">
        <v>54</v>
      </c>
      <c r="E2176">
        <v>201</v>
      </c>
      <c r="F2176">
        <v>25</v>
      </c>
      <c r="G2176" s="21" t="s">
        <v>83</v>
      </c>
      <c r="H2176" s="21" t="s">
        <v>335</v>
      </c>
      <c r="I2176" s="21" t="s">
        <v>1160</v>
      </c>
    </row>
    <row r="2177" spans="1:9" x14ac:dyDescent="0.25">
      <c r="A2177" s="21" t="s">
        <v>1171</v>
      </c>
      <c r="B2177">
        <v>84</v>
      </c>
      <c r="C2177" s="21" t="s">
        <v>10</v>
      </c>
      <c r="D2177" s="21" t="s">
        <v>52</v>
      </c>
      <c r="E2177">
        <v>190</v>
      </c>
      <c r="F2177">
        <v>26</v>
      </c>
      <c r="G2177" s="21" t="s">
        <v>38</v>
      </c>
      <c r="H2177" s="21" t="s">
        <v>60</v>
      </c>
      <c r="I2177" s="21" t="s">
        <v>1160</v>
      </c>
    </row>
    <row r="2178" spans="1:9" x14ac:dyDescent="0.25">
      <c r="A2178" s="21" t="s">
        <v>1172</v>
      </c>
      <c r="B2178">
        <v>77</v>
      </c>
      <c r="C2178" s="21" t="s">
        <v>28</v>
      </c>
      <c r="D2178" s="21" t="s">
        <v>141</v>
      </c>
      <c r="E2178">
        <v>380</v>
      </c>
      <c r="F2178">
        <v>29</v>
      </c>
      <c r="G2178" s="21" t="s">
        <v>21</v>
      </c>
      <c r="H2178" s="21" t="s">
        <v>251</v>
      </c>
      <c r="I2178" s="21" t="s">
        <v>1160</v>
      </c>
    </row>
    <row r="2179" spans="1:9" x14ac:dyDescent="0.25">
      <c r="A2179" s="21" t="s">
        <v>1173</v>
      </c>
      <c r="B2179">
        <v>27</v>
      </c>
      <c r="C2179" s="21" t="s">
        <v>124</v>
      </c>
      <c r="D2179" s="21" t="s">
        <v>135</v>
      </c>
      <c r="E2179">
        <v>185</v>
      </c>
      <c r="F2179">
        <v>24</v>
      </c>
      <c r="G2179" s="21" t="s">
        <v>12</v>
      </c>
      <c r="H2179" s="21" t="s">
        <v>274</v>
      </c>
      <c r="I2179" s="21" t="s">
        <v>1160</v>
      </c>
    </row>
    <row r="2180" spans="1:9" x14ac:dyDescent="0.25">
      <c r="A2180" s="21" t="s">
        <v>1174</v>
      </c>
      <c r="B2180">
        <v>4</v>
      </c>
      <c r="C2180" s="21" t="s">
        <v>48</v>
      </c>
      <c r="D2180" s="21" t="s">
        <v>54</v>
      </c>
      <c r="E2180">
        <v>190</v>
      </c>
      <c r="F2180">
        <v>32</v>
      </c>
      <c r="G2180" s="21" t="s">
        <v>21</v>
      </c>
      <c r="H2180" s="21" t="s">
        <v>1175</v>
      </c>
      <c r="I2180" s="21" t="s">
        <v>1160</v>
      </c>
    </row>
    <row r="2181" spans="1:9" x14ac:dyDescent="0.25">
      <c r="A2181" s="21" t="s">
        <v>1176</v>
      </c>
      <c r="B2181">
        <v>72</v>
      </c>
      <c r="C2181" s="21" t="s">
        <v>28</v>
      </c>
      <c r="D2181" s="21" t="s">
        <v>29</v>
      </c>
      <c r="E2181">
        <v>310</v>
      </c>
      <c r="F2181">
        <v>26</v>
      </c>
      <c r="G2181" s="21" t="s">
        <v>12</v>
      </c>
      <c r="H2181" s="21" t="s">
        <v>143</v>
      </c>
      <c r="I2181" s="21" t="s">
        <v>1160</v>
      </c>
    </row>
    <row r="2182" spans="1:9" x14ac:dyDescent="0.25">
      <c r="A2182" s="21" t="s">
        <v>1177</v>
      </c>
      <c r="B2182">
        <v>49</v>
      </c>
      <c r="C2182" s="21" t="s">
        <v>158</v>
      </c>
      <c r="D2182" s="21" t="s">
        <v>44</v>
      </c>
      <c r="E2182">
        <v>245</v>
      </c>
      <c r="F2182">
        <v>30</v>
      </c>
      <c r="G2182" s="21" t="s">
        <v>21</v>
      </c>
      <c r="H2182" s="21" t="s">
        <v>950</v>
      </c>
      <c r="I2182" s="21" t="s">
        <v>1160</v>
      </c>
    </row>
    <row r="2183" spans="1:9" x14ac:dyDescent="0.25">
      <c r="A2183" s="21" t="s">
        <v>1178</v>
      </c>
      <c r="B2183">
        <v>99</v>
      </c>
      <c r="C2183" s="21" t="s">
        <v>19</v>
      </c>
      <c r="D2183" s="21" t="s">
        <v>44</v>
      </c>
      <c r="E2183">
        <v>300</v>
      </c>
      <c r="F2183">
        <v>26</v>
      </c>
      <c r="G2183" s="21" t="s">
        <v>16</v>
      </c>
      <c r="H2183" s="21" t="s">
        <v>481</v>
      </c>
      <c r="I2183" s="21" t="s">
        <v>1160</v>
      </c>
    </row>
    <row r="2184" spans="1:9" x14ac:dyDescent="0.25">
      <c r="A2184" s="21" t="s">
        <v>1179</v>
      </c>
      <c r="B2184">
        <v>98</v>
      </c>
      <c r="C2184" s="21" t="s">
        <v>19</v>
      </c>
      <c r="D2184" s="21" t="s">
        <v>29</v>
      </c>
      <c r="E2184">
        <v>320</v>
      </c>
      <c r="F2184">
        <v>30</v>
      </c>
      <c r="G2184" s="21" t="s">
        <v>21</v>
      </c>
      <c r="H2184" s="21" t="s">
        <v>117</v>
      </c>
      <c r="I2184" s="21" t="s">
        <v>1160</v>
      </c>
    </row>
    <row r="2185" spans="1:9" x14ac:dyDescent="0.25">
      <c r="A2185" s="21" t="s">
        <v>1180</v>
      </c>
      <c r="B2185">
        <v>22</v>
      </c>
      <c r="C2185" s="21" t="s">
        <v>124</v>
      </c>
      <c r="D2185" s="21" t="s">
        <v>24</v>
      </c>
      <c r="E2185">
        <v>203</v>
      </c>
      <c r="F2185">
        <v>33</v>
      </c>
      <c r="G2185" s="21" t="s">
        <v>111</v>
      </c>
      <c r="H2185" s="21" t="s">
        <v>101</v>
      </c>
      <c r="I2185" s="21" t="s">
        <v>1160</v>
      </c>
    </row>
    <row r="2186" spans="1:9" x14ac:dyDescent="0.25">
      <c r="A2186" s="21" t="s">
        <v>1181</v>
      </c>
      <c r="B2186">
        <v>61</v>
      </c>
      <c r="C2186" s="21" t="s">
        <v>28</v>
      </c>
      <c r="D2186" s="21" t="s">
        <v>24</v>
      </c>
      <c r="E2186">
        <v>313</v>
      </c>
      <c r="F2186">
        <v>25</v>
      </c>
      <c r="G2186" s="21" t="s">
        <v>83</v>
      </c>
      <c r="H2186" s="21" t="s">
        <v>1182</v>
      </c>
      <c r="I2186" s="21" t="s">
        <v>1160</v>
      </c>
    </row>
    <row r="2187" spans="1:9" x14ac:dyDescent="0.25">
      <c r="A2187" s="21" t="s">
        <v>1183</v>
      </c>
      <c r="B2187">
        <v>23</v>
      </c>
      <c r="C2187" s="21" t="s">
        <v>124</v>
      </c>
      <c r="D2187" s="21" t="s">
        <v>24</v>
      </c>
      <c r="E2187">
        <v>220</v>
      </c>
      <c r="F2187">
        <v>26</v>
      </c>
      <c r="G2187" s="21" t="s">
        <v>12</v>
      </c>
      <c r="H2187" s="21" t="s">
        <v>1184</v>
      </c>
      <c r="I2187" s="21" t="s">
        <v>1160</v>
      </c>
    </row>
    <row r="2188" spans="1:9" x14ac:dyDescent="0.25">
      <c r="A2188" s="21" t="s">
        <v>1185</v>
      </c>
      <c r="B2188">
        <v>70</v>
      </c>
      <c r="C2188" s="21" t="s">
        <v>277</v>
      </c>
      <c r="D2188" s="21" t="s">
        <v>20</v>
      </c>
      <c r="E2188">
        <v>330</v>
      </c>
      <c r="F2188">
        <v>24</v>
      </c>
      <c r="G2188" s="21" t="s">
        <v>12</v>
      </c>
      <c r="H2188" s="21" t="s">
        <v>335</v>
      </c>
      <c r="I2188" s="21" t="s">
        <v>1160</v>
      </c>
    </row>
    <row r="2189" spans="1:9" x14ac:dyDescent="0.25">
      <c r="A2189" s="21" t="s">
        <v>1186</v>
      </c>
      <c r="B2189">
        <v>95</v>
      </c>
      <c r="C2189" s="21" t="s">
        <v>114</v>
      </c>
      <c r="D2189" s="21" t="s">
        <v>44</v>
      </c>
      <c r="E2189">
        <v>305</v>
      </c>
      <c r="F2189">
        <v>28</v>
      </c>
      <c r="G2189" s="21" t="s">
        <v>16</v>
      </c>
      <c r="H2189" s="21" t="s">
        <v>370</v>
      </c>
      <c r="I2189" s="21" t="s">
        <v>1160</v>
      </c>
    </row>
    <row r="2190" spans="1:9" x14ac:dyDescent="0.25">
      <c r="A2190" s="21" t="s">
        <v>1187</v>
      </c>
      <c r="B2190">
        <v>65</v>
      </c>
      <c r="C2190" s="21" t="s">
        <v>28</v>
      </c>
      <c r="D2190" s="21" t="s">
        <v>24</v>
      </c>
      <c r="E2190">
        <v>300</v>
      </c>
      <c r="F2190">
        <v>33</v>
      </c>
      <c r="G2190" s="21" t="s">
        <v>38</v>
      </c>
      <c r="H2190" s="21" t="s">
        <v>117</v>
      </c>
      <c r="I2190" s="21" t="s">
        <v>1160</v>
      </c>
    </row>
    <row r="2191" spans="1:9" x14ac:dyDescent="0.25">
      <c r="A2191" s="21" t="s">
        <v>1188</v>
      </c>
      <c r="B2191">
        <v>6</v>
      </c>
      <c r="C2191" s="21" t="s">
        <v>76</v>
      </c>
      <c r="D2191" s="21" t="s">
        <v>52</v>
      </c>
      <c r="E2191">
        <v>222</v>
      </c>
      <c r="F2191">
        <v>37</v>
      </c>
      <c r="G2191" s="21" t="s">
        <v>712</v>
      </c>
      <c r="H2191" s="21" t="s">
        <v>62</v>
      </c>
      <c r="I2191" s="21" t="s">
        <v>1160</v>
      </c>
    </row>
    <row r="2192" spans="1:9" x14ac:dyDescent="0.25">
      <c r="A2192" s="21" t="s">
        <v>1189</v>
      </c>
      <c r="B2192">
        <v>92</v>
      </c>
      <c r="C2192" s="21" t="s">
        <v>114</v>
      </c>
      <c r="D2192" s="21" t="s">
        <v>44</v>
      </c>
      <c r="E2192">
        <v>311</v>
      </c>
      <c r="F2192">
        <v>27</v>
      </c>
      <c r="G2192" s="21" t="s">
        <v>38</v>
      </c>
      <c r="H2192" s="21" t="s">
        <v>267</v>
      </c>
      <c r="I2192" s="21" t="s">
        <v>1160</v>
      </c>
    </row>
    <row r="2193" spans="1:9" x14ac:dyDescent="0.25">
      <c r="A2193" s="21" t="s">
        <v>1190</v>
      </c>
      <c r="B2193">
        <v>93</v>
      </c>
      <c r="C2193" s="21" t="s">
        <v>19</v>
      </c>
      <c r="D2193" s="21" t="s">
        <v>35</v>
      </c>
      <c r="E2193">
        <v>315</v>
      </c>
      <c r="F2193">
        <v>32</v>
      </c>
      <c r="G2193" s="21" t="s">
        <v>186</v>
      </c>
      <c r="H2193" s="21" t="s">
        <v>13</v>
      </c>
      <c r="I2193" s="21" t="s">
        <v>1160</v>
      </c>
    </row>
    <row r="2194" spans="1:9" x14ac:dyDescent="0.25">
      <c r="A2194" s="21" t="s">
        <v>1191</v>
      </c>
      <c r="B2194">
        <v>74</v>
      </c>
      <c r="C2194" s="21" t="s">
        <v>277</v>
      </c>
      <c r="D2194" s="21" t="s">
        <v>29</v>
      </c>
      <c r="E2194">
        <v>315</v>
      </c>
      <c r="F2194">
        <v>26</v>
      </c>
      <c r="G2194" s="21" t="s">
        <v>30</v>
      </c>
      <c r="H2194" s="21" t="s">
        <v>272</v>
      </c>
      <c r="I2194" s="21" t="s">
        <v>1160</v>
      </c>
    </row>
    <row r="2195" spans="1:9" x14ac:dyDescent="0.25">
      <c r="A2195" s="21" t="s">
        <v>1192</v>
      </c>
      <c r="B2195">
        <v>37</v>
      </c>
      <c r="C2195" s="21" t="s">
        <v>51</v>
      </c>
      <c r="D2195" s="21" t="s">
        <v>54</v>
      </c>
      <c r="E2195">
        <v>213</v>
      </c>
      <c r="F2195">
        <v>25</v>
      </c>
      <c r="G2195" s="21" t="s">
        <v>16</v>
      </c>
      <c r="H2195" s="21" t="s">
        <v>233</v>
      </c>
      <c r="I2195" s="21" t="s">
        <v>1160</v>
      </c>
    </row>
    <row r="2196" spans="1:9" x14ac:dyDescent="0.25">
      <c r="A2196" s="21" t="s">
        <v>1193</v>
      </c>
      <c r="B2196">
        <v>58</v>
      </c>
      <c r="C2196" s="21" t="s">
        <v>51</v>
      </c>
      <c r="D2196" s="21" t="s">
        <v>125</v>
      </c>
      <c r="E2196">
        <v>225</v>
      </c>
      <c r="F2196">
        <v>21</v>
      </c>
      <c r="G2196" s="21" t="s">
        <v>25</v>
      </c>
      <c r="H2196" s="21" t="s">
        <v>115</v>
      </c>
      <c r="I2196" s="21" t="s">
        <v>1160</v>
      </c>
    </row>
    <row r="2197" spans="1:9" x14ac:dyDescent="0.25">
      <c r="A2197" s="21" t="s">
        <v>1195</v>
      </c>
      <c r="B2197">
        <v>85</v>
      </c>
      <c r="C2197" s="21" t="s">
        <v>57</v>
      </c>
      <c r="D2197" s="21" t="s">
        <v>29</v>
      </c>
      <c r="E2197">
        <v>250</v>
      </c>
      <c r="F2197">
        <v>27</v>
      </c>
      <c r="G2197" s="21" t="s">
        <v>100</v>
      </c>
      <c r="H2197" s="21" t="s">
        <v>80</v>
      </c>
      <c r="I2197" s="21" t="s">
        <v>1160</v>
      </c>
    </row>
    <row r="2198" spans="1:9" x14ac:dyDescent="0.25">
      <c r="A2198" s="21" t="s">
        <v>1196</v>
      </c>
      <c r="B2198">
        <v>75</v>
      </c>
      <c r="C2198" s="21" t="s">
        <v>28</v>
      </c>
      <c r="D2198" s="21" t="s">
        <v>29</v>
      </c>
      <c r="E2198">
        <v>305</v>
      </c>
      <c r="F2198">
        <v>26</v>
      </c>
      <c r="G2198" s="21" t="s">
        <v>12</v>
      </c>
      <c r="H2198" s="21" t="s">
        <v>282</v>
      </c>
      <c r="I2198" s="21" t="s">
        <v>1160</v>
      </c>
    </row>
    <row r="2199" spans="1:9" x14ac:dyDescent="0.25">
      <c r="A2199" s="21" t="s">
        <v>1197</v>
      </c>
      <c r="B2199">
        <v>63</v>
      </c>
      <c r="C2199" s="21" t="s">
        <v>28</v>
      </c>
      <c r="D2199" s="21" t="s">
        <v>44</v>
      </c>
      <c r="E2199">
        <v>330</v>
      </c>
      <c r="F2199">
        <v>22</v>
      </c>
      <c r="G2199" s="21" t="s">
        <v>25</v>
      </c>
      <c r="H2199" s="21" t="s">
        <v>267</v>
      </c>
      <c r="I2199" s="21" t="s">
        <v>1160</v>
      </c>
    </row>
    <row r="2200" spans="1:9" x14ac:dyDescent="0.25">
      <c r="A2200" s="21" t="s">
        <v>1198</v>
      </c>
      <c r="B2200">
        <v>5</v>
      </c>
      <c r="C2200" s="21" t="s">
        <v>70</v>
      </c>
      <c r="D2200" s="21" t="s">
        <v>24</v>
      </c>
      <c r="E2200">
        <v>216</v>
      </c>
      <c r="F2200">
        <v>36</v>
      </c>
      <c r="G2200" s="21" t="s">
        <v>1199</v>
      </c>
      <c r="H2200" s="21" t="s">
        <v>55</v>
      </c>
      <c r="I2200" s="21" t="s">
        <v>1160</v>
      </c>
    </row>
    <row r="2201" spans="1:9" x14ac:dyDescent="0.25">
      <c r="A2201" s="21" t="s">
        <v>1200</v>
      </c>
      <c r="B2201">
        <v>83</v>
      </c>
      <c r="C2201" s="21" t="s">
        <v>10</v>
      </c>
      <c r="D2201" s="21" t="s">
        <v>35</v>
      </c>
      <c r="E2201">
        <v>225</v>
      </c>
      <c r="F2201">
        <v>24</v>
      </c>
      <c r="G2201" s="21" t="s">
        <v>12</v>
      </c>
      <c r="H2201" s="21" t="s">
        <v>109</v>
      </c>
      <c r="I2201" s="21" t="s">
        <v>1160</v>
      </c>
    </row>
    <row r="2202" spans="1:9" x14ac:dyDescent="0.25">
      <c r="A2202" s="21" t="s">
        <v>1201</v>
      </c>
      <c r="B2202">
        <v>58</v>
      </c>
      <c r="C2202" s="21" t="s">
        <v>15</v>
      </c>
      <c r="D2202" s="21" t="s">
        <v>44</v>
      </c>
      <c r="E2202">
        <v>259</v>
      </c>
      <c r="F2202">
        <v>24</v>
      </c>
      <c r="G2202" s="21" t="s">
        <v>12</v>
      </c>
      <c r="H2202" s="21" t="s">
        <v>233</v>
      </c>
      <c r="I2202" s="21" t="s">
        <v>1160</v>
      </c>
    </row>
    <row r="2203" spans="1:9" x14ac:dyDescent="0.25">
      <c r="A2203" s="21" t="s">
        <v>1202</v>
      </c>
      <c r="B2203">
        <v>53</v>
      </c>
      <c r="C2203" s="21" t="s">
        <v>124</v>
      </c>
      <c r="D2203" s="21" t="s">
        <v>54</v>
      </c>
      <c r="E2203">
        <v>175</v>
      </c>
      <c r="F2203">
        <v>24</v>
      </c>
      <c r="G2203" s="21" t="s">
        <v>25</v>
      </c>
      <c r="H2203" s="21" t="s">
        <v>13</v>
      </c>
      <c r="I2203" s="21" t="s">
        <v>1160</v>
      </c>
    </row>
    <row r="2204" spans="1:9" x14ac:dyDescent="0.25">
      <c r="A2204" s="21" t="s">
        <v>1203</v>
      </c>
      <c r="B2204">
        <v>31</v>
      </c>
      <c r="C2204" s="21" t="s">
        <v>124</v>
      </c>
      <c r="D2204" s="21" t="s">
        <v>125</v>
      </c>
      <c r="E2204">
        <v>190</v>
      </c>
      <c r="F2204">
        <v>28</v>
      </c>
      <c r="G2204" s="21" t="s">
        <v>100</v>
      </c>
      <c r="H2204" s="21" t="s">
        <v>65</v>
      </c>
      <c r="I2204" s="21" t="s">
        <v>1160</v>
      </c>
    </row>
    <row r="2205" spans="1:9" x14ac:dyDescent="0.25">
      <c r="A2205" s="21" t="s">
        <v>1204</v>
      </c>
      <c r="B2205">
        <v>52</v>
      </c>
      <c r="C2205" s="21" t="s">
        <v>124</v>
      </c>
      <c r="D2205" s="21" t="s">
        <v>86</v>
      </c>
      <c r="E2205">
        <v>175</v>
      </c>
      <c r="F2205">
        <v>23</v>
      </c>
      <c r="G2205" s="21" t="s">
        <v>25</v>
      </c>
      <c r="H2205" s="21" t="s">
        <v>320</v>
      </c>
      <c r="I2205" s="21" t="s">
        <v>1160</v>
      </c>
    </row>
    <row r="2206" spans="1:9" x14ac:dyDescent="0.25">
      <c r="A2206" s="21" t="s">
        <v>1205</v>
      </c>
      <c r="B2206">
        <v>10</v>
      </c>
      <c r="C2206" s="21" t="s">
        <v>70</v>
      </c>
      <c r="D2206" s="21" t="s">
        <v>44</v>
      </c>
      <c r="E2206">
        <v>217</v>
      </c>
      <c r="F2206">
        <v>23</v>
      </c>
      <c r="G2206" s="21" t="s">
        <v>30</v>
      </c>
      <c r="H2206" s="21" t="s">
        <v>233</v>
      </c>
      <c r="I2206" s="21" t="s">
        <v>1160</v>
      </c>
    </row>
    <row r="2207" spans="1:9" x14ac:dyDescent="0.25">
      <c r="A2207" s="21" t="s">
        <v>1206</v>
      </c>
      <c r="B2207">
        <v>9</v>
      </c>
      <c r="C2207" s="21" t="s">
        <v>15</v>
      </c>
      <c r="D2207" s="21" t="s">
        <v>44</v>
      </c>
      <c r="E2207">
        <v>261</v>
      </c>
      <c r="F2207">
        <v>29</v>
      </c>
      <c r="G2207" s="21" t="s">
        <v>100</v>
      </c>
      <c r="H2207" s="21" t="s">
        <v>1207</v>
      </c>
      <c r="I2207" s="21" t="s">
        <v>1160</v>
      </c>
    </row>
    <row r="2208" spans="1:9" x14ac:dyDescent="0.25">
      <c r="A2208" s="21" t="s">
        <v>1208</v>
      </c>
      <c r="B2208">
        <v>62</v>
      </c>
      <c r="C2208" s="21" t="s">
        <v>193</v>
      </c>
      <c r="D2208" s="21" t="s">
        <v>52</v>
      </c>
      <c r="E2208">
        <v>225</v>
      </c>
      <c r="F2208">
        <v>23</v>
      </c>
      <c r="G2208" s="21" t="s">
        <v>25</v>
      </c>
      <c r="H2208" s="21" t="s">
        <v>582</v>
      </c>
      <c r="I2208" s="21" t="s">
        <v>1160</v>
      </c>
    </row>
    <row r="2209" spans="1:9" x14ac:dyDescent="0.25">
      <c r="A2209" s="21" t="s">
        <v>1209</v>
      </c>
      <c r="B2209">
        <v>44</v>
      </c>
      <c r="C2209" s="21" t="s">
        <v>57</v>
      </c>
      <c r="D2209" s="21" t="s">
        <v>35</v>
      </c>
      <c r="E2209">
        <v>251</v>
      </c>
      <c r="F2209">
        <v>23</v>
      </c>
      <c r="G2209" s="21" t="s">
        <v>12</v>
      </c>
      <c r="H2209" s="21" t="s">
        <v>357</v>
      </c>
      <c r="I2209" s="21" t="s">
        <v>1160</v>
      </c>
    </row>
    <row r="2210" spans="1:9" x14ac:dyDescent="0.25">
      <c r="A2210" s="21" t="s">
        <v>1210</v>
      </c>
      <c r="B2210">
        <v>52</v>
      </c>
      <c r="C2210" s="21" t="s">
        <v>15</v>
      </c>
      <c r="D2210" s="21" t="s">
        <v>24</v>
      </c>
      <c r="E2210">
        <v>250</v>
      </c>
      <c r="F2210">
        <v>29</v>
      </c>
      <c r="G2210" s="21" t="s">
        <v>45</v>
      </c>
      <c r="H2210" s="21" t="s">
        <v>204</v>
      </c>
      <c r="I2210" s="21" t="s">
        <v>1160</v>
      </c>
    </row>
    <row r="2211" spans="1:9" x14ac:dyDescent="0.25">
      <c r="A2211" s="21" t="s">
        <v>1211</v>
      </c>
      <c r="B2211">
        <v>32</v>
      </c>
      <c r="C2211" s="21" t="s">
        <v>124</v>
      </c>
      <c r="D2211" s="21" t="s">
        <v>125</v>
      </c>
      <c r="E2211">
        <v>195</v>
      </c>
      <c r="F2211">
        <v>34</v>
      </c>
      <c r="G2211" s="21" t="s">
        <v>407</v>
      </c>
      <c r="H2211" s="21" t="s">
        <v>120</v>
      </c>
      <c r="I2211" s="21" t="s">
        <v>1160</v>
      </c>
    </row>
    <row r="2212" spans="1:9" x14ac:dyDescent="0.25">
      <c r="A2212" s="21" t="s">
        <v>1212</v>
      </c>
      <c r="B2212">
        <v>45</v>
      </c>
      <c r="C2212" s="21" t="s">
        <v>15</v>
      </c>
      <c r="D2212" s="21" t="s">
        <v>52</v>
      </c>
      <c r="E2212">
        <v>236</v>
      </c>
      <c r="F2212">
        <v>22</v>
      </c>
      <c r="G2212" s="21" t="s">
        <v>83</v>
      </c>
      <c r="H2212" s="21" t="s">
        <v>98</v>
      </c>
      <c r="I2212" s="21" t="s">
        <v>1160</v>
      </c>
    </row>
    <row r="2213" spans="1:9" x14ac:dyDescent="0.25">
      <c r="A2213" s="21" t="s">
        <v>1213</v>
      </c>
      <c r="B2213">
        <v>46</v>
      </c>
      <c r="C2213" s="21" t="s">
        <v>15</v>
      </c>
      <c r="D2213" s="21" t="s">
        <v>24</v>
      </c>
      <c r="E2213">
        <v>242</v>
      </c>
      <c r="F2213">
        <v>26</v>
      </c>
      <c r="G2213" s="21" t="s">
        <v>45</v>
      </c>
      <c r="H2213" s="21" t="s">
        <v>36</v>
      </c>
      <c r="I2213" s="21" t="s">
        <v>1160</v>
      </c>
    </row>
    <row r="2214" spans="1:9" x14ac:dyDescent="0.25">
      <c r="A2214" s="21" t="s">
        <v>1214</v>
      </c>
      <c r="B2214">
        <v>16</v>
      </c>
      <c r="C2214" s="21" t="s">
        <v>10</v>
      </c>
      <c r="D2214" s="21" t="s">
        <v>24</v>
      </c>
      <c r="E2214">
        <v>200</v>
      </c>
      <c r="F2214">
        <v>25</v>
      </c>
      <c r="G2214" s="21" t="s">
        <v>16</v>
      </c>
      <c r="H2214" s="21" t="s">
        <v>106</v>
      </c>
      <c r="I2214" s="21" t="s">
        <v>1160</v>
      </c>
    </row>
    <row r="2215" spans="1:9" x14ac:dyDescent="0.25">
      <c r="A2215" s="21" t="s">
        <v>1215</v>
      </c>
      <c r="B2215">
        <v>2</v>
      </c>
      <c r="C2215" s="21" t="s">
        <v>48</v>
      </c>
      <c r="D2215" s="21" t="s">
        <v>11</v>
      </c>
      <c r="E2215">
        <v>191</v>
      </c>
      <c r="F2215">
        <v>28</v>
      </c>
      <c r="G2215" s="21" t="s">
        <v>100</v>
      </c>
      <c r="H2215" s="21" t="s">
        <v>267</v>
      </c>
      <c r="I2215" s="21" t="s">
        <v>1160</v>
      </c>
    </row>
    <row r="2216" spans="1:9" x14ac:dyDescent="0.25">
      <c r="A2216" s="21" t="s">
        <v>1216</v>
      </c>
      <c r="B2216">
        <v>64</v>
      </c>
      <c r="C2216" s="21" t="s">
        <v>19</v>
      </c>
      <c r="D2216" s="21" t="s">
        <v>44</v>
      </c>
      <c r="E2216">
        <v>260</v>
      </c>
      <c r="F2216">
        <v>23</v>
      </c>
      <c r="G2216" s="21" t="s">
        <v>25</v>
      </c>
      <c r="H2216" s="21" t="s">
        <v>400</v>
      </c>
      <c r="I2216" s="21" t="s">
        <v>1160</v>
      </c>
    </row>
    <row r="2217" spans="1:9" x14ac:dyDescent="0.25">
      <c r="A2217" s="21" t="s">
        <v>1217</v>
      </c>
      <c r="B2217">
        <v>39</v>
      </c>
      <c r="C2217" s="21" t="s">
        <v>48</v>
      </c>
      <c r="D2217" s="21" t="s">
        <v>11</v>
      </c>
      <c r="E2217">
        <v>190</v>
      </c>
      <c r="F2217">
        <v>30</v>
      </c>
      <c r="G2217" s="21" t="s">
        <v>64</v>
      </c>
      <c r="H2217" s="21" t="s">
        <v>22</v>
      </c>
      <c r="I2217" s="21" t="s">
        <v>1160</v>
      </c>
    </row>
    <row r="2218" spans="1:9" x14ac:dyDescent="0.25">
      <c r="A2218" s="21" t="s">
        <v>1218</v>
      </c>
      <c r="B2218">
        <v>14</v>
      </c>
      <c r="C2218" s="21" t="s">
        <v>10</v>
      </c>
      <c r="D2218" s="21" t="s">
        <v>11</v>
      </c>
      <c r="E2218">
        <v>216</v>
      </c>
      <c r="F2218">
        <v>29</v>
      </c>
      <c r="G2218" s="21" t="s">
        <v>21</v>
      </c>
      <c r="H2218" s="21" t="s">
        <v>165</v>
      </c>
      <c r="I2218" s="21" t="s">
        <v>1160</v>
      </c>
    </row>
    <row r="2219" spans="1:9" x14ac:dyDescent="0.25">
      <c r="A2219" s="21" t="s">
        <v>1219</v>
      </c>
      <c r="B2219">
        <v>97</v>
      </c>
      <c r="C2219" s="21" t="s">
        <v>19</v>
      </c>
      <c r="D2219" s="21" t="s">
        <v>35</v>
      </c>
      <c r="E2219">
        <v>265</v>
      </c>
      <c r="F2219">
        <v>25</v>
      </c>
      <c r="G2219" s="21" t="s">
        <v>83</v>
      </c>
      <c r="H2219" s="21" t="s">
        <v>1220</v>
      </c>
      <c r="I2219" s="21" t="s">
        <v>1160</v>
      </c>
    </row>
    <row r="2220" spans="1:9" x14ac:dyDescent="0.25">
      <c r="A2220" s="21" t="s">
        <v>1221</v>
      </c>
      <c r="B2220">
        <v>82</v>
      </c>
      <c r="C2220" s="21" t="s">
        <v>10</v>
      </c>
      <c r="D2220" s="21" t="s">
        <v>24</v>
      </c>
      <c r="E2220">
        <v>180</v>
      </c>
      <c r="F2220">
        <v>24</v>
      </c>
      <c r="G2220" s="21" t="s">
        <v>83</v>
      </c>
      <c r="H2220" s="21" t="s">
        <v>3252</v>
      </c>
      <c r="I2220" s="21" t="s">
        <v>1160</v>
      </c>
    </row>
    <row r="2221" spans="1:9" x14ac:dyDescent="0.25">
      <c r="A2221" s="21" t="s">
        <v>1222</v>
      </c>
      <c r="B2221">
        <v>71</v>
      </c>
      <c r="C2221" s="21" t="s">
        <v>28</v>
      </c>
      <c r="D2221" s="21" t="s">
        <v>44</v>
      </c>
      <c r="E2221">
        <v>350</v>
      </c>
      <c r="F2221">
        <v>24</v>
      </c>
      <c r="G2221" s="21" t="s">
        <v>12</v>
      </c>
      <c r="H2221" s="21" t="s">
        <v>98</v>
      </c>
      <c r="I2221" s="21" t="s">
        <v>1160</v>
      </c>
    </row>
    <row r="2222" spans="1:9" x14ac:dyDescent="0.25">
      <c r="A2222" s="21" t="s">
        <v>1223</v>
      </c>
      <c r="B2222">
        <v>1</v>
      </c>
      <c r="C2222" s="21" t="s">
        <v>10</v>
      </c>
      <c r="D2222" s="21" t="s">
        <v>44</v>
      </c>
      <c r="E2222">
        <v>218</v>
      </c>
      <c r="F2222">
        <v>29</v>
      </c>
      <c r="G2222" s="21" t="s">
        <v>21</v>
      </c>
      <c r="H2222" s="21" t="s">
        <v>231</v>
      </c>
      <c r="I2222" s="21" t="s">
        <v>1160</v>
      </c>
    </row>
    <row r="2223" spans="1:9" x14ac:dyDescent="0.25">
      <c r="A2223" s="21" t="s">
        <v>1224</v>
      </c>
      <c r="B2223">
        <v>3</v>
      </c>
      <c r="C2223" s="21" t="s">
        <v>124</v>
      </c>
      <c r="D2223" s="21" t="s">
        <v>54</v>
      </c>
      <c r="E2223">
        <v>213</v>
      </c>
      <c r="F2223">
        <v>26</v>
      </c>
      <c r="G2223" s="21" t="s">
        <v>38</v>
      </c>
      <c r="H2223" s="21" t="s">
        <v>98</v>
      </c>
      <c r="I2223" s="21" t="s">
        <v>1160</v>
      </c>
    </row>
    <row r="2224" spans="1:9" x14ac:dyDescent="0.25">
      <c r="A2224" s="21" t="s">
        <v>1225</v>
      </c>
      <c r="B2224">
        <v>51</v>
      </c>
      <c r="C2224" s="21" t="s">
        <v>15</v>
      </c>
      <c r="D2224" s="21" t="s">
        <v>44</v>
      </c>
      <c r="E2224">
        <v>247</v>
      </c>
      <c r="F2224">
        <v>22</v>
      </c>
      <c r="G2224" s="21" t="s">
        <v>30</v>
      </c>
      <c r="H2224" s="21" t="s">
        <v>187</v>
      </c>
      <c r="I2224" s="21" t="s">
        <v>1160</v>
      </c>
    </row>
    <row r="2225" spans="1:9" x14ac:dyDescent="0.25">
      <c r="A2225" s="21" t="s">
        <v>1226</v>
      </c>
      <c r="B2225">
        <v>19</v>
      </c>
      <c r="C2225" s="21" t="s">
        <v>10</v>
      </c>
      <c r="D2225" s="21" t="s">
        <v>125</v>
      </c>
      <c r="E2225">
        <v>175</v>
      </c>
      <c r="F2225">
        <v>25</v>
      </c>
      <c r="G2225" s="21" t="s">
        <v>12</v>
      </c>
      <c r="H2225" s="21" t="s">
        <v>950</v>
      </c>
      <c r="I2225" s="21" t="s">
        <v>1160</v>
      </c>
    </row>
    <row r="2226" spans="1:9" x14ac:dyDescent="0.25">
      <c r="A2226" s="21" t="s">
        <v>4806</v>
      </c>
      <c r="B2226">
        <v>72</v>
      </c>
      <c r="C2226" s="21" t="s">
        <v>19</v>
      </c>
      <c r="D2226" s="21" t="s">
        <v>44</v>
      </c>
      <c r="E2226">
        <v>245</v>
      </c>
      <c r="G2226" s="21" t="s">
        <v>83</v>
      </c>
      <c r="H2226" s="21" t="s">
        <v>4807</v>
      </c>
      <c r="I2226" s="21" t="s">
        <v>1160</v>
      </c>
    </row>
    <row r="2227" spans="1:9" x14ac:dyDescent="0.25">
      <c r="A2227" s="21" t="s">
        <v>1227</v>
      </c>
      <c r="B2227">
        <v>21</v>
      </c>
      <c r="C2227" s="21" t="s">
        <v>124</v>
      </c>
      <c r="D2227" s="21" t="s">
        <v>54</v>
      </c>
      <c r="E2227">
        <v>210</v>
      </c>
      <c r="F2227">
        <v>30</v>
      </c>
      <c r="G2227" s="21" t="s">
        <v>21</v>
      </c>
      <c r="H2227" s="21" t="s">
        <v>109</v>
      </c>
      <c r="I2227" s="21" t="s">
        <v>1160</v>
      </c>
    </row>
    <row r="2228" spans="1:9" x14ac:dyDescent="0.25">
      <c r="A2228" s="21" t="s">
        <v>1228</v>
      </c>
      <c r="B2228">
        <v>65</v>
      </c>
      <c r="C2228" s="21" t="s">
        <v>19</v>
      </c>
      <c r="D2228" s="21" t="s">
        <v>35</v>
      </c>
      <c r="E2228">
        <v>290</v>
      </c>
      <c r="F2228">
        <v>24</v>
      </c>
      <c r="G2228" s="21" t="s">
        <v>25</v>
      </c>
      <c r="H2228" s="21" t="s">
        <v>233</v>
      </c>
      <c r="I2228" s="21" t="s">
        <v>1160</v>
      </c>
    </row>
    <row r="2229" spans="1:9" x14ac:dyDescent="0.25">
      <c r="A2229" s="21" t="s">
        <v>1229</v>
      </c>
      <c r="B2229">
        <v>59</v>
      </c>
      <c r="C2229" s="21" t="s">
        <v>114</v>
      </c>
      <c r="D2229" s="21" t="s">
        <v>29</v>
      </c>
      <c r="E2229">
        <v>295</v>
      </c>
      <c r="F2229">
        <v>24</v>
      </c>
      <c r="G2229" s="21" t="s">
        <v>25</v>
      </c>
      <c r="H2229" s="21" t="s">
        <v>1767</v>
      </c>
      <c r="I2229" s="21" t="s">
        <v>1160</v>
      </c>
    </row>
    <row r="2230" spans="1:9" x14ac:dyDescent="0.25">
      <c r="A2230" s="21" t="s">
        <v>1230</v>
      </c>
      <c r="B2230">
        <v>66</v>
      </c>
      <c r="C2230" s="21" t="s">
        <v>28</v>
      </c>
      <c r="D2230" s="21" t="s">
        <v>24</v>
      </c>
      <c r="E2230">
        <v>300</v>
      </c>
      <c r="F2230">
        <v>24</v>
      </c>
      <c r="G2230" s="21" t="s">
        <v>25</v>
      </c>
      <c r="H2230" s="21" t="s">
        <v>320</v>
      </c>
      <c r="I2230" s="21" t="s">
        <v>1160</v>
      </c>
    </row>
    <row r="2231" spans="1:9" x14ac:dyDescent="0.25">
      <c r="A2231" s="21" t="s">
        <v>1231</v>
      </c>
      <c r="B2231">
        <v>67</v>
      </c>
      <c r="C2231" s="21" t="s">
        <v>124</v>
      </c>
      <c r="D2231" s="21" t="s">
        <v>52</v>
      </c>
      <c r="E2231">
        <v>205</v>
      </c>
      <c r="F2231">
        <v>25</v>
      </c>
      <c r="G2231" s="21" t="s">
        <v>25</v>
      </c>
      <c r="H2231" s="21" t="s">
        <v>109</v>
      </c>
      <c r="I2231" s="21" t="s">
        <v>1160</v>
      </c>
    </row>
    <row r="2232" spans="1:9" x14ac:dyDescent="0.25">
      <c r="A2232" s="21" t="s">
        <v>1232</v>
      </c>
      <c r="B2232">
        <v>68</v>
      </c>
      <c r="C2232" s="21" t="s">
        <v>140</v>
      </c>
      <c r="D2232" s="21" t="s">
        <v>35</v>
      </c>
      <c r="E2232">
        <v>300</v>
      </c>
      <c r="F2232">
        <v>23</v>
      </c>
      <c r="G2232" s="21" t="s">
        <v>83</v>
      </c>
      <c r="H2232" s="21" t="s">
        <v>272</v>
      </c>
      <c r="I2232" s="21" t="s">
        <v>1160</v>
      </c>
    </row>
    <row r="2233" spans="1:9" x14ac:dyDescent="0.25">
      <c r="A2233" s="21" t="s">
        <v>1233</v>
      </c>
      <c r="B2233">
        <v>18</v>
      </c>
      <c r="C2233" s="21" t="s">
        <v>10</v>
      </c>
      <c r="D2233" s="21" t="s">
        <v>11</v>
      </c>
      <c r="E2233">
        <v>205</v>
      </c>
      <c r="F2233">
        <v>36</v>
      </c>
      <c r="G2233" s="21" t="s">
        <v>712</v>
      </c>
      <c r="H2233" s="21" t="s">
        <v>39</v>
      </c>
      <c r="I2233" s="21" t="s">
        <v>1160</v>
      </c>
    </row>
    <row r="2234" spans="1:9" x14ac:dyDescent="0.25">
      <c r="A2234" s="21" t="s">
        <v>1234</v>
      </c>
      <c r="B2234">
        <v>81</v>
      </c>
      <c r="C2234" s="21" t="s">
        <v>57</v>
      </c>
      <c r="D2234" s="21" t="s">
        <v>44</v>
      </c>
      <c r="E2234">
        <v>248</v>
      </c>
      <c r="F2234">
        <v>26</v>
      </c>
      <c r="G2234" s="21" t="s">
        <v>38</v>
      </c>
      <c r="H2234" s="21" t="s">
        <v>754</v>
      </c>
      <c r="I2234" s="21" t="s">
        <v>1160</v>
      </c>
    </row>
    <row r="2235" spans="1:9" x14ac:dyDescent="0.25">
      <c r="A2235" s="21" t="s">
        <v>1235</v>
      </c>
      <c r="B2235">
        <v>87</v>
      </c>
      <c r="C2235" s="21" t="s">
        <v>57</v>
      </c>
      <c r="D2235" s="21" t="s">
        <v>29</v>
      </c>
      <c r="E2235">
        <v>249</v>
      </c>
      <c r="F2235">
        <v>26</v>
      </c>
      <c r="G2235" s="21" t="s">
        <v>83</v>
      </c>
      <c r="H2235" s="21" t="s">
        <v>55</v>
      </c>
      <c r="I2235" s="21" t="s">
        <v>1160</v>
      </c>
    </row>
    <row r="2236" spans="1:9" x14ac:dyDescent="0.25">
      <c r="A2236" s="21" t="s">
        <v>1236</v>
      </c>
      <c r="B2236">
        <v>38</v>
      </c>
      <c r="C2236" s="21" t="s">
        <v>51</v>
      </c>
      <c r="D2236" s="21" t="s">
        <v>11</v>
      </c>
      <c r="E2236">
        <v>230</v>
      </c>
      <c r="F2236">
        <v>24</v>
      </c>
      <c r="G2236" s="21" t="s">
        <v>30</v>
      </c>
      <c r="H2236" s="21" t="s">
        <v>187</v>
      </c>
      <c r="I2236" s="21" t="s">
        <v>1160</v>
      </c>
    </row>
    <row r="2237" spans="1:9" x14ac:dyDescent="0.25">
      <c r="A2237" s="21" t="s">
        <v>1237</v>
      </c>
      <c r="B2237">
        <v>50</v>
      </c>
      <c r="C2237" s="21" t="s">
        <v>28</v>
      </c>
      <c r="D2237" s="21" t="s">
        <v>29</v>
      </c>
      <c r="E2237">
        <v>305</v>
      </c>
      <c r="F2237">
        <v>23</v>
      </c>
      <c r="G2237" s="21" t="s">
        <v>25</v>
      </c>
      <c r="H2237" s="21" t="s">
        <v>718</v>
      </c>
      <c r="I2237" s="21" t="s">
        <v>1160</v>
      </c>
    </row>
    <row r="2238" spans="1:9" x14ac:dyDescent="0.25">
      <c r="A2238" s="21" t="s">
        <v>1238</v>
      </c>
      <c r="B2238">
        <v>54</v>
      </c>
      <c r="C2238" s="21" t="s">
        <v>51</v>
      </c>
      <c r="D2238" s="21" t="s">
        <v>54</v>
      </c>
      <c r="E2238">
        <v>205</v>
      </c>
      <c r="F2238">
        <v>23</v>
      </c>
      <c r="G2238" s="21" t="s">
        <v>25</v>
      </c>
      <c r="H2238" s="21" t="s">
        <v>694</v>
      </c>
      <c r="I2238" s="21" t="s">
        <v>1160</v>
      </c>
    </row>
    <row r="2239" spans="1:9" x14ac:dyDescent="0.25">
      <c r="A2239" s="21" t="s">
        <v>1239</v>
      </c>
      <c r="B2239">
        <v>69</v>
      </c>
      <c r="C2239" s="21" t="s">
        <v>28</v>
      </c>
      <c r="D2239" s="21" t="s">
        <v>67</v>
      </c>
      <c r="E2239">
        <v>325</v>
      </c>
      <c r="F2239">
        <v>23</v>
      </c>
      <c r="G2239" s="21" t="s">
        <v>25</v>
      </c>
      <c r="H2239" s="21" t="s">
        <v>98</v>
      </c>
      <c r="I2239" s="21" t="s">
        <v>1160</v>
      </c>
    </row>
    <row r="2240" spans="1:9" x14ac:dyDescent="0.25">
      <c r="A2240" s="21" t="s">
        <v>1240</v>
      </c>
      <c r="B2240">
        <v>48</v>
      </c>
      <c r="C2240" s="21" t="s">
        <v>1241</v>
      </c>
      <c r="D2240" s="21" t="s">
        <v>24</v>
      </c>
      <c r="E2240">
        <v>246</v>
      </c>
      <c r="F2240">
        <v>25</v>
      </c>
      <c r="G2240" s="21" t="s">
        <v>16</v>
      </c>
      <c r="H2240" s="21" t="s">
        <v>430</v>
      </c>
      <c r="I2240" s="21" t="s">
        <v>1160</v>
      </c>
    </row>
    <row r="2241" spans="1:9" x14ac:dyDescent="0.25">
      <c r="A2241" s="21" t="s">
        <v>1242</v>
      </c>
      <c r="B2241">
        <v>42</v>
      </c>
      <c r="C2241" s="21" t="s">
        <v>51</v>
      </c>
      <c r="D2241" s="21" t="s">
        <v>1243</v>
      </c>
      <c r="E2241">
        <v>185</v>
      </c>
      <c r="F2241">
        <v>24</v>
      </c>
      <c r="G2241" s="21" t="s">
        <v>12</v>
      </c>
      <c r="H2241" s="21" t="s">
        <v>62</v>
      </c>
      <c r="I2241" s="21" t="s">
        <v>1160</v>
      </c>
    </row>
    <row r="2242" spans="1:9" x14ac:dyDescent="0.25">
      <c r="A2242" s="21" t="s">
        <v>1244</v>
      </c>
      <c r="B2242">
        <v>51</v>
      </c>
      <c r="C2242" s="21" t="s">
        <v>10</v>
      </c>
      <c r="D2242" s="21" t="s">
        <v>24</v>
      </c>
      <c r="E2242">
        <v>182</v>
      </c>
      <c r="F2242">
        <v>21</v>
      </c>
      <c r="G2242" s="21" t="s">
        <v>25</v>
      </c>
      <c r="H2242" s="21" t="s">
        <v>87</v>
      </c>
      <c r="I2242" s="21" t="s">
        <v>1160</v>
      </c>
    </row>
    <row r="2243" spans="1:9" x14ac:dyDescent="0.25">
      <c r="A2243" s="21" t="s">
        <v>1245</v>
      </c>
      <c r="B2243">
        <v>55</v>
      </c>
      <c r="C2243" s="21" t="s">
        <v>15</v>
      </c>
      <c r="D2243" s="21" t="s">
        <v>44</v>
      </c>
      <c r="E2243">
        <v>245</v>
      </c>
      <c r="F2243">
        <v>23</v>
      </c>
      <c r="G2243" s="21" t="s">
        <v>12</v>
      </c>
      <c r="H2243" s="21" t="s">
        <v>98</v>
      </c>
      <c r="I2243" s="21" t="s">
        <v>1160</v>
      </c>
    </row>
    <row r="2244" spans="1:9" x14ac:dyDescent="0.25">
      <c r="A2244" s="21" t="s">
        <v>1246</v>
      </c>
      <c r="B2244">
        <v>2</v>
      </c>
      <c r="C2244" s="21" t="s">
        <v>76</v>
      </c>
      <c r="D2244" s="21" t="s">
        <v>24</v>
      </c>
      <c r="E2244">
        <v>203</v>
      </c>
      <c r="F2244">
        <v>25</v>
      </c>
      <c r="G2244" s="21" t="s">
        <v>83</v>
      </c>
      <c r="H2244" s="21" t="s">
        <v>274</v>
      </c>
      <c r="I2244" s="21" t="s">
        <v>1160</v>
      </c>
    </row>
    <row r="2245" spans="1:9" x14ac:dyDescent="0.25">
      <c r="A2245" s="21" t="s">
        <v>1247</v>
      </c>
      <c r="B2245">
        <v>26</v>
      </c>
      <c r="C2245" s="21" t="s">
        <v>48</v>
      </c>
      <c r="D2245" s="21" t="s">
        <v>52</v>
      </c>
      <c r="E2245">
        <v>191</v>
      </c>
      <c r="F2245">
        <v>23</v>
      </c>
      <c r="G2245" s="21" t="s">
        <v>30</v>
      </c>
      <c r="H2245" s="21" t="s">
        <v>36</v>
      </c>
      <c r="I2245" s="21" t="s">
        <v>1160</v>
      </c>
    </row>
    <row r="2246" spans="1:9" x14ac:dyDescent="0.25">
      <c r="A2246" s="21" t="s">
        <v>1248</v>
      </c>
      <c r="B2246">
        <v>28</v>
      </c>
      <c r="C2246" s="21" t="s">
        <v>51</v>
      </c>
      <c r="D2246" s="21" t="s">
        <v>125</v>
      </c>
      <c r="E2246">
        <v>205</v>
      </c>
      <c r="F2246">
        <v>30</v>
      </c>
      <c r="G2246" s="21" t="s">
        <v>64</v>
      </c>
      <c r="H2246" s="21" t="s">
        <v>68</v>
      </c>
      <c r="I2246" s="21" t="s">
        <v>1160</v>
      </c>
    </row>
    <row r="2247" spans="1:9" x14ac:dyDescent="0.25">
      <c r="A2247" s="21" t="s">
        <v>1249</v>
      </c>
      <c r="B2247">
        <v>17</v>
      </c>
      <c r="C2247" s="21" t="s">
        <v>10</v>
      </c>
      <c r="D2247" s="21" t="s">
        <v>52</v>
      </c>
      <c r="E2247">
        <v>214</v>
      </c>
      <c r="F2247">
        <v>25</v>
      </c>
      <c r="G2247" s="21" t="s">
        <v>83</v>
      </c>
      <c r="H2247" s="21" t="s">
        <v>238</v>
      </c>
      <c r="I2247" s="21" t="s">
        <v>1160</v>
      </c>
    </row>
    <row r="2248" spans="1:9" x14ac:dyDescent="0.25">
      <c r="A2248" s="21" t="s">
        <v>1250</v>
      </c>
      <c r="B2248">
        <v>67</v>
      </c>
      <c r="C2248" s="21" t="s">
        <v>28</v>
      </c>
      <c r="D2248" s="21" t="s">
        <v>24</v>
      </c>
      <c r="E2248">
        <v>304</v>
      </c>
      <c r="F2248">
        <v>25</v>
      </c>
      <c r="G2248" s="21" t="s">
        <v>83</v>
      </c>
      <c r="H2248" s="21" t="s">
        <v>558</v>
      </c>
      <c r="I2248" s="21" t="s">
        <v>1160</v>
      </c>
    </row>
    <row r="2249" spans="1:9" x14ac:dyDescent="0.25">
      <c r="A2249" s="21" t="s">
        <v>1251</v>
      </c>
      <c r="B2249">
        <v>33</v>
      </c>
      <c r="C2249" s="21" t="s">
        <v>48</v>
      </c>
      <c r="D2249" s="21" t="s">
        <v>44</v>
      </c>
      <c r="E2249">
        <v>212</v>
      </c>
      <c r="F2249">
        <v>24</v>
      </c>
      <c r="G2249" s="21" t="s">
        <v>16</v>
      </c>
      <c r="H2249" s="21" t="s">
        <v>46</v>
      </c>
      <c r="I2249" s="21" t="s">
        <v>1160</v>
      </c>
    </row>
    <row r="2250" spans="1:9" x14ac:dyDescent="0.25">
      <c r="A2250" s="21" t="s">
        <v>1252</v>
      </c>
      <c r="B2250">
        <v>30</v>
      </c>
      <c r="C2250" s="21" t="s">
        <v>213</v>
      </c>
      <c r="D2250" s="21" t="s">
        <v>52</v>
      </c>
      <c r="E2250">
        <v>233</v>
      </c>
      <c r="F2250">
        <v>24</v>
      </c>
      <c r="G2250" s="21" t="s">
        <v>16</v>
      </c>
      <c r="H2250" s="21" t="s">
        <v>233</v>
      </c>
      <c r="I2250" s="21" t="s">
        <v>1160</v>
      </c>
    </row>
    <row r="2251" spans="1:9" x14ac:dyDescent="0.25">
      <c r="A2251" s="21" t="s">
        <v>1253</v>
      </c>
      <c r="B2251">
        <v>91</v>
      </c>
      <c r="C2251" s="21" t="s">
        <v>19</v>
      </c>
      <c r="D2251" s="21" t="s">
        <v>29</v>
      </c>
      <c r="E2251">
        <v>275</v>
      </c>
      <c r="F2251">
        <v>28</v>
      </c>
      <c r="G2251" s="21" t="s">
        <v>38</v>
      </c>
      <c r="H2251" s="21" t="s">
        <v>80</v>
      </c>
      <c r="I2251" s="21" t="s">
        <v>1160</v>
      </c>
    </row>
    <row r="2252" spans="1:9" x14ac:dyDescent="0.25">
      <c r="A2252" s="21" t="s">
        <v>1254</v>
      </c>
      <c r="B2252">
        <v>76</v>
      </c>
      <c r="C2252" s="21" t="s">
        <v>28</v>
      </c>
      <c r="D2252" s="21" t="s">
        <v>24</v>
      </c>
      <c r="E2252">
        <v>310</v>
      </c>
      <c r="F2252">
        <v>26</v>
      </c>
      <c r="G2252" s="21" t="s">
        <v>45</v>
      </c>
      <c r="H2252" s="21" t="s">
        <v>196</v>
      </c>
      <c r="I2252" s="21" t="s">
        <v>1160</v>
      </c>
    </row>
    <row r="2253" spans="1:9" x14ac:dyDescent="0.25">
      <c r="A2253" s="21" t="s">
        <v>1255</v>
      </c>
      <c r="B2253">
        <v>55</v>
      </c>
      <c r="C2253" s="21" t="s">
        <v>70</v>
      </c>
      <c r="D2253" s="21" t="s">
        <v>52</v>
      </c>
      <c r="E2253">
        <v>220</v>
      </c>
      <c r="F2253">
        <v>23</v>
      </c>
      <c r="G2253" s="21" t="s">
        <v>25</v>
      </c>
      <c r="H2253" s="21" t="s">
        <v>284</v>
      </c>
      <c r="I2253" s="21" t="s">
        <v>1160</v>
      </c>
    </row>
    <row r="2254" spans="1:9" x14ac:dyDescent="0.25">
      <c r="A2254" s="21" t="s">
        <v>4808</v>
      </c>
      <c r="B2254">
        <v>13</v>
      </c>
      <c r="C2254" s="21" t="s">
        <v>76</v>
      </c>
      <c r="D2254" s="21" t="s">
        <v>52</v>
      </c>
      <c r="E2254">
        <v>189</v>
      </c>
      <c r="F2254">
        <v>23</v>
      </c>
      <c r="G2254" s="21" t="s">
        <v>30</v>
      </c>
      <c r="H2254" s="21" t="s">
        <v>98</v>
      </c>
      <c r="I2254" s="21" t="s">
        <v>1160</v>
      </c>
    </row>
    <row r="2255" spans="1:9" x14ac:dyDescent="0.25">
      <c r="A2255" s="21" t="s">
        <v>1256</v>
      </c>
      <c r="B2255">
        <v>58</v>
      </c>
      <c r="C2255" s="21" t="s">
        <v>15</v>
      </c>
      <c r="D2255" s="21" t="s">
        <v>44</v>
      </c>
      <c r="E2255">
        <v>255</v>
      </c>
      <c r="F2255">
        <v>32</v>
      </c>
      <c r="G2255" s="21" t="s">
        <v>111</v>
      </c>
      <c r="H2255" s="21" t="s">
        <v>149</v>
      </c>
      <c r="I2255" s="21" t="s">
        <v>1160</v>
      </c>
    </row>
    <row r="2256" spans="1:9" x14ac:dyDescent="0.25">
      <c r="A2256" s="21" t="s">
        <v>66</v>
      </c>
      <c r="B2256">
        <v>88</v>
      </c>
      <c r="C2256" s="21" t="s">
        <v>57</v>
      </c>
      <c r="D2256" s="21" t="s">
        <v>67</v>
      </c>
      <c r="E2256">
        <v>248</v>
      </c>
      <c r="F2256">
        <v>27</v>
      </c>
      <c r="G2256" s="21" t="s">
        <v>45</v>
      </c>
      <c r="H2256" s="21" t="s">
        <v>68</v>
      </c>
      <c r="I2256" s="21" t="s">
        <v>1160</v>
      </c>
    </row>
    <row r="2257" spans="1:9" x14ac:dyDescent="0.25">
      <c r="A2257" s="21" t="s">
        <v>1257</v>
      </c>
      <c r="B2257">
        <v>54</v>
      </c>
      <c r="C2257" s="21" t="s">
        <v>15</v>
      </c>
      <c r="D2257" s="21" t="s">
        <v>44</v>
      </c>
      <c r="E2257">
        <v>260</v>
      </c>
      <c r="F2257">
        <v>32</v>
      </c>
      <c r="G2257" s="21" t="s">
        <v>111</v>
      </c>
      <c r="H2257" s="21" t="s">
        <v>233</v>
      </c>
      <c r="I2257" s="21" t="s">
        <v>1160</v>
      </c>
    </row>
    <row r="2258" spans="1:9" x14ac:dyDescent="0.25">
      <c r="A2258" s="21" t="s">
        <v>2696</v>
      </c>
      <c r="B2258">
        <v>39</v>
      </c>
      <c r="C2258" s="21" t="s">
        <v>10</v>
      </c>
      <c r="D2258" s="21" t="s">
        <v>52</v>
      </c>
      <c r="E2258">
        <v>190</v>
      </c>
      <c r="F2258">
        <v>27</v>
      </c>
      <c r="G2258" s="21" t="s">
        <v>25</v>
      </c>
      <c r="H2258" s="21" t="s">
        <v>22</v>
      </c>
      <c r="I2258" s="21" t="s">
        <v>2695</v>
      </c>
    </row>
    <row r="2259" spans="1:9" x14ac:dyDescent="0.25">
      <c r="A2259" s="21" t="s">
        <v>2697</v>
      </c>
      <c r="B2259">
        <v>76</v>
      </c>
      <c r="C2259" s="21" t="s">
        <v>28</v>
      </c>
      <c r="D2259" s="21" t="s">
        <v>35</v>
      </c>
      <c r="E2259">
        <v>314</v>
      </c>
      <c r="F2259">
        <v>23</v>
      </c>
      <c r="G2259" s="21" t="s">
        <v>30</v>
      </c>
      <c r="H2259" s="21" t="s">
        <v>101</v>
      </c>
      <c r="I2259" s="21" t="s">
        <v>2695</v>
      </c>
    </row>
    <row r="2260" spans="1:9" x14ac:dyDescent="0.25">
      <c r="A2260" s="21" t="s">
        <v>2698</v>
      </c>
      <c r="B2260">
        <v>19</v>
      </c>
      <c r="C2260" s="21" t="s">
        <v>57</v>
      </c>
      <c r="D2260" s="21" t="s">
        <v>24</v>
      </c>
      <c r="E2260">
        <v>237</v>
      </c>
      <c r="F2260">
        <v>25</v>
      </c>
      <c r="G2260" s="21" t="s">
        <v>16</v>
      </c>
      <c r="H2260" s="21" t="s">
        <v>165</v>
      </c>
      <c r="I2260" s="21" t="s">
        <v>2695</v>
      </c>
    </row>
    <row r="2261" spans="1:9" x14ac:dyDescent="0.25">
      <c r="A2261" s="21" t="s">
        <v>2699</v>
      </c>
      <c r="B2261">
        <v>72</v>
      </c>
      <c r="C2261" s="21" t="s">
        <v>277</v>
      </c>
      <c r="D2261" s="21" t="s">
        <v>44</v>
      </c>
      <c r="E2261">
        <v>312</v>
      </c>
      <c r="F2261">
        <v>23</v>
      </c>
      <c r="G2261" s="21" t="s">
        <v>83</v>
      </c>
      <c r="H2261" s="21" t="s">
        <v>504</v>
      </c>
      <c r="I2261" s="21" t="s">
        <v>2695</v>
      </c>
    </row>
    <row r="2262" spans="1:9" x14ac:dyDescent="0.25">
      <c r="A2262" s="21" t="s">
        <v>2700</v>
      </c>
      <c r="B2262">
        <v>96</v>
      </c>
      <c r="C2262" s="21" t="s">
        <v>319</v>
      </c>
      <c r="D2262" s="21" t="s">
        <v>44</v>
      </c>
      <c r="E2262">
        <v>259</v>
      </c>
      <c r="F2262">
        <v>26</v>
      </c>
      <c r="G2262" s="21" t="s">
        <v>38</v>
      </c>
      <c r="H2262" s="21" t="s">
        <v>104</v>
      </c>
      <c r="I2262" s="21" t="s">
        <v>2695</v>
      </c>
    </row>
    <row r="2263" spans="1:9" x14ac:dyDescent="0.25">
      <c r="A2263" s="21" t="s">
        <v>2701</v>
      </c>
      <c r="B2263">
        <v>39</v>
      </c>
      <c r="C2263" s="21" t="s">
        <v>48</v>
      </c>
      <c r="D2263" s="21" t="s">
        <v>54</v>
      </c>
      <c r="E2263">
        <v>180</v>
      </c>
      <c r="F2263">
        <v>23</v>
      </c>
      <c r="G2263" s="21" t="s">
        <v>25</v>
      </c>
      <c r="H2263" s="21" t="s">
        <v>347</v>
      </c>
      <c r="I2263" s="21" t="s">
        <v>2695</v>
      </c>
    </row>
    <row r="2264" spans="1:9" x14ac:dyDescent="0.25">
      <c r="A2264" s="21" t="s">
        <v>2702</v>
      </c>
      <c r="B2264">
        <v>46</v>
      </c>
      <c r="C2264" s="21" t="s">
        <v>89</v>
      </c>
      <c r="D2264" s="21" t="s">
        <v>52</v>
      </c>
      <c r="E2264">
        <v>203</v>
      </c>
      <c r="F2264">
        <v>23</v>
      </c>
      <c r="G2264" s="21" t="s">
        <v>25</v>
      </c>
      <c r="H2264" s="21" t="s">
        <v>179</v>
      </c>
      <c r="I2264" s="21" t="s">
        <v>2695</v>
      </c>
    </row>
    <row r="2265" spans="1:9" x14ac:dyDescent="0.25">
      <c r="A2265" s="21" t="s">
        <v>2703</v>
      </c>
      <c r="B2265">
        <v>24</v>
      </c>
      <c r="C2265" s="21" t="s">
        <v>48</v>
      </c>
      <c r="D2265" s="21" t="s">
        <v>52</v>
      </c>
      <c r="E2265">
        <v>210</v>
      </c>
      <c r="F2265">
        <v>28</v>
      </c>
      <c r="G2265" s="21" t="s">
        <v>100</v>
      </c>
      <c r="H2265" s="21" t="s">
        <v>1834</v>
      </c>
      <c r="I2265" s="21" t="s">
        <v>2695</v>
      </c>
    </row>
    <row r="2266" spans="1:9" x14ac:dyDescent="0.25">
      <c r="A2266" s="21" t="s">
        <v>2704</v>
      </c>
      <c r="B2266">
        <v>54</v>
      </c>
      <c r="C2266" s="21" t="s">
        <v>15</v>
      </c>
      <c r="D2266" s="21" t="s">
        <v>52</v>
      </c>
      <c r="E2266">
        <v>240</v>
      </c>
      <c r="F2266">
        <v>25</v>
      </c>
      <c r="G2266" s="21" t="s">
        <v>12</v>
      </c>
      <c r="H2266" s="21" t="s">
        <v>256</v>
      </c>
      <c r="I2266" s="21" t="s">
        <v>2695</v>
      </c>
    </row>
    <row r="2267" spans="1:9" x14ac:dyDescent="0.25">
      <c r="A2267" s="21" t="s">
        <v>2705</v>
      </c>
      <c r="B2267">
        <v>49</v>
      </c>
      <c r="C2267" s="21" t="s">
        <v>51</v>
      </c>
      <c r="D2267" s="21" t="s">
        <v>54</v>
      </c>
      <c r="E2267">
        <v>213</v>
      </c>
      <c r="F2267">
        <v>23</v>
      </c>
      <c r="G2267" s="21" t="s">
        <v>25</v>
      </c>
      <c r="H2267" s="21" t="s">
        <v>187</v>
      </c>
      <c r="I2267" s="21" t="s">
        <v>2695</v>
      </c>
    </row>
    <row r="2268" spans="1:9" x14ac:dyDescent="0.25">
      <c r="A2268" s="21" t="s">
        <v>2706</v>
      </c>
      <c r="B2268">
        <v>11</v>
      </c>
      <c r="C2268" s="21" t="s">
        <v>10</v>
      </c>
      <c r="D2268" s="21" t="s">
        <v>52</v>
      </c>
      <c r="E2268">
        <v>226</v>
      </c>
      <c r="F2268">
        <v>25</v>
      </c>
      <c r="G2268" s="21" t="s">
        <v>16</v>
      </c>
      <c r="H2268" s="21" t="s">
        <v>516</v>
      </c>
      <c r="I2268" s="21" t="s">
        <v>2695</v>
      </c>
    </row>
    <row r="2269" spans="1:9" x14ac:dyDescent="0.25">
      <c r="A2269" s="21" t="s">
        <v>2707</v>
      </c>
      <c r="B2269">
        <v>85</v>
      </c>
      <c r="C2269" s="21" t="s">
        <v>10</v>
      </c>
      <c r="D2269" s="21" t="s">
        <v>24</v>
      </c>
      <c r="E2269">
        <v>202</v>
      </c>
      <c r="F2269">
        <v>25</v>
      </c>
      <c r="G2269" s="21" t="s">
        <v>12</v>
      </c>
      <c r="H2269" s="21" t="s">
        <v>136</v>
      </c>
      <c r="I2269" s="21" t="s">
        <v>2695</v>
      </c>
    </row>
    <row r="2270" spans="1:9" x14ac:dyDescent="0.25">
      <c r="A2270" s="21" t="s">
        <v>2708</v>
      </c>
      <c r="B2270">
        <v>47</v>
      </c>
      <c r="C2270" s="21" t="s">
        <v>57</v>
      </c>
      <c r="D2270" s="21" t="s">
        <v>35</v>
      </c>
      <c r="E2270">
        <v>240</v>
      </c>
      <c r="F2270">
        <v>23</v>
      </c>
      <c r="G2270" s="21" t="s">
        <v>25</v>
      </c>
      <c r="H2270" s="21" t="s">
        <v>674</v>
      </c>
      <c r="I2270" s="21" t="s">
        <v>2695</v>
      </c>
    </row>
    <row r="2271" spans="1:9" x14ac:dyDescent="0.25">
      <c r="A2271" s="21" t="s">
        <v>2709</v>
      </c>
      <c r="B2271">
        <v>21</v>
      </c>
      <c r="C2271" s="21" t="s">
        <v>89</v>
      </c>
      <c r="D2271" s="21" t="s">
        <v>11</v>
      </c>
      <c r="E2271">
        <v>200</v>
      </c>
      <c r="F2271">
        <v>26</v>
      </c>
      <c r="G2271" s="21" t="s">
        <v>30</v>
      </c>
      <c r="H2271" s="21" t="s">
        <v>311</v>
      </c>
      <c r="I2271" s="21" t="s">
        <v>2695</v>
      </c>
    </row>
    <row r="2272" spans="1:9" x14ac:dyDescent="0.25">
      <c r="A2272" s="21" t="s">
        <v>2710</v>
      </c>
      <c r="B2272">
        <v>74</v>
      </c>
      <c r="C2272" s="21" t="s">
        <v>140</v>
      </c>
      <c r="D2272" s="21" t="s">
        <v>29</v>
      </c>
      <c r="E2272">
        <v>319</v>
      </c>
      <c r="F2272">
        <v>29</v>
      </c>
      <c r="G2272" s="21" t="s">
        <v>100</v>
      </c>
      <c r="H2272" s="21" t="s">
        <v>101</v>
      </c>
      <c r="I2272" s="21" t="s">
        <v>2695</v>
      </c>
    </row>
    <row r="2273" spans="1:9" x14ac:dyDescent="0.25">
      <c r="A2273" s="21" t="s">
        <v>2711</v>
      </c>
      <c r="B2273">
        <v>41</v>
      </c>
      <c r="C2273" s="21" t="s">
        <v>10</v>
      </c>
      <c r="D2273" s="21" t="s">
        <v>86</v>
      </c>
      <c r="E2273">
        <v>173</v>
      </c>
      <c r="F2273">
        <v>25</v>
      </c>
      <c r="G2273" s="21" t="s">
        <v>25</v>
      </c>
      <c r="H2273" s="21" t="s">
        <v>194</v>
      </c>
      <c r="I2273" s="21" t="s">
        <v>2695</v>
      </c>
    </row>
    <row r="2274" spans="1:9" x14ac:dyDescent="0.25">
      <c r="A2274" s="21" t="s">
        <v>2712</v>
      </c>
      <c r="B2274">
        <v>91</v>
      </c>
      <c r="C2274" s="21" t="s">
        <v>114</v>
      </c>
      <c r="D2274" s="21" t="s">
        <v>35</v>
      </c>
      <c r="E2274">
        <v>310</v>
      </c>
      <c r="F2274">
        <v>31</v>
      </c>
      <c r="G2274" s="21" t="s">
        <v>254</v>
      </c>
      <c r="H2274" s="21" t="s">
        <v>558</v>
      </c>
      <c r="I2274" s="21" t="s">
        <v>2695</v>
      </c>
    </row>
    <row r="2275" spans="1:9" x14ac:dyDescent="0.25">
      <c r="A2275" s="21" t="s">
        <v>2713</v>
      </c>
      <c r="B2275">
        <v>90</v>
      </c>
      <c r="C2275" s="21" t="s">
        <v>114</v>
      </c>
      <c r="D2275" s="21" t="s">
        <v>67</v>
      </c>
      <c r="E2275">
        <v>336</v>
      </c>
      <c r="F2275">
        <v>22</v>
      </c>
      <c r="G2275" s="21" t="s">
        <v>25</v>
      </c>
      <c r="H2275" s="21" t="s">
        <v>196</v>
      </c>
      <c r="I2275" s="21" t="s">
        <v>2695</v>
      </c>
    </row>
    <row r="2276" spans="1:9" x14ac:dyDescent="0.25">
      <c r="A2276" s="21" t="s">
        <v>2714</v>
      </c>
      <c r="B2276">
        <v>17</v>
      </c>
      <c r="C2276" s="21" t="s">
        <v>15</v>
      </c>
      <c r="D2276" s="21" t="s">
        <v>54</v>
      </c>
      <c r="E2276">
        <v>231</v>
      </c>
      <c r="F2276">
        <v>21</v>
      </c>
      <c r="G2276" s="21" t="s">
        <v>25</v>
      </c>
      <c r="H2276" s="21" t="s">
        <v>196</v>
      </c>
      <c r="I2276" s="21" t="s">
        <v>2695</v>
      </c>
    </row>
    <row r="2277" spans="1:9" x14ac:dyDescent="0.25">
      <c r="A2277" s="21" t="s">
        <v>2715</v>
      </c>
      <c r="B2277">
        <v>69</v>
      </c>
      <c r="C2277" s="21" t="s">
        <v>277</v>
      </c>
      <c r="D2277" s="21" t="s">
        <v>67</v>
      </c>
      <c r="E2277">
        <v>332</v>
      </c>
      <c r="F2277">
        <v>23</v>
      </c>
      <c r="G2277" s="21" t="s">
        <v>30</v>
      </c>
      <c r="H2277" s="21" t="s">
        <v>233</v>
      </c>
      <c r="I2277" s="21" t="s">
        <v>2695</v>
      </c>
    </row>
    <row r="2278" spans="1:9" x14ac:dyDescent="0.25">
      <c r="A2278" s="21" t="s">
        <v>2716</v>
      </c>
      <c r="B2278">
        <v>77</v>
      </c>
      <c r="C2278" s="21" t="s">
        <v>140</v>
      </c>
      <c r="D2278" s="21" t="s">
        <v>29</v>
      </c>
      <c r="E2278">
        <v>315</v>
      </c>
      <c r="F2278">
        <v>26</v>
      </c>
      <c r="G2278" s="21" t="s">
        <v>16</v>
      </c>
      <c r="H2278" s="21" t="s">
        <v>370</v>
      </c>
      <c r="I2278" s="21" t="s">
        <v>2695</v>
      </c>
    </row>
    <row r="2279" spans="1:9" x14ac:dyDescent="0.25">
      <c r="A2279" s="21" t="s">
        <v>2717</v>
      </c>
      <c r="B2279">
        <v>63</v>
      </c>
      <c r="C2279" s="21" t="s">
        <v>140</v>
      </c>
      <c r="D2279" s="21" t="s">
        <v>29</v>
      </c>
      <c r="E2279">
        <v>312</v>
      </c>
      <c r="F2279">
        <v>25</v>
      </c>
      <c r="G2279" s="21" t="s">
        <v>12</v>
      </c>
      <c r="H2279" s="21" t="s">
        <v>65</v>
      </c>
      <c r="I2279" s="21" t="s">
        <v>2695</v>
      </c>
    </row>
    <row r="2280" spans="1:9" x14ac:dyDescent="0.25">
      <c r="A2280" s="21" t="s">
        <v>2718</v>
      </c>
      <c r="B2280">
        <v>73</v>
      </c>
      <c r="C2280" s="21" t="s">
        <v>277</v>
      </c>
      <c r="D2280" s="21" t="s">
        <v>29</v>
      </c>
      <c r="E2280">
        <v>319</v>
      </c>
      <c r="F2280">
        <v>22</v>
      </c>
      <c r="G2280" s="21" t="s">
        <v>25</v>
      </c>
      <c r="H2280" s="21" t="s">
        <v>33</v>
      </c>
      <c r="I2280" s="21" t="s">
        <v>2695</v>
      </c>
    </row>
    <row r="2281" spans="1:9" x14ac:dyDescent="0.25">
      <c r="A2281" s="21" t="s">
        <v>2719</v>
      </c>
      <c r="B2281">
        <v>57</v>
      </c>
      <c r="C2281" s="21" t="s">
        <v>15</v>
      </c>
      <c r="D2281" s="21" t="s">
        <v>52</v>
      </c>
      <c r="E2281">
        <v>242</v>
      </c>
      <c r="F2281">
        <v>25</v>
      </c>
      <c r="G2281" s="21" t="s">
        <v>16</v>
      </c>
      <c r="H2281" s="21" t="s">
        <v>68</v>
      </c>
      <c r="I2281" s="21" t="s">
        <v>2695</v>
      </c>
    </row>
    <row r="2282" spans="1:9" x14ac:dyDescent="0.25">
      <c r="A2282" s="21" t="s">
        <v>2720</v>
      </c>
      <c r="B2282">
        <v>4</v>
      </c>
      <c r="C2282" s="21" t="s">
        <v>76</v>
      </c>
      <c r="D2282" s="21" t="s">
        <v>135</v>
      </c>
      <c r="E2282">
        <v>167</v>
      </c>
      <c r="F2282">
        <v>27</v>
      </c>
      <c r="G2282" s="21" t="s">
        <v>38</v>
      </c>
      <c r="H2282" s="21" t="s">
        <v>627</v>
      </c>
      <c r="I2282" s="21" t="s">
        <v>2695</v>
      </c>
    </row>
    <row r="2283" spans="1:9" x14ac:dyDescent="0.25">
      <c r="A2283" s="21" t="s">
        <v>2721</v>
      </c>
      <c r="B2283">
        <v>53</v>
      </c>
      <c r="C2283" s="21" t="s">
        <v>15</v>
      </c>
      <c r="D2283" s="21" t="s">
        <v>44</v>
      </c>
      <c r="E2283">
        <v>233</v>
      </c>
      <c r="F2283">
        <v>23</v>
      </c>
      <c r="G2283" s="21" t="s">
        <v>83</v>
      </c>
      <c r="H2283" s="21" t="s">
        <v>786</v>
      </c>
      <c r="I2283" s="21" t="s">
        <v>2695</v>
      </c>
    </row>
    <row r="2284" spans="1:9" x14ac:dyDescent="0.25">
      <c r="A2284" s="21" t="s">
        <v>2722</v>
      </c>
      <c r="B2284">
        <v>61</v>
      </c>
      <c r="C2284" s="21" t="s">
        <v>114</v>
      </c>
      <c r="D2284" s="21" t="s">
        <v>35</v>
      </c>
      <c r="E2284">
        <v>346</v>
      </c>
      <c r="F2284">
        <v>23</v>
      </c>
      <c r="G2284" s="21" t="s">
        <v>25</v>
      </c>
      <c r="H2284" s="21" t="s">
        <v>786</v>
      </c>
      <c r="I2284" s="21" t="s">
        <v>2695</v>
      </c>
    </row>
    <row r="2285" spans="1:9" x14ac:dyDescent="0.25">
      <c r="A2285" s="21" t="s">
        <v>2723</v>
      </c>
      <c r="B2285">
        <v>22</v>
      </c>
      <c r="C2285" s="21" t="s">
        <v>89</v>
      </c>
      <c r="D2285" s="21" t="s">
        <v>11</v>
      </c>
      <c r="E2285">
        <v>198</v>
      </c>
      <c r="F2285">
        <v>26</v>
      </c>
      <c r="G2285" s="21" t="s">
        <v>16</v>
      </c>
      <c r="H2285" s="21" t="s">
        <v>456</v>
      </c>
      <c r="I2285" s="21" t="s">
        <v>2695</v>
      </c>
    </row>
    <row r="2286" spans="1:9" x14ac:dyDescent="0.25">
      <c r="A2286" s="21" t="s">
        <v>2724</v>
      </c>
      <c r="B2286">
        <v>59</v>
      </c>
      <c r="C2286" s="21" t="s">
        <v>15</v>
      </c>
      <c r="D2286" s="21" t="s">
        <v>24</v>
      </c>
      <c r="E2286">
        <v>250</v>
      </c>
      <c r="F2286">
        <v>23</v>
      </c>
      <c r="G2286" s="21" t="s">
        <v>25</v>
      </c>
      <c r="H2286" s="21" t="s">
        <v>147</v>
      </c>
      <c r="I2286" s="21" t="s">
        <v>2695</v>
      </c>
    </row>
    <row r="2287" spans="1:9" x14ac:dyDescent="0.25">
      <c r="A2287" s="21" t="s">
        <v>2725</v>
      </c>
      <c r="B2287">
        <v>14</v>
      </c>
      <c r="C2287" s="21" t="s">
        <v>51</v>
      </c>
      <c r="D2287" s="21" t="s">
        <v>135</v>
      </c>
      <c r="E2287">
        <v>200</v>
      </c>
      <c r="F2287">
        <v>23</v>
      </c>
      <c r="G2287" s="21" t="s">
        <v>30</v>
      </c>
      <c r="H2287" s="21" t="s">
        <v>627</v>
      </c>
      <c r="I2287" s="21" t="s">
        <v>2695</v>
      </c>
    </row>
    <row r="2288" spans="1:9" x14ac:dyDescent="0.25">
      <c r="A2288" s="21" t="s">
        <v>2726</v>
      </c>
      <c r="B2288">
        <v>88</v>
      </c>
      <c r="C2288" s="21" t="s">
        <v>57</v>
      </c>
      <c r="D2288" s="21" t="s">
        <v>29</v>
      </c>
      <c r="E2288">
        <v>256</v>
      </c>
      <c r="F2288">
        <v>27</v>
      </c>
      <c r="G2288" s="21" t="s">
        <v>45</v>
      </c>
      <c r="H2288" s="21" t="s">
        <v>694</v>
      </c>
      <c r="I2288" s="21" t="s">
        <v>2695</v>
      </c>
    </row>
    <row r="2289" spans="1:9" x14ac:dyDescent="0.25">
      <c r="A2289" s="21" t="s">
        <v>2727</v>
      </c>
      <c r="B2289">
        <v>32</v>
      </c>
      <c r="C2289" s="21" t="s">
        <v>48</v>
      </c>
      <c r="D2289" s="21" t="s">
        <v>11</v>
      </c>
      <c r="E2289">
        <v>186</v>
      </c>
      <c r="F2289">
        <v>22</v>
      </c>
      <c r="G2289" s="21" t="s">
        <v>25</v>
      </c>
      <c r="H2289" s="21" t="s">
        <v>136</v>
      </c>
      <c r="I2289" s="21" t="s">
        <v>2695</v>
      </c>
    </row>
    <row r="2290" spans="1:9" x14ac:dyDescent="0.25">
      <c r="A2290" s="21" t="s">
        <v>2728</v>
      </c>
      <c r="B2290">
        <v>36</v>
      </c>
      <c r="C2290" s="21" t="s">
        <v>48</v>
      </c>
      <c r="D2290" s="21" t="s">
        <v>52</v>
      </c>
      <c r="E2290">
        <v>186</v>
      </c>
      <c r="F2290">
        <v>24</v>
      </c>
      <c r="G2290" s="21" t="s">
        <v>30</v>
      </c>
      <c r="H2290" s="21" t="s">
        <v>3252</v>
      </c>
      <c r="I2290" s="21" t="s">
        <v>2695</v>
      </c>
    </row>
    <row r="2291" spans="1:9" x14ac:dyDescent="0.25">
      <c r="A2291" s="21" t="s">
        <v>2729</v>
      </c>
      <c r="B2291">
        <v>55</v>
      </c>
      <c r="C2291" s="21" t="s">
        <v>319</v>
      </c>
      <c r="D2291" s="21" t="s">
        <v>24</v>
      </c>
      <c r="E2291">
        <v>265</v>
      </c>
      <c r="F2291">
        <v>34</v>
      </c>
      <c r="G2291" s="21" t="s">
        <v>407</v>
      </c>
      <c r="H2291" s="21" t="s">
        <v>98</v>
      </c>
      <c r="I2291" s="21" t="s">
        <v>2695</v>
      </c>
    </row>
    <row r="2292" spans="1:9" x14ac:dyDescent="0.25">
      <c r="A2292" s="21" t="s">
        <v>2730</v>
      </c>
      <c r="B2292">
        <v>46</v>
      </c>
      <c r="C2292" s="21" t="s">
        <v>10</v>
      </c>
      <c r="D2292" s="21" t="s">
        <v>11</v>
      </c>
      <c r="E2292">
        <v>194</v>
      </c>
      <c r="F2292">
        <v>24</v>
      </c>
      <c r="G2292" s="21" t="s">
        <v>83</v>
      </c>
      <c r="H2292" s="21" t="s">
        <v>251</v>
      </c>
      <c r="I2292" s="21" t="s">
        <v>2695</v>
      </c>
    </row>
    <row r="2293" spans="1:9" x14ac:dyDescent="0.25">
      <c r="A2293" s="21" t="s">
        <v>2731</v>
      </c>
      <c r="B2293">
        <v>97</v>
      </c>
      <c r="C2293" s="21" t="s">
        <v>114</v>
      </c>
      <c r="D2293" s="21" t="s">
        <v>24</v>
      </c>
      <c r="E2293">
        <v>305</v>
      </c>
      <c r="F2293">
        <v>29</v>
      </c>
      <c r="G2293" s="21" t="s">
        <v>100</v>
      </c>
      <c r="H2293" s="21" t="s">
        <v>372</v>
      </c>
      <c r="I2293" s="21" t="s">
        <v>2695</v>
      </c>
    </row>
    <row r="2294" spans="1:9" x14ac:dyDescent="0.25">
      <c r="A2294" s="21" t="s">
        <v>2732</v>
      </c>
      <c r="B2294">
        <v>28</v>
      </c>
      <c r="C2294" s="21" t="s">
        <v>89</v>
      </c>
      <c r="D2294" s="21" t="s">
        <v>52</v>
      </c>
      <c r="E2294">
        <v>202</v>
      </c>
      <c r="F2294">
        <v>30</v>
      </c>
      <c r="G2294" s="21" t="s">
        <v>21</v>
      </c>
      <c r="H2294" s="21" t="s">
        <v>333</v>
      </c>
      <c r="I2294" s="21" t="s">
        <v>2695</v>
      </c>
    </row>
    <row r="2295" spans="1:9" x14ac:dyDescent="0.25">
      <c r="A2295" s="21" t="s">
        <v>2733</v>
      </c>
      <c r="B2295">
        <v>82</v>
      </c>
      <c r="C2295" s="21" t="s">
        <v>10</v>
      </c>
      <c r="D2295" s="21" t="s">
        <v>24</v>
      </c>
      <c r="E2295">
        <v>190</v>
      </c>
      <c r="F2295">
        <v>26</v>
      </c>
      <c r="G2295" s="21" t="s">
        <v>30</v>
      </c>
      <c r="H2295" s="21" t="s">
        <v>330</v>
      </c>
      <c r="I2295" s="21" t="s">
        <v>2695</v>
      </c>
    </row>
    <row r="2296" spans="1:9" x14ac:dyDescent="0.25">
      <c r="A2296" s="21" t="s">
        <v>2734</v>
      </c>
      <c r="B2296">
        <v>32</v>
      </c>
      <c r="C2296" s="21" t="s">
        <v>51</v>
      </c>
      <c r="D2296" s="21" t="s">
        <v>135</v>
      </c>
      <c r="E2296">
        <v>193</v>
      </c>
      <c r="F2296">
        <v>24</v>
      </c>
      <c r="G2296" s="21" t="s">
        <v>30</v>
      </c>
      <c r="H2296" s="21" t="s">
        <v>2328</v>
      </c>
      <c r="I2296" s="21" t="s">
        <v>2695</v>
      </c>
    </row>
    <row r="2297" spans="1:9" x14ac:dyDescent="0.25">
      <c r="A2297" s="21" t="s">
        <v>2735</v>
      </c>
      <c r="B2297">
        <v>1</v>
      </c>
      <c r="C2297" s="21" t="s">
        <v>70</v>
      </c>
      <c r="D2297" s="21" t="s">
        <v>52</v>
      </c>
      <c r="E2297">
        <v>223</v>
      </c>
      <c r="F2297">
        <v>23</v>
      </c>
      <c r="G2297" s="21" t="s">
        <v>12</v>
      </c>
      <c r="H2297" s="21" t="s">
        <v>187</v>
      </c>
      <c r="I2297" s="21" t="s">
        <v>2695</v>
      </c>
    </row>
    <row r="2298" spans="1:9" x14ac:dyDescent="0.25">
      <c r="A2298" s="21" t="s">
        <v>2736</v>
      </c>
      <c r="B2298">
        <v>75</v>
      </c>
      <c r="C2298" s="21" t="s">
        <v>319</v>
      </c>
      <c r="D2298" s="21" t="s">
        <v>24</v>
      </c>
      <c r="E2298">
        <v>254</v>
      </c>
      <c r="F2298">
        <v>24</v>
      </c>
      <c r="G2298" s="21" t="s">
        <v>30</v>
      </c>
      <c r="H2298" s="21" t="s">
        <v>471</v>
      </c>
      <c r="I2298" s="21" t="s">
        <v>2695</v>
      </c>
    </row>
    <row r="2299" spans="1:9" x14ac:dyDescent="0.25">
      <c r="A2299" s="21" t="s">
        <v>2737</v>
      </c>
      <c r="B2299">
        <v>80</v>
      </c>
      <c r="C2299" s="21" t="s">
        <v>57</v>
      </c>
      <c r="D2299" s="21" t="s">
        <v>20</v>
      </c>
      <c r="E2299">
        <v>249</v>
      </c>
      <c r="F2299">
        <v>24</v>
      </c>
      <c r="G2299" s="21" t="s">
        <v>30</v>
      </c>
      <c r="H2299" s="21" t="s">
        <v>504</v>
      </c>
      <c r="I2299" s="21" t="s">
        <v>2695</v>
      </c>
    </row>
    <row r="2300" spans="1:9" x14ac:dyDescent="0.25">
      <c r="A2300" s="21" t="s">
        <v>2738</v>
      </c>
      <c r="B2300">
        <v>38</v>
      </c>
      <c r="C2300" s="21" t="s">
        <v>48</v>
      </c>
      <c r="D2300" s="21" t="s">
        <v>54</v>
      </c>
      <c r="E2300">
        <v>190</v>
      </c>
      <c r="F2300">
        <v>24</v>
      </c>
      <c r="G2300" s="21" t="s">
        <v>25</v>
      </c>
      <c r="H2300" s="21" t="s">
        <v>233</v>
      </c>
      <c r="I2300" s="21" t="s">
        <v>2695</v>
      </c>
    </row>
    <row r="2301" spans="1:9" x14ac:dyDescent="0.25">
      <c r="A2301" s="21" t="s">
        <v>2739</v>
      </c>
      <c r="B2301">
        <v>65</v>
      </c>
      <c r="C2301" s="21" t="s">
        <v>140</v>
      </c>
      <c r="D2301" s="21" t="s">
        <v>67</v>
      </c>
      <c r="E2301">
        <v>325</v>
      </c>
      <c r="F2301">
        <v>32</v>
      </c>
      <c r="G2301" s="21" t="s">
        <v>111</v>
      </c>
      <c r="H2301" s="21" t="s">
        <v>187</v>
      </c>
      <c r="I2301" s="21" t="s">
        <v>2695</v>
      </c>
    </row>
    <row r="2302" spans="1:9" x14ac:dyDescent="0.25">
      <c r="A2302" s="21" t="s">
        <v>2740</v>
      </c>
      <c r="B2302">
        <v>58</v>
      </c>
      <c r="C2302" s="21" t="s">
        <v>15</v>
      </c>
      <c r="D2302" s="21" t="s">
        <v>11</v>
      </c>
      <c r="E2302">
        <v>235</v>
      </c>
      <c r="F2302">
        <v>24</v>
      </c>
      <c r="G2302" s="21" t="s">
        <v>25</v>
      </c>
      <c r="H2302" s="21" t="s">
        <v>1047</v>
      </c>
      <c r="I2302" s="21" t="s">
        <v>2695</v>
      </c>
    </row>
    <row r="2303" spans="1:9" x14ac:dyDescent="0.25">
      <c r="A2303" s="21" t="s">
        <v>2741</v>
      </c>
      <c r="B2303">
        <v>48</v>
      </c>
      <c r="C2303" s="21" t="s">
        <v>15</v>
      </c>
      <c r="D2303" s="21" t="s">
        <v>24</v>
      </c>
      <c r="E2303">
        <v>248</v>
      </c>
      <c r="F2303">
        <v>24</v>
      </c>
      <c r="G2303" s="21" t="s">
        <v>30</v>
      </c>
      <c r="H2303" s="21" t="s">
        <v>643</v>
      </c>
      <c r="I2303" s="21" t="s">
        <v>2695</v>
      </c>
    </row>
    <row r="2304" spans="1:9" x14ac:dyDescent="0.25">
      <c r="A2304" s="21" t="s">
        <v>2784</v>
      </c>
      <c r="B2304">
        <v>51</v>
      </c>
      <c r="C2304" s="21" t="s">
        <v>28</v>
      </c>
      <c r="D2304" s="21" t="s">
        <v>44</v>
      </c>
      <c r="E2304">
        <v>303</v>
      </c>
      <c r="F2304">
        <v>22</v>
      </c>
      <c r="G2304" s="21" t="s">
        <v>25</v>
      </c>
      <c r="H2304" s="21" t="s">
        <v>556</v>
      </c>
      <c r="I2304" s="21" t="s">
        <v>2695</v>
      </c>
    </row>
    <row r="2305" spans="1:9" x14ac:dyDescent="0.25">
      <c r="A2305" s="21" t="s">
        <v>2742</v>
      </c>
      <c r="B2305">
        <v>62</v>
      </c>
      <c r="C2305" s="21" t="s">
        <v>184</v>
      </c>
      <c r="D2305" s="21" t="s">
        <v>44</v>
      </c>
      <c r="E2305">
        <v>295</v>
      </c>
      <c r="F2305">
        <v>34</v>
      </c>
      <c r="G2305" s="21" t="s">
        <v>186</v>
      </c>
      <c r="H2305" s="21" t="s">
        <v>304</v>
      </c>
      <c r="I2305" s="21" t="s">
        <v>2695</v>
      </c>
    </row>
    <row r="2306" spans="1:9" x14ac:dyDescent="0.25">
      <c r="A2306" s="21" t="s">
        <v>2743</v>
      </c>
      <c r="B2306">
        <v>66</v>
      </c>
      <c r="C2306" s="21" t="s">
        <v>319</v>
      </c>
      <c r="D2306" s="21" t="s">
        <v>20</v>
      </c>
      <c r="E2306">
        <v>280</v>
      </c>
      <c r="F2306">
        <v>30</v>
      </c>
      <c r="G2306" s="21" t="s">
        <v>83</v>
      </c>
      <c r="H2306" s="21" t="s">
        <v>162</v>
      </c>
      <c r="I2306" s="21" t="s">
        <v>2695</v>
      </c>
    </row>
    <row r="2307" spans="1:9" x14ac:dyDescent="0.25">
      <c r="A2307" s="21" t="s">
        <v>2744</v>
      </c>
      <c r="B2307">
        <v>45</v>
      </c>
      <c r="C2307" s="21" t="s">
        <v>158</v>
      </c>
      <c r="D2307" s="21" t="s">
        <v>24</v>
      </c>
      <c r="E2307">
        <v>249</v>
      </c>
      <c r="F2307">
        <v>29</v>
      </c>
      <c r="G2307" s="21" t="s">
        <v>38</v>
      </c>
      <c r="H2307" s="21" t="s">
        <v>1341</v>
      </c>
      <c r="I2307" s="21" t="s">
        <v>2695</v>
      </c>
    </row>
    <row r="2308" spans="1:9" x14ac:dyDescent="0.25">
      <c r="A2308" s="21" t="s">
        <v>2745</v>
      </c>
      <c r="B2308">
        <v>29</v>
      </c>
      <c r="C2308" s="21" t="s">
        <v>48</v>
      </c>
      <c r="D2308" s="21" t="s">
        <v>135</v>
      </c>
      <c r="E2308">
        <v>184</v>
      </c>
      <c r="F2308">
        <v>26</v>
      </c>
      <c r="G2308" s="21" t="s">
        <v>45</v>
      </c>
      <c r="H2308" s="21" t="s">
        <v>128</v>
      </c>
      <c r="I2308" s="21" t="s">
        <v>2695</v>
      </c>
    </row>
    <row r="2309" spans="1:9" x14ac:dyDescent="0.25">
      <c r="A2309" s="21" t="s">
        <v>2746</v>
      </c>
      <c r="B2309">
        <v>68</v>
      </c>
      <c r="C2309" s="21" t="s">
        <v>140</v>
      </c>
      <c r="D2309" s="21" t="s">
        <v>141</v>
      </c>
      <c r="E2309">
        <v>365</v>
      </c>
      <c r="F2309">
        <v>25</v>
      </c>
      <c r="G2309" s="21" t="s">
        <v>45</v>
      </c>
      <c r="H2309" s="21" t="s">
        <v>940</v>
      </c>
      <c r="I2309" s="21" t="s">
        <v>2695</v>
      </c>
    </row>
    <row r="2310" spans="1:9" x14ac:dyDescent="0.25">
      <c r="A2310" s="21" t="s">
        <v>2747</v>
      </c>
      <c r="B2310">
        <v>41</v>
      </c>
      <c r="C2310" s="21" t="s">
        <v>89</v>
      </c>
      <c r="D2310" s="21" t="s">
        <v>11</v>
      </c>
      <c r="E2310">
        <v>205</v>
      </c>
      <c r="F2310">
        <v>24</v>
      </c>
      <c r="G2310" s="21" t="s">
        <v>83</v>
      </c>
      <c r="H2310" s="21" t="s">
        <v>233</v>
      </c>
      <c r="I2310" s="21" t="s">
        <v>2695</v>
      </c>
    </row>
    <row r="2311" spans="1:9" x14ac:dyDescent="0.25">
      <c r="A2311" s="21" t="s">
        <v>2748</v>
      </c>
      <c r="B2311">
        <v>37</v>
      </c>
      <c r="C2311" s="21" t="s">
        <v>48</v>
      </c>
      <c r="D2311" s="21" t="s">
        <v>11</v>
      </c>
      <c r="E2311">
        <v>185</v>
      </c>
      <c r="F2311">
        <v>24</v>
      </c>
      <c r="G2311" s="21" t="s">
        <v>30</v>
      </c>
      <c r="H2311" s="21" t="s">
        <v>629</v>
      </c>
      <c r="I2311" s="21" t="s">
        <v>2695</v>
      </c>
    </row>
    <row r="2312" spans="1:9" x14ac:dyDescent="0.25">
      <c r="A2312" s="21" t="s">
        <v>2749</v>
      </c>
      <c r="B2312">
        <v>27</v>
      </c>
      <c r="C2312" s="21" t="s">
        <v>48</v>
      </c>
      <c r="D2312" s="21" t="s">
        <v>54</v>
      </c>
      <c r="E2312">
        <v>191</v>
      </c>
      <c r="F2312">
        <v>24</v>
      </c>
      <c r="G2312" s="21" t="s">
        <v>30</v>
      </c>
      <c r="H2312" s="21" t="s">
        <v>101</v>
      </c>
      <c r="I2312" s="21" t="s">
        <v>2695</v>
      </c>
    </row>
    <row r="2313" spans="1:9" x14ac:dyDescent="0.25">
      <c r="A2313" s="21" t="s">
        <v>2750</v>
      </c>
      <c r="B2313">
        <v>10</v>
      </c>
      <c r="C2313" s="21" t="s">
        <v>70</v>
      </c>
      <c r="D2313" s="21" t="s">
        <v>52</v>
      </c>
      <c r="E2313">
        <v>225</v>
      </c>
      <c r="F2313">
        <v>26</v>
      </c>
      <c r="G2313" s="21" t="s">
        <v>16</v>
      </c>
      <c r="H2313" s="21" t="s">
        <v>370</v>
      </c>
      <c r="I2313" s="21" t="s">
        <v>2695</v>
      </c>
    </row>
    <row r="2314" spans="1:9" x14ac:dyDescent="0.25">
      <c r="A2314" s="21" t="s">
        <v>2751</v>
      </c>
      <c r="B2314">
        <v>47</v>
      </c>
      <c r="C2314" s="21" t="s">
        <v>48</v>
      </c>
      <c r="D2314" s="21" t="s">
        <v>54</v>
      </c>
      <c r="E2314">
        <v>182</v>
      </c>
      <c r="F2314">
        <v>26</v>
      </c>
      <c r="G2314" s="21" t="s">
        <v>16</v>
      </c>
      <c r="H2314" s="21" t="s">
        <v>288</v>
      </c>
      <c r="I2314" s="21" t="s">
        <v>2695</v>
      </c>
    </row>
    <row r="2315" spans="1:9" x14ac:dyDescent="0.25">
      <c r="A2315" s="21" t="s">
        <v>2752</v>
      </c>
      <c r="B2315">
        <v>78</v>
      </c>
      <c r="C2315" s="21" t="s">
        <v>277</v>
      </c>
      <c r="D2315" s="21" t="s">
        <v>35</v>
      </c>
      <c r="E2315">
        <v>305</v>
      </c>
      <c r="F2315">
        <v>25</v>
      </c>
      <c r="G2315" s="21" t="s">
        <v>12</v>
      </c>
      <c r="H2315" s="21" t="s">
        <v>509</v>
      </c>
      <c r="I2315" s="21" t="s">
        <v>2695</v>
      </c>
    </row>
    <row r="2316" spans="1:9" x14ac:dyDescent="0.25">
      <c r="A2316" s="21" t="s">
        <v>2753</v>
      </c>
      <c r="B2316">
        <v>3</v>
      </c>
      <c r="C2316" s="21" t="s">
        <v>10</v>
      </c>
      <c r="D2316" s="21" t="s">
        <v>24</v>
      </c>
      <c r="E2316">
        <v>215</v>
      </c>
      <c r="F2316">
        <v>27</v>
      </c>
      <c r="G2316" s="21" t="s">
        <v>45</v>
      </c>
      <c r="H2316" s="21" t="s">
        <v>1341</v>
      </c>
      <c r="I2316" s="21" t="s">
        <v>2695</v>
      </c>
    </row>
    <row r="2317" spans="1:9" x14ac:dyDescent="0.25">
      <c r="A2317" s="21" t="s">
        <v>2754</v>
      </c>
      <c r="B2317">
        <v>18</v>
      </c>
      <c r="C2317" s="21" t="s">
        <v>10</v>
      </c>
      <c r="D2317" s="21" t="s">
        <v>54</v>
      </c>
      <c r="E2317">
        <v>197</v>
      </c>
      <c r="F2317">
        <v>23</v>
      </c>
      <c r="G2317" s="21" t="s">
        <v>12</v>
      </c>
      <c r="H2317" s="21" t="s">
        <v>618</v>
      </c>
      <c r="I2317" s="21" t="s">
        <v>2695</v>
      </c>
    </row>
    <row r="2318" spans="1:9" x14ac:dyDescent="0.25">
      <c r="A2318" s="21" t="s">
        <v>2755</v>
      </c>
      <c r="B2318">
        <v>7</v>
      </c>
      <c r="C2318" s="21" t="s">
        <v>15</v>
      </c>
      <c r="D2318" s="21" t="s">
        <v>52</v>
      </c>
      <c r="E2318">
        <v>240</v>
      </c>
      <c r="F2318">
        <v>27</v>
      </c>
      <c r="G2318" s="21" t="s">
        <v>38</v>
      </c>
      <c r="H2318" s="21" t="s">
        <v>256</v>
      </c>
      <c r="I2318" s="21" t="s">
        <v>2695</v>
      </c>
    </row>
    <row r="2319" spans="1:9" x14ac:dyDescent="0.25">
      <c r="A2319" s="21" t="s">
        <v>2756</v>
      </c>
      <c r="B2319">
        <v>81</v>
      </c>
      <c r="C2319" s="21" t="s">
        <v>57</v>
      </c>
      <c r="D2319" s="21" t="s">
        <v>35</v>
      </c>
      <c r="E2319">
        <v>257</v>
      </c>
      <c r="F2319">
        <v>30</v>
      </c>
      <c r="G2319" s="21" t="s">
        <v>100</v>
      </c>
      <c r="H2319" s="21" t="s">
        <v>226</v>
      </c>
      <c r="I2319" s="21" t="s">
        <v>2695</v>
      </c>
    </row>
    <row r="2320" spans="1:9" x14ac:dyDescent="0.25">
      <c r="A2320" s="21" t="s">
        <v>2757</v>
      </c>
      <c r="B2320">
        <v>26</v>
      </c>
      <c r="C2320" s="21" t="s">
        <v>51</v>
      </c>
      <c r="D2320" s="21" t="s">
        <v>54</v>
      </c>
      <c r="E2320">
        <v>211</v>
      </c>
      <c r="F2320">
        <v>25</v>
      </c>
      <c r="G2320" s="21" t="s">
        <v>16</v>
      </c>
      <c r="H2320" s="21" t="s">
        <v>3251</v>
      </c>
      <c r="I2320" s="21" t="s">
        <v>2695</v>
      </c>
    </row>
    <row r="2321" spans="1:9" x14ac:dyDescent="0.25">
      <c r="A2321" s="21" t="s">
        <v>2758</v>
      </c>
      <c r="B2321">
        <v>35</v>
      </c>
      <c r="C2321" s="21" t="s">
        <v>51</v>
      </c>
      <c r="D2321" s="21" t="s">
        <v>1243</v>
      </c>
      <c r="E2321">
        <v>203</v>
      </c>
      <c r="F2321">
        <v>27</v>
      </c>
      <c r="G2321" s="21" t="s">
        <v>16</v>
      </c>
      <c r="H2321" s="21" t="s">
        <v>572</v>
      </c>
      <c r="I2321" s="21" t="s">
        <v>2695</v>
      </c>
    </row>
    <row r="2322" spans="1:9" x14ac:dyDescent="0.25">
      <c r="A2322" s="21" t="s">
        <v>2759</v>
      </c>
      <c r="B2322">
        <v>33</v>
      </c>
      <c r="C2322" s="21" t="s">
        <v>48</v>
      </c>
      <c r="D2322" s="21" t="s">
        <v>135</v>
      </c>
      <c r="E2322">
        <v>185</v>
      </c>
      <c r="F2322">
        <v>23</v>
      </c>
      <c r="G2322" s="21" t="s">
        <v>12</v>
      </c>
      <c r="H2322" s="21" t="s">
        <v>55</v>
      </c>
      <c r="I2322" s="21" t="s">
        <v>2695</v>
      </c>
    </row>
    <row r="2323" spans="1:9" x14ac:dyDescent="0.25">
      <c r="A2323" s="21" t="s">
        <v>2760</v>
      </c>
      <c r="B2323">
        <v>56</v>
      </c>
      <c r="C2323" s="21" t="s">
        <v>277</v>
      </c>
      <c r="D2323" s="21" t="s">
        <v>35</v>
      </c>
      <c r="E2323">
        <v>303</v>
      </c>
      <c r="F2323">
        <v>28</v>
      </c>
      <c r="G2323" s="21" t="s">
        <v>100</v>
      </c>
      <c r="H2323" s="21" t="s">
        <v>374</v>
      </c>
      <c r="I2323" s="21" t="s">
        <v>2695</v>
      </c>
    </row>
    <row r="2324" spans="1:9" x14ac:dyDescent="0.25">
      <c r="A2324" s="21" t="s">
        <v>2761</v>
      </c>
      <c r="B2324">
        <v>61</v>
      </c>
      <c r="C2324" s="21" t="s">
        <v>277</v>
      </c>
      <c r="D2324" s="21" t="s">
        <v>67</v>
      </c>
      <c r="E2324">
        <v>325</v>
      </c>
      <c r="F2324">
        <v>24</v>
      </c>
      <c r="G2324" s="21" t="s">
        <v>25</v>
      </c>
      <c r="H2324" s="21" t="s">
        <v>130</v>
      </c>
      <c r="I2324" s="21" t="s">
        <v>2695</v>
      </c>
    </row>
    <row r="2325" spans="1:9" x14ac:dyDescent="0.25">
      <c r="A2325" s="21" t="s">
        <v>2762</v>
      </c>
      <c r="B2325">
        <v>13</v>
      </c>
      <c r="C2325" s="21" t="s">
        <v>70</v>
      </c>
      <c r="D2325" s="21" t="s">
        <v>35</v>
      </c>
      <c r="E2325">
        <v>225</v>
      </c>
      <c r="F2325">
        <v>25</v>
      </c>
      <c r="G2325" s="21" t="s">
        <v>30</v>
      </c>
      <c r="H2325" s="21" t="s">
        <v>58</v>
      </c>
      <c r="I2325" s="21" t="s">
        <v>2695</v>
      </c>
    </row>
    <row r="2326" spans="1:9" x14ac:dyDescent="0.25">
      <c r="A2326" s="21" t="s">
        <v>2763</v>
      </c>
      <c r="B2326">
        <v>8</v>
      </c>
      <c r="C2326" s="21" t="s">
        <v>193</v>
      </c>
      <c r="D2326" s="21" t="s">
        <v>24</v>
      </c>
      <c r="E2326">
        <v>212</v>
      </c>
      <c r="F2326">
        <v>29</v>
      </c>
      <c r="G2326" s="21" t="s">
        <v>30</v>
      </c>
      <c r="H2326" s="21" t="s">
        <v>65</v>
      </c>
      <c r="I2326" s="21" t="s">
        <v>2695</v>
      </c>
    </row>
    <row r="2327" spans="1:9" x14ac:dyDescent="0.25">
      <c r="A2327" s="21" t="s">
        <v>2764</v>
      </c>
      <c r="B2327">
        <v>2</v>
      </c>
      <c r="C2327" s="21" t="s">
        <v>48</v>
      </c>
      <c r="D2327" s="21" t="s">
        <v>11</v>
      </c>
      <c r="E2327">
        <v>190</v>
      </c>
      <c r="F2327">
        <v>31</v>
      </c>
      <c r="G2327" s="21" t="s">
        <v>111</v>
      </c>
      <c r="H2327" s="21" t="s">
        <v>558</v>
      </c>
      <c r="I2327" s="21" t="s">
        <v>2695</v>
      </c>
    </row>
    <row r="2328" spans="1:9" x14ac:dyDescent="0.25">
      <c r="A2328" s="21" t="s">
        <v>2765</v>
      </c>
      <c r="B2328">
        <v>6</v>
      </c>
      <c r="C2328" s="21" t="s">
        <v>10</v>
      </c>
      <c r="D2328" s="21" t="s">
        <v>11</v>
      </c>
      <c r="E2328">
        <v>170</v>
      </c>
      <c r="F2328">
        <v>23</v>
      </c>
      <c r="G2328" s="21" t="s">
        <v>30</v>
      </c>
      <c r="H2328" s="21" t="s">
        <v>233</v>
      </c>
      <c r="I2328" s="21" t="s">
        <v>2695</v>
      </c>
    </row>
    <row r="2329" spans="1:9" x14ac:dyDescent="0.25">
      <c r="A2329" s="21" t="s">
        <v>2766</v>
      </c>
      <c r="B2329">
        <v>30</v>
      </c>
      <c r="C2329" s="21" t="s">
        <v>15</v>
      </c>
      <c r="D2329" s="21" t="s">
        <v>52</v>
      </c>
      <c r="E2329">
        <v>222</v>
      </c>
      <c r="F2329">
        <v>24</v>
      </c>
      <c r="G2329" s="21" t="s">
        <v>83</v>
      </c>
      <c r="H2329" s="21" t="s">
        <v>267</v>
      </c>
      <c r="I2329" s="21" t="s">
        <v>2695</v>
      </c>
    </row>
    <row r="2330" spans="1:9" x14ac:dyDescent="0.25">
      <c r="A2330" s="21" t="s">
        <v>2767</v>
      </c>
      <c r="B2330">
        <v>89</v>
      </c>
      <c r="C2330" s="21" t="s">
        <v>57</v>
      </c>
      <c r="D2330" s="21" t="s">
        <v>35</v>
      </c>
      <c r="E2330">
        <v>247</v>
      </c>
      <c r="F2330">
        <v>24</v>
      </c>
      <c r="G2330" s="21" t="s">
        <v>30</v>
      </c>
      <c r="H2330" s="21" t="s">
        <v>556</v>
      </c>
      <c r="I2330" s="21" t="s">
        <v>2695</v>
      </c>
    </row>
    <row r="2331" spans="1:9" x14ac:dyDescent="0.25">
      <c r="A2331" s="21" t="s">
        <v>2768</v>
      </c>
      <c r="B2331">
        <v>8</v>
      </c>
      <c r="C2331" s="21" t="s">
        <v>70</v>
      </c>
      <c r="D2331" s="21" t="s">
        <v>44</v>
      </c>
      <c r="E2331">
        <v>226</v>
      </c>
      <c r="F2331">
        <v>22</v>
      </c>
      <c r="G2331" s="21" t="s">
        <v>25</v>
      </c>
      <c r="H2331" s="21" t="s">
        <v>1074</v>
      </c>
      <c r="I2331" s="21" t="s">
        <v>2695</v>
      </c>
    </row>
    <row r="2332" spans="1:9" x14ac:dyDescent="0.25">
      <c r="A2332" s="21" t="s">
        <v>2769</v>
      </c>
      <c r="B2332">
        <v>94</v>
      </c>
      <c r="C2332" s="21" t="s">
        <v>319</v>
      </c>
      <c r="D2332" s="21" t="s">
        <v>29</v>
      </c>
      <c r="E2332">
        <v>265</v>
      </c>
      <c r="F2332">
        <v>25</v>
      </c>
      <c r="G2332" s="21" t="s">
        <v>45</v>
      </c>
      <c r="H2332" s="21" t="s">
        <v>241</v>
      </c>
      <c r="I2332" s="21" t="s">
        <v>2695</v>
      </c>
    </row>
    <row r="2333" spans="1:9" x14ac:dyDescent="0.25">
      <c r="A2333" s="21" t="s">
        <v>3258</v>
      </c>
      <c r="B2333">
        <v>23</v>
      </c>
      <c r="C2333" s="21" t="s">
        <v>89</v>
      </c>
      <c r="D2333" s="21" t="s">
        <v>52</v>
      </c>
      <c r="E2333">
        <v>215</v>
      </c>
      <c r="F2333">
        <v>30</v>
      </c>
      <c r="G2333" s="21" t="s">
        <v>21</v>
      </c>
      <c r="H2333" s="21" t="s">
        <v>1834</v>
      </c>
      <c r="I2333" s="21" t="s">
        <v>2695</v>
      </c>
    </row>
    <row r="2334" spans="1:9" x14ac:dyDescent="0.25">
      <c r="A2334" s="21" t="s">
        <v>2770</v>
      </c>
      <c r="B2334">
        <v>52</v>
      </c>
      <c r="C2334" s="21" t="s">
        <v>15</v>
      </c>
      <c r="D2334" s="21" t="s">
        <v>52</v>
      </c>
      <c r="E2334">
        <v>230</v>
      </c>
      <c r="F2334">
        <v>23</v>
      </c>
      <c r="G2334" s="21" t="s">
        <v>12</v>
      </c>
      <c r="H2334" s="21" t="s">
        <v>272</v>
      </c>
      <c r="I2334" s="21" t="s">
        <v>2695</v>
      </c>
    </row>
    <row r="2335" spans="1:9" x14ac:dyDescent="0.25">
      <c r="A2335" s="21" t="s">
        <v>2771</v>
      </c>
      <c r="B2335">
        <v>83</v>
      </c>
      <c r="C2335" s="21" t="s">
        <v>57</v>
      </c>
      <c r="D2335" s="21" t="s">
        <v>35</v>
      </c>
      <c r="E2335">
        <v>244</v>
      </c>
      <c r="F2335">
        <v>25</v>
      </c>
      <c r="G2335" s="21" t="s">
        <v>30</v>
      </c>
      <c r="H2335" s="21" t="s">
        <v>374</v>
      </c>
      <c r="I2335" s="21" t="s">
        <v>2695</v>
      </c>
    </row>
    <row r="2336" spans="1:9" x14ac:dyDescent="0.25">
      <c r="A2336" s="21" t="s">
        <v>2772</v>
      </c>
      <c r="B2336">
        <v>64</v>
      </c>
      <c r="C2336" s="21" t="s">
        <v>140</v>
      </c>
      <c r="D2336" s="21" t="s">
        <v>67</v>
      </c>
      <c r="E2336">
        <v>304</v>
      </c>
      <c r="F2336">
        <v>25</v>
      </c>
      <c r="G2336" s="21" t="s">
        <v>16</v>
      </c>
      <c r="H2336" s="21" t="s">
        <v>656</v>
      </c>
      <c r="I2336" s="21" t="s">
        <v>2695</v>
      </c>
    </row>
    <row r="2337" spans="1:9" x14ac:dyDescent="0.25">
      <c r="A2337" s="21" t="s">
        <v>2773</v>
      </c>
      <c r="B2337">
        <v>95</v>
      </c>
      <c r="C2337" s="21" t="s">
        <v>114</v>
      </c>
      <c r="D2337" s="21" t="s">
        <v>24</v>
      </c>
      <c r="E2337">
        <v>307</v>
      </c>
      <c r="F2337">
        <v>23</v>
      </c>
      <c r="G2337" s="21" t="s">
        <v>30</v>
      </c>
      <c r="H2337" s="21" t="s">
        <v>280</v>
      </c>
      <c r="I2337" s="21" t="s">
        <v>2695</v>
      </c>
    </row>
    <row r="2338" spans="1:9" x14ac:dyDescent="0.25">
      <c r="A2338" s="21" t="s">
        <v>2774</v>
      </c>
      <c r="B2338">
        <v>34</v>
      </c>
      <c r="C2338" s="21" t="s">
        <v>48</v>
      </c>
      <c r="D2338" s="21" t="s">
        <v>125</v>
      </c>
      <c r="E2338">
        <v>189</v>
      </c>
      <c r="F2338">
        <v>23</v>
      </c>
      <c r="G2338" s="21" t="s">
        <v>30</v>
      </c>
      <c r="H2338" s="21" t="s">
        <v>267</v>
      </c>
      <c r="I2338" s="21" t="s">
        <v>2695</v>
      </c>
    </row>
    <row r="2339" spans="1:9" x14ac:dyDescent="0.25">
      <c r="A2339" s="21" t="s">
        <v>2775</v>
      </c>
      <c r="B2339">
        <v>42</v>
      </c>
      <c r="C2339" s="21" t="s">
        <v>89</v>
      </c>
      <c r="D2339" s="21" t="s">
        <v>54</v>
      </c>
      <c r="E2339">
        <v>205</v>
      </c>
      <c r="F2339">
        <v>25</v>
      </c>
      <c r="G2339" s="21" t="s">
        <v>12</v>
      </c>
      <c r="H2339" s="21" t="s">
        <v>136</v>
      </c>
      <c r="I2339" s="21" t="s">
        <v>2695</v>
      </c>
    </row>
    <row r="2340" spans="1:9" x14ac:dyDescent="0.25">
      <c r="A2340" s="21" t="s">
        <v>2776</v>
      </c>
      <c r="B2340">
        <v>84</v>
      </c>
      <c r="C2340" s="21" t="s">
        <v>10</v>
      </c>
      <c r="D2340" s="21" t="s">
        <v>54</v>
      </c>
      <c r="E2340">
        <v>190</v>
      </c>
      <c r="F2340">
        <v>27</v>
      </c>
      <c r="G2340" s="21" t="s">
        <v>16</v>
      </c>
      <c r="H2340" s="21" t="s">
        <v>320</v>
      </c>
      <c r="I2340" s="21" t="s">
        <v>2695</v>
      </c>
    </row>
    <row r="2341" spans="1:9" x14ac:dyDescent="0.25">
      <c r="A2341" s="21" t="s">
        <v>2777</v>
      </c>
      <c r="B2341">
        <v>16</v>
      </c>
      <c r="C2341" s="21" t="s">
        <v>10</v>
      </c>
      <c r="D2341" s="21" t="s">
        <v>11</v>
      </c>
      <c r="E2341">
        <v>193</v>
      </c>
      <c r="F2341">
        <v>24</v>
      </c>
      <c r="G2341" s="21" t="s">
        <v>12</v>
      </c>
      <c r="H2341" s="21" t="s">
        <v>149</v>
      </c>
      <c r="I2341" s="21" t="s">
        <v>2695</v>
      </c>
    </row>
    <row r="2342" spans="1:9" x14ac:dyDescent="0.25">
      <c r="A2342" s="21" t="s">
        <v>2778</v>
      </c>
      <c r="B2342">
        <v>38</v>
      </c>
      <c r="C2342" s="21" t="s">
        <v>10</v>
      </c>
      <c r="D2342" s="21" t="s">
        <v>52</v>
      </c>
      <c r="E2342">
        <v>194</v>
      </c>
      <c r="F2342">
        <v>23</v>
      </c>
      <c r="G2342" s="21" t="s">
        <v>25</v>
      </c>
      <c r="H2342" s="21" t="s">
        <v>26</v>
      </c>
      <c r="I2342" s="21" t="s">
        <v>2695</v>
      </c>
    </row>
    <row r="2343" spans="1:9" x14ac:dyDescent="0.25">
      <c r="A2343" s="21" t="s">
        <v>2779</v>
      </c>
      <c r="B2343">
        <v>43</v>
      </c>
      <c r="C2343" s="21" t="s">
        <v>15</v>
      </c>
      <c r="D2343" s="21" t="s">
        <v>24</v>
      </c>
      <c r="E2343">
        <v>234</v>
      </c>
      <c r="F2343">
        <v>26</v>
      </c>
      <c r="G2343" s="21" t="s">
        <v>45</v>
      </c>
      <c r="H2343" s="21" t="s">
        <v>143</v>
      </c>
      <c r="I2343" s="21" t="s">
        <v>2695</v>
      </c>
    </row>
    <row r="2344" spans="1:9" x14ac:dyDescent="0.25">
      <c r="A2344" s="21" t="s">
        <v>2780</v>
      </c>
      <c r="B2344">
        <v>67</v>
      </c>
      <c r="C2344" s="21" t="s">
        <v>140</v>
      </c>
      <c r="D2344" s="21" t="s">
        <v>67</v>
      </c>
      <c r="E2344">
        <v>325</v>
      </c>
      <c r="F2344">
        <v>25</v>
      </c>
      <c r="G2344" s="21" t="s">
        <v>25</v>
      </c>
      <c r="H2344" s="21" t="s">
        <v>385</v>
      </c>
      <c r="I2344" s="21" t="s">
        <v>2695</v>
      </c>
    </row>
    <row r="2345" spans="1:9" x14ac:dyDescent="0.25">
      <c r="A2345" s="21" t="s">
        <v>2781</v>
      </c>
      <c r="B2345">
        <v>93</v>
      </c>
      <c r="C2345" s="21" t="s">
        <v>114</v>
      </c>
      <c r="D2345" s="21" t="s">
        <v>44</v>
      </c>
      <c r="E2345">
        <v>290</v>
      </c>
      <c r="F2345">
        <v>23</v>
      </c>
      <c r="G2345" s="21" t="s">
        <v>30</v>
      </c>
      <c r="H2345" s="21" t="s">
        <v>572</v>
      </c>
      <c r="I2345" s="21" t="s">
        <v>2695</v>
      </c>
    </row>
    <row r="2346" spans="1:9" x14ac:dyDescent="0.25">
      <c r="A2346" s="21" t="s">
        <v>2782</v>
      </c>
      <c r="B2346">
        <v>73</v>
      </c>
      <c r="C2346" s="21" t="s">
        <v>114</v>
      </c>
      <c r="D2346" s="21" t="s">
        <v>35</v>
      </c>
      <c r="E2346">
        <v>303</v>
      </c>
      <c r="F2346">
        <v>23</v>
      </c>
      <c r="G2346" s="21" t="s">
        <v>83</v>
      </c>
      <c r="H2346" s="21" t="s">
        <v>241</v>
      </c>
      <c r="I2346" s="21" t="s">
        <v>2695</v>
      </c>
    </row>
    <row r="2347" spans="1:9" x14ac:dyDescent="0.25">
      <c r="A2347" s="21" t="s">
        <v>2783</v>
      </c>
      <c r="B2347">
        <v>98</v>
      </c>
      <c r="C2347" s="21" t="s">
        <v>114</v>
      </c>
      <c r="D2347" s="21" t="s">
        <v>29</v>
      </c>
      <c r="E2347">
        <v>320</v>
      </c>
      <c r="F2347">
        <v>26</v>
      </c>
      <c r="G2347" s="21" t="s">
        <v>12</v>
      </c>
      <c r="H2347" s="21" t="s">
        <v>13</v>
      </c>
      <c r="I2347" s="21" t="s">
        <v>2695</v>
      </c>
    </row>
    <row r="2348" spans="1:9" x14ac:dyDescent="0.25">
      <c r="A2348" s="21" t="s">
        <v>555</v>
      </c>
      <c r="B2348">
        <v>22</v>
      </c>
      <c r="C2348" s="21" t="s">
        <v>51</v>
      </c>
      <c r="D2348" s="21" t="s">
        <v>135</v>
      </c>
      <c r="E2348">
        <v>203</v>
      </c>
      <c r="F2348">
        <v>29</v>
      </c>
      <c r="G2348" s="21" t="s">
        <v>21</v>
      </c>
      <c r="H2348" s="21" t="s">
        <v>556</v>
      </c>
      <c r="I2348" s="21" t="s">
        <v>554</v>
      </c>
    </row>
    <row r="2349" spans="1:9" x14ac:dyDescent="0.25">
      <c r="A2349" s="21" t="s">
        <v>557</v>
      </c>
      <c r="B2349">
        <v>24</v>
      </c>
      <c r="C2349" s="21" t="s">
        <v>89</v>
      </c>
      <c r="D2349" s="21" t="s">
        <v>11</v>
      </c>
      <c r="E2349">
        <v>205</v>
      </c>
      <c r="F2349">
        <v>25</v>
      </c>
      <c r="G2349" s="21" t="s">
        <v>16</v>
      </c>
      <c r="H2349" s="21" t="s">
        <v>558</v>
      </c>
      <c r="I2349" s="21" t="s">
        <v>554</v>
      </c>
    </row>
    <row r="2350" spans="1:9" x14ac:dyDescent="0.25">
      <c r="A2350" s="21" t="s">
        <v>559</v>
      </c>
      <c r="B2350">
        <v>17</v>
      </c>
      <c r="C2350" s="21" t="s">
        <v>10</v>
      </c>
      <c r="D2350" s="21" t="s">
        <v>52</v>
      </c>
      <c r="E2350">
        <v>215</v>
      </c>
      <c r="F2350">
        <v>29</v>
      </c>
      <c r="G2350" s="21" t="s">
        <v>64</v>
      </c>
      <c r="H2350" s="21" t="s">
        <v>26</v>
      </c>
      <c r="I2350" s="21" t="s">
        <v>554</v>
      </c>
    </row>
    <row r="2351" spans="1:9" x14ac:dyDescent="0.25">
      <c r="A2351" s="21" t="s">
        <v>560</v>
      </c>
      <c r="B2351">
        <v>29</v>
      </c>
      <c r="C2351" s="21" t="s">
        <v>48</v>
      </c>
      <c r="D2351" s="21" t="s">
        <v>54</v>
      </c>
      <c r="E2351">
        <v>185</v>
      </c>
      <c r="F2351">
        <v>27</v>
      </c>
      <c r="G2351" s="21" t="s">
        <v>45</v>
      </c>
      <c r="H2351" s="21" t="s">
        <v>233</v>
      </c>
      <c r="I2351" s="21" t="s">
        <v>554</v>
      </c>
    </row>
    <row r="2352" spans="1:9" x14ac:dyDescent="0.25">
      <c r="A2352" s="21" t="s">
        <v>561</v>
      </c>
      <c r="B2352">
        <v>64</v>
      </c>
      <c r="C2352" s="21" t="s">
        <v>28</v>
      </c>
      <c r="D2352" s="21" t="s">
        <v>29</v>
      </c>
      <c r="E2352">
        <v>334</v>
      </c>
      <c r="F2352">
        <v>26</v>
      </c>
      <c r="G2352" s="21" t="s">
        <v>16</v>
      </c>
      <c r="H2352" s="21" t="s">
        <v>31</v>
      </c>
      <c r="I2352" s="21" t="s">
        <v>554</v>
      </c>
    </row>
    <row r="2353" spans="1:9" x14ac:dyDescent="0.25">
      <c r="A2353" s="21" t="s">
        <v>562</v>
      </c>
      <c r="B2353">
        <v>78</v>
      </c>
      <c r="C2353" s="21" t="s">
        <v>140</v>
      </c>
      <c r="D2353" s="21" t="s">
        <v>20</v>
      </c>
      <c r="E2353">
        <v>302</v>
      </c>
      <c r="F2353">
        <v>26</v>
      </c>
      <c r="G2353" s="21" t="s">
        <v>16</v>
      </c>
      <c r="H2353" s="21" t="s">
        <v>194</v>
      </c>
      <c r="I2353" s="21" t="s">
        <v>554</v>
      </c>
    </row>
    <row r="2354" spans="1:9" x14ac:dyDescent="0.25">
      <c r="A2354" s="21" t="s">
        <v>563</v>
      </c>
      <c r="B2354">
        <v>97</v>
      </c>
      <c r="C2354" s="21" t="s">
        <v>114</v>
      </c>
      <c r="D2354" s="21" t="s">
        <v>52</v>
      </c>
      <c r="E2354">
        <v>311</v>
      </c>
      <c r="F2354">
        <v>27</v>
      </c>
      <c r="G2354" s="21" t="s">
        <v>38</v>
      </c>
      <c r="H2354" s="21" t="s">
        <v>87</v>
      </c>
      <c r="I2354" s="21" t="s">
        <v>554</v>
      </c>
    </row>
    <row r="2355" spans="1:9" x14ac:dyDescent="0.25">
      <c r="A2355" s="21" t="s">
        <v>564</v>
      </c>
      <c r="B2355">
        <v>34</v>
      </c>
      <c r="C2355" s="21" t="s">
        <v>51</v>
      </c>
      <c r="D2355" s="21" t="s">
        <v>54</v>
      </c>
      <c r="E2355">
        <v>220</v>
      </c>
      <c r="F2355">
        <v>32</v>
      </c>
      <c r="G2355" s="21" t="s">
        <v>111</v>
      </c>
      <c r="H2355" s="21" t="s">
        <v>516</v>
      </c>
      <c r="I2355" s="21" t="s">
        <v>554</v>
      </c>
    </row>
    <row r="2356" spans="1:9" x14ac:dyDescent="0.25">
      <c r="A2356" s="21" t="s">
        <v>565</v>
      </c>
      <c r="B2356">
        <v>96</v>
      </c>
      <c r="C2356" s="21" t="s">
        <v>319</v>
      </c>
      <c r="D2356" s="21" t="s">
        <v>29</v>
      </c>
      <c r="E2356">
        <v>250</v>
      </c>
      <c r="F2356">
        <v>27</v>
      </c>
      <c r="G2356" s="21" t="s">
        <v>45</v>
      </c>
      <c r="H2356" s="21" t="s">
        <v>267</v>
      </c>
      <c r="I2356" s="21" t="s">
        <v>554</v>
      </c>
    </row>
    <row r="2357" spans="1:9" x14ac:dyDescent="0.25">
      <c r="A2357" s="21" t="s">
        <v>566</v>
      </c>
      <c r="B2357">
        <v>82</v>
      </c>
      <c r="C2357" s="21" t="s">
        <v>57</v>
      </c>
      <c r="D2357" s="21" t="s">
        <v>35</v>
      </c>
      <c r="E2357">
        <v>265</v>
      </c>
      <c r="F2357">
        <v>26</v>
      </c>
      <c r="G2357" s="21" t="s">
        <v>30</v>
      </c>
      <c r="H2357" s="21" t="s">
        <v>3251</v>
      </c>
      <c r="I2357" s="21" t="s">
        <v>554</v>
      </c>
    </row>
    <row r="2358" spans="1:9" x14ac:dyDescent="0.25">
      <c r="A2358" s="21" t="s">
        <v>567</v>
      </c>
      <c r="B2358">
        <v>38</v>
      </c>
      <c r="C2358" s="21" t="s">
        <v>51</v>
      </c>
      <c r="D2358" s="21" t="s">
        <v>52</v>
      </c>
      <c r="E2358">
        <v>205</v>
      </c>
      <c r="F2358">
        <v>24</v>
      </c>
      <c r="G2358" s="21" t="s">
        <v>25</v>
      </c>
      <c r="H2358" s="21" t="s">
        <v>39</v>
      </c>
      <c r="I2358" s="21" t="s">
        <v>554</v>
      </c>
    </row>
    <row r="2359" spans="1:9" x14ac:dyDescent="0.25">
      <c r="A2359" s="21" t="s">
        <v>4800</v>
      </c>
      <c r="B2359">
        <v>46</v>
      </c>
      <c r="C2359" s="21" t="s">
        <v>48</v>
      </c>
      <c r="D2359" s="21" t="s">
        <v>11</v>
      </c>
      <c r="E2359">
        <v>185</v>
      </c>
      <c r="F2359">
        <v>24</v>
      </c>
      <c r="G2359" s="21" t="s">
        <v>83</v>
      </c>
      <c r="H2359" s="21" t="s">
        <v>754</v>
      </c>
      <c r="I2359" s="21" t="s">
        <v>554</v>
      </c>
    </row>
    <row r="2360" spans="1:9" x14ac:dyDescent="0.25">
      <c r="A2360" s="21" t="s">
        <v>568</v>
      </c>
      <c r="B2360">
        <v>50</v>
      </c>
      <c r="C2360" s="21" t="s">
        <v>15</v>
      </c>
      <c r="D2360" s="21" t="s">
        <v>11</v>
      </c>
      <c r="E2360">
        <v>226</v>
      </c>
      <c r="F2360">
        <v>27</v>
      </c>
      <c r="G2360" s="21" t="s">
        <v>38</v>
      </c>
      <c r="H2360" s="21" t="s">
        <v>39</v>
      </c>
      <c r="I2360" s="21" t="s">
        <v>554</v>
      </c>
    </row>
    <row r="2361" spans="1:9" x14ac:dyDescent="0.25">
      <c r="A2361" s="21" t="s">
        <v>569</v>
      </c>
      <c r="B2361">
        <v>58</v>
      </c>
      <c r="C2361" s="21" t="s">
        <v>15</v>
      </c>
      <c r="D2361" s="21" t="s">
        <v>125</v>
      </c>
      <c r="E2361">
        <v>221</v>
      </c>
      <c r="F2361">
        <v>22</v>
      </c>
      <c r="G2361" s="21" t="s">
        <v>25</v>
      </c>
      <c r="H2361" s="21" t="s">
        <v>13</v>
      </c>
      <c r="I2361" s="21" t="s">
        <v>554</v>
      </c>
    </row>
    <row r="2362" spans="1:9" x14ac:dyDescent="0.25">
      <c r="A2362" s="21" t="s">
        <v>570</v>
      </c>
      <c r="B2362">
        <v>73</v>
      </c>
      <c r="C2362" s="21" t="s">
        <v>114</v>
      </c>
      <c r="D2362" s="21" t="s">
        <v>35</v>
      </c>
      <c r="E2362">
        <v>295</v>
      </c>
      <c r="F2362">
        <v>23</v>
      </c>
      <c r="G2362" s="21" t="s">
        <v>25</v>
      </c>
      <c r="H2362" s="21" t="s">
        <v>104</v>
      </c>
      <c r="I2362" s="21" t="s">
        <v>554</v>
      </c>
    </row>
    <row r="2363" spans="1:9" x14ac:dyDescent="0.25">
      <c r="A2363" s="21" t="s">
        <v>573</v>
      </c>
      <c r="B2363">
        <v>2</v>
      </c>
      <c r="C2363" s="21" t="s">
        <v>76</v>
      </c>
      <c r="D2363" s="21" t="s">
        <v>29</v>
      </c>
      <c r="E2363">
        <v>215</v>
      </c>
      <c r="F2363">
        <v>27</v>
      </c>
      <c r="G2363" s="21" t="s">
        <v>45</v>
      </c>
      <c r="H2363" s="21" t="s">
        <v>65</v>
      </c>
      <c r="I2363" s="21" t="s">
        <v>554</v>
      </c>
    </row>
    <row r="2364" spans="1:9" x14ac:dyDescent="0.25">
      <c r="A2364" s="21" t="s">
        <v>574</v>
      </c>
      <c r="B2364">
        <v>4</v>
      </c>
      <c r="C2364" s="21" t="s">
        <v>70</v>
      </c>
      <c r="D2364" s="21" t="s">
        <v>44</v>
      </c>
      <c r="E2364">
        <v>210</v>
      </c>
      <c r="F2364">
        <v>31</v>
      </c>
      <c r="G2364" s="21" t="s">
        <v>64</v>
      </c>
      <c r="H2364" s="21" t="s">
        <v>26</v>
      </c>
      <c r="I2364" s="21" t="s">
        <v>554</v>
      </c>
    </row>
    <row r="2365" spans="1:9" x14ac:dyDescent="0.25">
      <c r="A2365" s="21" t="s">
        <v>575</v>
      </c>
      <c r="B2365">
        <v>6</v>
      </c>
      <c r="C2365" s="21" t="s">
        <v>193</v>
      </c>
      <c r="D2365" s="21" t="s">
        <v>35</v>
      </c>
      <c r="E2365">
        <v>220</v>
      </c>
      <c r="F2365">
        <v>26</v>
      </c>
      <c r="G2365" s="21" t="s">
        <v>16</v>
      </c>
      <c r="H2365" s="21" t="s">
        <v>106</v>
      </c>
      <c r="I2365" s="21" t="s">
        <v>554</v>
      </c>
    </row>
    <row r="2366" spans="1:9" x14ac:dyDescent="0.25">
      <c r="A2366" s="21" t="s">
        <v>576</v>
      </c>
      <c r="B2366">
        <v>84</v>
      </c>
      <c r="C2366" s="21" t="s">
        <v>10</v>
      </c>
      <c r="D2366" s="21" t="s">
        <v>52</v>
      </c>
      <c r="E2366">
        <v>194</v>
      </c>
      <c r="F2366">
        <v>29</v>
      </c>
      <c r="G2366" s="21" t="s">
        <v>38</v>
      </c>
      <c r="H2366" s="21" t="s">
        <v>577</v>
      </c>
      <c r="I2366" s="21" t="s">
        <v>554</v>
      </c>
    </row>
    <row r="2367" spans="1:9" x14ac:dyDescent="0.25">
      <c r="A2367" s="21" t="s">
        <v>578</v>
      </c>
      <c r="B2367">
        <v>42</v>
      </c>
      <c r="C2367" s="21" t="s">
        <v>89</v>
      </c>
      <c r="D2367" s="21" t="s">
        <v>11</v>
      </c>
      <c r="E2367">
        <v>203</v>
      </c>
      <c r="F2367">
        <v>23</v>
      </c>
      <c r="G2367" s="21" t="s">
        <v>25</v>
      </c>
      <c r="H2367" s="21" t="s">
        <v>231</v>
      </c>
      <c r="I2367" s="21" t="s">
        <v>554</v>
      </c>
    </row>
    <row r="2368" spans="1:9" x14ac:dyDescent="0.25">
      <c r="A2368" s="21" t="s">
        <v>579</v>
      </c>
      <c r="B2368">
        <v>44</v>
      </c>
      <c r="C2368" s="21" t="s">
        <v>48</v>
      </c>
      <c r="D2368" s="21" t="s">
        <v>125</v>
      </c>
      <c r="E2368">
        <v>188</v>
      </c>
      <c r="F2368">
        <v>23</v>
      </c>
      <c r="G2368" s="21" t="s">
        <v>25</v>
      </c>
      <c r="H2368" s="21" t="s">
        <v>261</v>
      </c>
      <c r="I2368" s="21" t="s">
        <v>554</v>
      </c>
    </row>
    <row r="2369" spans="1:9" x14ac:dyDescent="0.25">
      <c r="A2369" s="21" t="s">
        <v>580</v>
      </c>
      <c r="B2369">
        <v>67</v>
      </c>
      <c r="C2369" s="21" t="s">
        <v>277</v>
      </c>
      <c r="D2369" s="21" t="s">
        <v>35</v>
      </c>
      <c r="E2369">
        <v>335</v>
      </c>
      <c r="F2369">
        <v>26</v>
      </c>
      <c r="G2369" s="21" t="s">
        <v>83</v>
      </c>
      <c r="H2369" s="21" t="s">
        <v>233</v>
      </c>
      <c r="I2369" s="21" t="s">
        <v>554</v>
      </c>
    </row>
    <row r="2370" spans="1:9" x14ac:dyDescent="0.25">
      <c r="A2370" s="21" t="s">
        <v>581</v>
      </c>
      <c r="B2370">
        <v>98</v>
      </c>
      <c r="C2370" s="21" t="s">
        <v>319</v>
      </c>
      <c r="D2370" s="21" t="s">
        <v>29</v>
      </c>
      <c r="E2370">
        <v>255</v>
      </c>
      <c r="F2370">
        <v>24</v>
      </c>
      <c r="G2370" s="21" t="s">
        <v>16</v>
      </c>
      <c r="H2370" s="21" t="s">
        <v>582</v>
      </c>
      <c r="I2370" s="21" t="s">
        <v>554</v>
      </c>
    </row>
    <row r="2371" spans="1:9" x14ac:dyDescent="0.25">
      <c r="A2371" s="21" t="s">
        <v>583</v>
      </c>
      <c r="B2371">
        <v>5</v>
      </c>
      <c r="C2371" s="21" t="s">
        <v>15</v>
      </c>
      <c r="D2371" s="21" t="s">
        <v>44</v>
      </c>
      <c r="E2371">
        <v>226</v>
      </c>
      <c r="F2371">
        <v>23</v>
      </c>
      <c r="G2371" s="21" t="s">
        <v>30</v>
      </c>
      <c r="H2371" s="21" t="s">
        <v>357</v>
      </c>
      <c r="I2371" s="21" t="s">
        <v>554</v>
      </c>
    </row>
    <row r="2372" spans="1:9" x14ac:dyDescent="0.25">
      <c r="A2372" s="21" t="s">
        <v>584</v>
      </c>
      <c r="B2372">
        <v>23</v>
      </c>
      <c r="C2372" s="21" t="s">
        <v>51</v>
      </c>
      <c r="D2372" s="21" t="s">
        <v>52</v>
      </c>
      <c r="E2372">
        <v>211</v>
      </c>
      <c r="F2372">
        <v>28</v>
      </c>
      <c r="G2372" s="21" t="s">
        <v>100</v>
      </c>
      <c r="H2372" s="21" t="s">
        <v>233</v>
      </c>
      <c r="I2372" s="21" t="s">
        <v>554</v>
      </c>
    </row>
    <row r="2373" spans="1:9" x14ac:dyDescent="0.25">
      <c r="A2373" s="21" t="s">
        <v>585</v>
      </c>
      <c r="B2373">
        <v>72</v>
      </c>
      <c r="C2373" s="21" t="s">
        <v>28</v>
      </c>
      <c r="D2373" s="21" t="s">
        <v>35</v>
      </c>
      <c r="E2373">
        <v>345</v>
      </c>
      <c r="F2373">
        <v>27</v>
      </c>
      <c r="G2373" s="21" t="s">
        <v>38</v>
      </c>
      <c r="H2373" s="21" t="s">
        <v>152</v>
      </c>
      <c r="I2373" s="21" t="s">
        <v>554</v>
      </c>
    </row>
    <row r="2374" spans="1:9" x14ac:dyDescent="0.25">
      <c r="A2374" s="21" t="s">
        <v>586</v>
      </c>
      <c r="B2374">
        <v>57</v>
      </c>
      <c r="C2374" s="21" t="s">
        <v>15</v>
      </c>
      <c r="D2374" s="21" t="s">
        <v>29</v>
      </c>
      <c r="E2374">
        <v>245</v>
      </c>
      <c r="F2374">
        <v>30</v>
      </c>
      <c r="G2374" s="21" t="s">
        <v>100</v>
      </c>
      <c r="H2374" s="21" t="s">
        <v>439</v>
      </c>
      <c r="I2374" s="21" t="s">
        <v>554</v>
      </c>
    </row>
    <row r="2375" spans="1:9" x14ac:dyDescent="0.25">
      <c r="A2375" s="21" t="s">
        <v>4814</v>
      </c>
      <c r="C2375" s="21" t="s">
        <v>89</v>
      </c>
      <c r="D2375" s="21" t="s">
        <v>54</v>
      </c>
      <c r="E2375">
        <v>210</v>
      </c>
      <c r="F2375">
        <v>30</v>
      </c>
      <c r="G2375" s="21" t="s">
        <v>100</v>
      </c>
      <c r="H2375" s="21" t="s">
        <v>31</v>
      </c>
      <c r="I2375" s="21" t="s">
        <v>554</v>
      </c>
    </row>
    <row r="2376" spans="1:9" x14ac:dyDescent="0.25">
      <c r="A2376" s="21" t="s">
        <v>587</v>
      </c>
      <c r="B2376">
        <v>93</v>
      </c>
      <c r="C2376" s="21" t="s">
        <v>19</v>
      </c>
      <c r="D2376" s="21" t="s">
        <v>35</v>
      </c>
      <c r="E2376">
        <v>325</v>
      </c>
      <c r="F2376">
        <v>23</v>
      </c>
      <c r="G2376" s="21" t="s">
        <v>25</v>
      </c>
      <c r="H2376" s="21" t="s">
        <v>267</v>
      </c>
      <c r="I2376" s="21" t="s">
        <v>554</v>
      </c>
    </row>
    <row r="2377" spans="1:9" x14ac:dyDescent="0.25">
      <c r="A2377" s="21" t="s">
        <v>588</v>
      </c>
      <c r="B2377">
        <v>99</v>
      </c>
      <c r="C2377" s="21" t="s">
        <v>319</v>
      </c>
      <c r="D2377" s="21" t="s">
        <v>35</v>
      </c>
      <c r="E2377">
        <v>265</v>
      </c>
      <c r="F2377">
        <v>25</v>
      </c>
      <c r="G2377" s="21" t="s">
        <v>16</v>
      </c>
      <c r="H2377" s="21" t="s">
        <v>136</v>
      </c>
      <c r="I2377" s="21" t="s">
        <v>554</v>
      </c>
    </row>
    <row r="2378" spans="1:9" x14ac:dyDescent="0.25">
      <c r="A2378" s="21" t="s">
        <v>589</v>
      </c>
      <c r="B2378">
        <v>85</v>
      </c>
      <c r="C2378" s="21" t="s">
        <v>57</v>
      </c>
      <c r="D2378" s="21" t="s">
        <v>35</v>
      </c>
      <c r="E2378">
        <v>246</v>
      </c>
      <c r="F2378">
        <v>24</v>
      </c>
      <c r="G2378" s="21" t="s">
        <v>25</v>
      </c>
      <c r="H2378" s="21" t="s">
        <v>194</v>
      </c>
      <c r="I2378" s="21" t="s">
        <v>554</v>
      </c>
    </row>
    <row r="2379" spans="1:9" x14ac:dyDescent="0.25">
      <c r="A2379" s="21" t="s">
        <v>590</v>
      </c>
      <c r="B2379">
        <v>15</v>
      </c>
      <c r="C2379" s="21" t="s">
        <v>70</v>
      </c>
      <c r="D2379" s="21" t="s">
        <v>24</v>
      </c>
      <c r="E2379">
        <v>215</v>
      </c>
      <c r="F2379">
        <v>23</v>
      </c>
      <c r="G2379" s="21" t="s">
        <v>25</v>
      </c>
      <c r="H2379" s="21" t="s">
        <v>226</v>
      </c>
      <c r="I2379" s="21" t="s">
        <v>554</v>
      </c>
    </row>
    <row r="2380" spans="1:9" x14ac:dyDescent="0.25">
      <c r="A2380" s="21" t="s">
        <v>591</v>
      </c>
      <c r="B2380">
        <v>37</v>
      </c>
      <c r="C2380" s="21" t="s">
        <v>89</v>
      </c>
      <c r="D2380" s="21" t="s">
        <v>11</v>
      </c>
      <c r="E2380">
        <v>207</v>
      </c>
      <c r="F2380">
        <v>24</v>
      </c>
      <c r="G2380" s="21" t="s">
        <v>30</v>
      </c>
      <c r="H2380" s="21" t="s">
        <v>335</v>
      </c>
      <c r="I2380" s="21" t="s">
        <v>554</v>
      </c>
    </row>
    <row r="2381" spans="1:9" x14ac:dyDescent="0.25">
      <c r="A2381" s="21" t="s">
        <v>592</v>
      </c>
      <c r="B2381">
        <v>71</v>
      </c>
      <c r="C2381" s="21" t="s">
        <v>277</v>
      </c>
      <c r="D2381" s="21" t="s">
        <v>29</v>
      </c>
      <c r="E2381">
        <v>340</v>
      </c>
      <c r="F2381">
        <v>31</v>
      </c>
      <c r="G2381" s="21" t="s">
        <v>21</v>
      </c>
      <c r="H2381" s="21" t="s">
        <v>593</v>
      </c>
      <c r="I2381" s="21" t="s">
        <v>554</v>
      </c>
    </row>
    <row r="2382" spans="1:9" x14ac:dyDescent="0.25">
      <c r="A2382" s="21" t="s">
        <v>594</v>
      </c>
      <c r="B2382">
        <v>65</v>
      </c>
      <c r="C2382" s="21" t="s">
        <v>28</v>
      </c>
      <c r="D2382" s="21" t="s">
        <v>44</v>
      </c>
      <c r="E2382">
        <v>300</v>
      </c>
      <c r="F2382">
        <v>30</v>
      </c>
      <c r="G2382" s="21" t="s">
        <v>100</v>
      </c>
      <c r="H2382" s="21" t="s">
        <v>22</v>
      </c>
      <c r="I2382" s="21" t="s">
        <v>554</v>
      </c>
    </row>
    <row r="2383" spans="1:9" x14ac:dyDescent="0.25">
      <c r="A2383" s="21" t="s">
        <v>595</v>
      </c>
      <c r="B2383">
        <v>56</v>
      </c>
      <c r="C2383" s="21" t="s">
        <v>319</v>
      </c>
      <c r="D2383" s="21" t="s">
        <v>35</v>
      </c>
      <c r="E2383">
        <v>250</v>
      </c>
      <c r="F2383">
        <v>26</v>
      </c>
      <c r="G2383" s="21" t="s">
        <v>83</v>
      </c>
      <c r="H2383" s="21" t="s">
        <v>558</v>
      </c>
      <c r="I2383" s="21" t="s">
        <v>554</v>
      </c>
    </row>
    <row r="2384" spans="1:9" x14ac:dyDescent="0.25">
      <c r="A2384" s="21" t="s">
        <v>596</v>
      </c>
      <c r="B2384">
        <v>12</v>
      </c>
      <c r="C2384" s="21" t="s">
        <v>10</v>
      </c>
      <c r="D2384" s="21" t="s">
        <v>86</v>
      </c>
      <c r="E2384">
        <v>189</v>
      </c>
      <c r="F2384">
        <v>23</v>
      </c>
      <c r="G2384" s="21" t="s">
        <v>25</v>
      </c>
      <c r="H2384" s="21" t="s">
        <v>261</v>
      </c>
      <c r="I2384" s="21" t="s">
        <v>554</v>
      </c>
    </row>
    <row r="2385" spans="1:9" x14ac:dyDescent="0.25">
      <c r="A2385" s="21" t="s">
        <v>598</v>
      </c>
      <c r="B2385">
        <v>30</v>
      </c>
      <c r="C2385" s="21" t="s">
        <v>89</v>
      </c>
      <c r="D2385" s="21" t="s">
        <v>11</v>
      </c>
      <c r="E2385">
        <v>205</v>
      </c>
      <c r="F2385">
        <v>31</v>
      </c>
      <c r="G2385" s="21" t="s">
        <v>111</v>
      </c>
      <c r="H2385" s="21" t="s">
        <v>120</v>
      </c>
      <c r="I2385" s="21" t="s">
        <v>554</v>
      </c>
    </row>
    <row r="2386" spans="1:9" x14ac:dyDescent="0.25">
      <c r="A2386" s="21" t="s">
        <v>599</v>
      </c>
      <c r="B2386">
        <v>39</v>
      </c>
      <c r="C2386" s="21" t="s">
        <v>48</v>
      </c>
      <c r="D2386" s="21" t="s">
        <v>52</v>
      </c>
      <c r="E2386">
        <v>195</v>
      </c>
      <c r="F2386">
        <v>23</v>
      </c>
      <c r="G2386" s="21" t="s">
        <v>30</v>
      </c>
      <c r="H2386" s="21" t="s">
        <v>176</v>
      </c>
      <c r="I2386" s="21" t="s">
        <v>554</v>
      </c>
    </row>
    <row r="2387" spans="1:9" x14ac:dyDescent="0.25">
      <c r="A2387" s="21" t="s">
        <v>600</v>
      </c>
      <c r="B2387">
        <v>10</v>
      </c>
      <c r="C2387" s="21" t="s">
        <v>10</v>
      </c>
      <c r="D2387" s="21" t="s">
        <v>35</v>
      </c>
      <c r="E2387">
        <v>221</v>
      </c>
      <c r="F2387">
        <v>28</v>
      </c>
      <c r="G2387" s="21" t="s">
        <v>38</v>
      </c>
      <c r="H2387" s="21" t="s">
        <v>73</v>
      </c>
      <c r="I2387" s="21" t="s">
        <v>554</v>
      </c>
    </row>
    <row r="2388" spans="1:9" x14ac:dyDescent="0.25">
      <c r="A2388" s="21" t="s">
        <v>601</v>
      </c>
      <c r="B2388">
        <v>88</v>
      </c>
      <c r="C2388" s="21" t="s">
        <v>57</v>
      </c>
      <c r="D2388" s="21" t="s">
        <v>35</v>
      </c>
      <c r="E2388">
        <v>245</v>
      </c>
      <c r="F2388">
        <v>28</v>
      </c>
      <c r="G2388" s="21" t="s">
        <v>38</v>
      </c>
      <c r="H2388" s="21" t="s">
        <v>456</v>
      </c>
      <c r="I2388" s="21" t="s">
        <v>554</v>
      </c>
    </row>
    <row r="2389" spans="1:9" x14ac:dyDescent="0.25">
      <c r="A2389" s="21" t="s">
        <v>602</v>
      </c>
      <c r="B2389">
        <v>80</v>
      </c>
      <c r="C2389" s="21" t="s">
        <v>57</v>
      </c>
      <c r="D2389" s="21" t="s">
        <v>44</v>
      </c>
      <c r="E2389">
        <v>237</v>
      </c>
      <c r="F2389">
        <v>25</v>
      </c>
      <c r="G2389" s="21" t="s">
        <v>12</v>
      </c>
      <c r="H2389" s="21" t="s">
        <v>603</v>
      </c>
      <c r="I2389" s="21" t="s">
        <v>554</v>
      </c>
    </row>
    <row r="2390" spans="1:9" x14ac:dyDescent="0.25">
      <c r="A2390" s="21" t="s">
        <v>604</v>
      </c>
      <c r="B2390">
        <v>28</v>
      </c>
      <c r="C2390" s="21" t="s">
        <v>51</v>
      </c>
      <c r="D2390" s="21" t="s">
        <v>125</v>
      </c>
      <c r="E2390">
        <v>220</v>
      </c>
      <c r="F2390">
        <v>24</v>
      </c>
      <c r="G2390" s="21" t="s">
        <v>16</v>
      </c>
      <c r="H2390" s="21" t="s">
        <v>233</v>
      </c>
      <c r="I2390" s="21" t="s">
        <v>554</v>
      </c>
    </row>
    <row r="2391" spans="1:9" x14ac:dyDescent="0.25">
      <c r="A2391" s="21" t="s">
        <v>605</v>
      </c>
      <c r="B2391">
        <v>68</v>
      </c>
      <c r="C2391" s="21" t="s">
        <v>184</v>
      </c>
      <c r="D2391" s="21" t="s">
        <v>35</v>
      </c>
      <c r="E2391">
        <v>300</v>
      </c>
      <c r="F2391">
        <v>25</v>
      </c>
      <c r="G2391" s="21" t="s">
        <v>16</v>
      </c>
      <c r="H2391" s="21" t="s">
        <v>39</v>
      </c>
      <c r="I2391" s="21" t="s">
        <v>554</v>
      </c>
    </row>
    <row r="2392" spans="1:9" x14ac:dyDescent="0.25">
      <c r="A2392" s="21" t="s">
        <v>606</v>
      </c>
      <c r="B2392">
        <v>45</v>
      </c>
      <c r="C2392" s="21" t="s">
        <v>91</v>
      </c>
      <c r="D2392" s="21" t="s">
        <v>44</v>
      </c>
      <c r="E2392">
        <v>255</v>
      </c>
      <c r="F2392">
        <v>27</v>
      </c>
      <c r="G2392" s="21" t="s">
        <v>16</v>
      </c>
      <c r="H2392" s="21" t="s">
        <v>104</v>
      </c>
      <c r="I2392" s="21" t="s">
        <v>554</v>
      </c>
    </row>
    <row r="2393" spans="1:9" x14ac:dyDescent="0.25">
      <c r="A2393" s="21" t="s">
        <v>607</v>
      </c>
      <c r="B2393">
        <v>1</v>
      </c>
      <c r="C2393" s="21" t="s">
        <v>10</v>
      </c>
      <c r="D2393" s="21" t="s">
        <v>52</v>
      </c>
      <c r="E2393">
        <v>193</v>
      </c>
      <c r="F2393">
        <v>26</v>
      </c>
      <c r="G2393" s="21" t="s">
        <v>12</v>
      </c>
      <c r="H2393" s="21" t="s">
        <v>130</v>
      </c>
      <c r="I2393" s="21" t="s">
        <v>554</v>
      </c>
    </row>
    <row r="2394" spans="1:9" x14ac:dyDescent="0.25">
      <c r="A2394" s="21" t="s">
        <v>608</v>
      </c>
      <c r="B2394">
        <v>55</v>
      </c>
      <c r="C2394" s="21" t="s">
        <v>319</v>
      </c>
      <c r="D2394" s="21" t="s">
        <v>29</v>
      </c>
      <c r="E2394">
        <v>260</v>
      </c>
      <c r="F2394">
        <v>32</v>
      </c>
      <c r="G2394" s="21" t="s">
        <v>254</v>
      </c>
      <c r="H2394" s="21" t="s">
        <v>355</v>
      </c>
      <c r="I2394" s="21" t="s">
        <v>554</v>
      </c>
    </row>
    <row r="2395" spans="1:9" x14ac:dyDescent="0.25">
      <c r="A2395" s="21" t="s">
        <v>609</v>
      </c>
      <c r="B2395">
        <v>41</v>
      </c>
      <c r="C2395" s="21" t="s">
        <v>48</v>
      </c>
      <c r="D2395" s="21" t="s">
        <v>11</v>
      </c>
      <c r="E2395">
        <v>200</v>
      </c>
      <c r="F2395">
        <v>26</v>
      </c>
      <c r="G2395" s="21" t="s">
        <v>16</v>
      </c>
      <c r="H2395" s="21" t="s">
        <v>556</v>
      </c>
      <c r="I2395" s="21" t="s">
        <v>554</v>
      </c>
    </row>
    <row r="2396" spans="1:9" x14ac:dyDescent="0.25">
      <c r="A2396" s="21" t="s">
        <v>610</v>
      </c>
      <c r="B2396">
        <v>43</v>
      </c>
      <c r="C2396" s="21" t="s">
        <v>15</v>
      </c>
      <c r="D2396" s="21" t="s">
        <v>11</v>
      </c>
      <c r="E2396">
        <v>244</v>
      </c>
      <c r="F2396">
        <v>27</v>
      </c>
      <c r="G2396" s="21" t="s">
        <v>45</v>
      </c>
      <c r="H2396" s="21" t="s">
        <v>333</v>
      </c>
      <c r="I2396" s="21" t="s">
        <v>554</v>
      </c>
    </row>
    <row r="2397" spans="1:9" x14ac:dyDescent="0.25">
      <c r="A2397" s="21" t="s">
        <v>611</v>
      </c>
      <c r="B2397">
        <v>51</v>
      </c>
      <c r="C2397" s="21" t="s">
        <v>319</v>
      </c>
      <c r="D2397" s="21" t="s">
        <v>24</v>
      </c>
      <c r="E2397">
        <v>250</v>
      </c>
      <c r="F2397">
        <v>24</v>
      </c>
      <c r="G2397" s="21" t="s">
        <v>30</v>
      </c>
      <c r="H2397" s="21" t="s">
        <v>504</v>
      </c>
      <c r="I2397" s="21" t="s">
        <v>554</v>
      </c>
    </row>
    <row r="2398" spans="1:9" x14ac:dyDescent="0.25">
      <c r="A2398" s="21" t="s">
        <v>612</v>
      </c>
      <c r="B2398">
        <v>63</v>
      </c>
      <c r="C2398" s="21" t="s">
        <v>19</v>
      </c>
      <c r="D2398" s="21" t="s">
        <v>44</v>
      </c>
      <c r="E2398">
        <v>313</v>
      </c>
      <c r="F2398">
        <v>27</v>
      </c>
      <c r="G2398" s="21" t="s">
        <v>45</v>
      </c>
      <c r="H2398" s="21" t="s">
        <v>302</v>
      </c>
      <c r="I2398" s="21" t="s">
        <v>554</v>
      </c>
    </row>
    <row r="2399" spans="1:9" x14ac:dyDescent="0.25">
      <c r="A2399" s="21" t="s">
        <v>613</v>
      </c>
      <c r="B2399">
        <v>70</v>
      </c>
      <c r="C2399" s="21" t="s">
        <v>277</v>
      </c>
      <c r="D2399" s="21" t="s">
        <v>29</v>
      </c>
      <c r="E2399">
        <v>312</v>
      </c>
      <c r="F2399">
        <v>23</v>
      </c>
      <c r="G2399" s="21" t="s">
        <v>30</v>
      </c>
      <c r="H2399" s="21" t="s">
        <v>233</v>
      </c>
      <c r="I2399" s="21" t="s">
        <v>554</v>
      </c>
    </row>
    <row r="2400" spans="1:9" x14ac:dyDescent="0.25">
      <c r="A2400" s="21" t="s">
        <v>614</v>
      </c>
      <c r="B2400">
        <v>31</v>
      </c>
      <c r="C2400" s="21" t="s">
        <v>48</v>
      </c>
      <c r="D2400" s="21" t="s">
        <v>125</v>
      </c>
      <c r="E2400">
        <v>190</v>
      </c>
      <c r="F2400">
        <v>28</v>
      </c>
      <c r="G2400" s="21" t="s">
        <v>38</v>
      </c>
      <c r="H2400" s="21" t="s">
        <v>17</v>
      </c>
      <c r="I2400" s="21" t="s">
        <v>554</v>
      </c>
    </row>
    <row r="2401" spans="1:9" x14ac:dyDescent="0.25">
      <c r="A2401" s="21" t="s">
        <v>615</v>
      </c>
      <c r="B2401">
        <v>59</v>
      </c>
      <c r="C2401" s="21" t="s">
        <v>15</v>
      </c>
      <c r="D2401" s="21" t="s">
        <v>52</v>
      </c>
      <c r="E2401">
        <v>234</v>
      </c>
      <c r="F2401">
        <v>24</v>
      </c>
      <c r="G2401" s="21" t="s">
        <v>25</v>
      </c>
      <c r="H2401" s="21" t="s">
        <v>282</v>
      </c>
      <c r="I2401" s="21" t="s">
        <v>554</v>
      </c>
    </row>
    <row r="2402" spans="1:9" x14ac:dyDescent="0.25">
      <c r="A2402" s="21" t="s">
        <v>616</v>
      </c>
      <c r="B2402">
        <v>74</v>
      </c>
      <c r="C2402" s="21" t="s">
        <v>140</v>
      </c>
      <c r="D2402" s="21" t="s">
        <v>141</v>
      </c>
      <c r="E2402">
        <v>325</v>
      </c>
      <c r="F2402">
        <v>26</v>
      </c>
      <c r="G2402" s="21" t="s">
        <v>45</v>
      </c>
      <c r="H2402" s="21" t="s">
        <v>39</v>
      </c>
      <c r="I2402" s="21" t="s">
        <v>554</v>
      </c>
    </row>
    <row r="2403" spans="1:9" x14ac:dyDescent="0.25">
      <c r="A2403" s="21" t="s">
        <v>617</v>
      </c>
      <c r="B2403">
        <v>25</v>
      </c>
      <c r="C2403" s="21" t="s">
        <v>89</v>
      </c>
      <c r="D2403" s="21" t="s">
        <v>24</v>
      </c>
      <c r="E2403">
        <v>202</v>
      </c>
      <c r="F2403">
        <v>23</v>
      </c>
      <c r="G2403" s="21" t="s">
        <v>30</v>
      </c>
      <c r="H2403" s="21" t="s">
        <v>618</v>
      </c>
      <c r="I2403" s="21" t="s">
        <v>554</v>
      </c>
    </row>
    <row r="2404" spans="1:9" x14ac:dyDescent="0.25">
      <c r="A2404" s="21" t="s">
        <v>619</v>
      </c>
      <c r="B2404">
        <v>87</v>
      </c>
      <c r="C2404" s="21" t="s">
        <v>57</v>
      </c>
      <c r="D2404" s="21" t="s">
        <v>35</v>
      </c>
      <c r="E2404">
        <v>250</v>
      </c>
      <c r="F2404">
        <v>25</v>
      </c>
      <c r="G2404" s="21" t="s">
        <v>16</v>
      </c>
      <c r="H2404" s="21" t="s">
        <v>267</v>
      </c>
      <c r="I2404" s="21" t="s">
        <v>554</v>
      </c>
    </row>
    <row r="2405" spans="1:9" x14ac:dyDescent="0.25">
      <c r="A2405" s="21" t="s">
        <v>621</v>
      </c>
      <c r="B2405">
        <v>9</v>
      </c>
      <c r="C2405" s="21" t="s">
        <v>70</v>
      </c>
      <c r="D2405" s="21" t="s">
        <v>52</v>
      </c>
      <c r="E2405">
        <v>187</v>
      </c>
      <c r="F2405">
        <v>27</v>
      </c>
      <c r="G2405" s="21" t="s">
        <v>16</v>
      </c>
      <c r="H2405" s="21" t="s">
        <v>149</v>
      </c>
      <c r="I2405" s="21" t="s">
        <v>554</v>
      </c>
    </row>
    <row r="2406" spans="1:9" x14ac:dyDescent="0.25">
      <c r="A2406" s="21" t="s">
        <v>622</v>
      </c>
      <c r="B2406">
        <v>77</v>
      </c>
      <c r="C2406" s="21" t="s">
        <v>140</v>
      </c>
      <c r="D2406" s="21" t="s">
        <v>67</v>
      </c>
      <c r="E2406">
        <v>320</v>
      </c>
      <c r="F2406">
        <v>22</v>
      </c>
      <c r="G2406" s="21" t="s">
        <v>25</v>
      </c>
      <c r="H2406" s="21" t="s">
        <v>36</v>
      </c>
      <c r="I2406" s="21" t="s">
        <v>554</v>
      </c>
    </row>
    <row r="2407" spans="1:9" x14ac:dyDescent="0.25">
      <c r="A2407" s="21" t="s">
        <v>625</v>
      </c>
      <c r="B2407">
        <v>79</v>
      </c>
      <c r="C2407" s="21" t="s">
        <v>140</v>
      </c>
      <c r="D2407" s="21" t="s">
        <v>20</v>
      </c>
      <c r="E2407">
        <v>339</v>
      </c>
      <c r="G2407" s="21" t="s">
        <v>25</v>
      </c>
      <c r="H2407" s="21" t="s">
        <v>194</v>
      </c>
      <c r="I2407" s="21" t="s">
        <v>554</v>
      </c>
    </row>
    <row r="2408" spans="1:9" x14ac:dyDescent="0.25">
      <c r="A2408" s="21" t="s">
        <v>626</v>
      </c>
      <c r="B2408">
        <v>66</v>
      </c>
      <c r="C2408" s="21" t="s">
        <v>277</v>
      </c>
      <c r="D2408" s="21" t="s">
        <v>44</v>
      </c>
      <c r="E2408">
        <v>311</v>
      </c>
      <c r="F2408">
        <v>22</v>
      </c>
      <c r="G2408" s="21" t="s">
        <v>25</v>
      </c>
      <c r="H2408" s="21" t="s">
        <v>627</v>
      </c>
      <c r="I2408" s="21" t="s">
        <v>554</v>
      </c>
    </row>
    <row r="2409" spans="1:9" x14ac:dyDescent="0.25">
      <c r="A2409" s="21" t="s">
        <v>628</v>
      </c>
      <c r="B2409">
        <v>75</v>
      </c>
      <c r="C2409" s="21" t="s">
        <v>140</v>
      </c>
      <c r="D2409" s="21" t="s">
        <v>141</v>
      </c>
      <c r="E2409">
        <v>320</v>
      </c>
      <c r="F2409">
        <v>26</v>
      </c>
      <c r="G2409" s="21" t="s">
        <v>45</v>
      </c>
      <c r="H2409" s="21" t="s">
        <v>629</v>
      </c>
      <c r="I2409" s="21" t="s">
        <v>554</v>
      </c>
    </row>
    <row r="2410" spans="1:9" x14ac:dyDescent="0.25">
      <c r="A2410" s="21" t="s">
        <v>630</v>
      </c>
      <c r="B2410">
        <v>92</v>
      </c>
      <c r="C2410" s="21" t="s">
        <v>114</v>
      </c>
      <c r="D2410" s="21" t="s">
        <v>52</v>
      </c>
      <c r="E2410">
        <v>305</v>
      </c>
      <c r="F2410">
        <v>29</v>
      </c>
      <c r="G2410" s="21" t="s">
        <v>16</v>
      </c>
      <c r="H2410" s="21" t="s">
        <v>374</v>
      </c>
      <c r="I2410" s="21" t="s">
        <v>554</v>
      </c>
    </row>
    <row r="2411" spans="1:9" x14ac:dyDescent="0.25">
      <c r="A2411" s="21" t="s">
        <v>631</v>
      </c>
      <c r="B2411">
        <v>52</v>
      </c>
      <c r="C2411" s="21" t="s">
        <v>15</v>
      </c>
      <c r="D2411" s="21" t="s">
        <v>54</v>
      </c>
      <c r="E2411">
        <v>240</v>
      </c>
      <c r="F2411">
        <v>29</v>
      </c>
      <c r="G2411" s="21" t="s">
        <v>21</v>
      </c>
      <c r="H2411" s="21" t="s">
        <v>385</v>
      </c>
      <c r="I2411" s="21" t="s">
        <v>554</v>
      </c>
    </row>
    <row r="2412" spans="1:9" x14ac:dyDescent="0.25">
      <c r="A2412" s="21" t="s">
        <v>632</v>
      </c>
      <c r="B2412">
        <v>20</v>
      </c>
      <c r="C2412" s="21" t="s">
        <v>48</v>
      </c>
      <c r="D2412" s="21" t="s">
        <v>125</v>
      </c>
      <c r="E2412">
        <v>190</v>
      </c>
      <c r="F2412">
        <v>27</v>
      </c>
      <c r="G2412" s="21" t="s">
        <v>45</v>
      </c>
      <c r="H2412" s="21" t="s">
        <v>147</v>
      </c>
      <c r="I2412" s="21" t="s">
        <v>554</v>
      </c>
    </row>
    <row r="2413" spans="1:9" x14ac:dyDescent="0.25">
      <c r="A2413" s="21" t="s">
        <v>633</v>
      </c>
      <c r="B2413">
        <v>40</v>
      </c>
      <c r="C2413" s="21" t="s">
        <v>89</v>
      </c>
      <c r="D2413" s="21" t="s">
        <v>35</v>
      </c>
      <c r="E2413">
        <v>211</v>
      </c>
      <c r="F2413">
        <v>23</v>
      </c>
      <c r="G2413" s="21" t="s">
        <v>25</v>
      </c>
      <c r="H2413" s="21" t="s">
        <v>280</v>
      </c>
      <c r="I2413" s="21" t="s">
        <v>554</v>
      </c>
    </row>
    <row r="2414" spans="1:9" x14ac:dyDescent="0.25">
      <c r="A2414" s="21" t="s">
        <v>634</v>
      </c>
      <c r="B2414">
        <v>13</v>
      </c>
      <c r="C2414" s="21" t="s">
        <v>10</v>
      </c>
      <c r="D2414" s="21" t="s">
        <v>125</v>
      </c>
      <c r="E2414">
        <v>185</v>
      </c>
      <c r="F2414">
        <v>26</v>
      </c>
      <c r="G2414" s="21" t="s">
        <v>16</v>
      </c>
      <c r="H2414" s="21" t="s">
        <v>136</v>
      </c>
      <c r="I2414" s="21" t="s">
        <v>554</v>
      </c>
    </row>
    <row r="2415" spans="1:9" x14ac:dyDescent="0.25">
      <c r="A2415" s="21" t="s">
        <v>635</v>
      </c>
      <c r="B2415">
        <v>21</v>
      </c>
      <c r="C2415" s="21" t="s">
        <v>48</v>
      </c>
      <c r="D2415" s="21" t="s">
        <v>86</v>
      </c>
      <c r="E2415">
        <v>187</v>
      </c>
      <c r="F2415">
        <v>24</v>
      </c>
      <c r="G2415" s="21" t="s">
        <v>12</v>
      </c>
      <c r="H2415" s="21" t="s">
        <v>572</v>
      </c>
      <c r="I2415" s="21" t="s">
        <v>554</v>
      </c>
    </row>
    <row r="2416" spans="1:9" x14ac:dyDescent="0.25">
      <c r="A2416" s="21" t="s">
        <v>636</v>
      </c>
      <c r="B2416">
        <v>11</v>
      </c>
      <c r="C2416" s="21" t="s">
        <v>10</v>
      </c>
      <c r="D2416" s="21" t="s">
        <v>52</v>
      </c>
      <c r="E2416">
        <v>202</v>
      </c>
      <c r="F2416">
        <v>27</v>
      </c>
      <c r="G2416" s="21" t="s">
        <v>100</v>
      </c>
      <c r="H2416" s="21" t="s">
        <v>251</v>
      </c>
      <c r="I2416" s="21" t="s">
        <v>554</v>
      </c>
    </row>
    <row r="2417" spans="1:9" x14ac:dyDescent="0.25">
      <c r="A2417" s="21" t="s">
        <v>637</v>
      </c>
      <c r="B2417">
        <v>47</v>
      </c>
      <c r="C2417" s="21" t="s">
        <v>158</v>
      </c>
      <c r="D2417" s="21" t="s">
        <v>44</v>
      </c>
      <c r="E2417">
        <v>240</v>
      </c>
      <c r="F2417">
        <v>27</v>
      </c>
      <c r="G2417" s="21" t="s">
        <v>45</v>
      </c>
      <c r="H2417" s="21" t="s">
        <v>389</v>
      </c>
      <c r="I2417" s="21" t="s">
        <v>554</v>
      </c>
    </row>
    <row r="2418" spans="1:9" x14ac:dyDescent="0.25">
      <c r="A2418" s="21" t="s">
        <v>638</v>
      </c>
      <c r="B2418">
        <v>76</v>
      </c>
      <c r="C2418" s="21" t="s">
        <v>277</v>
      </c>
      <c r="D2418" s="21" t="s">
        <v>35</v>
      </c>
      <c r="E2418">
        <v>321</v>
      </c>
      <c r="F2418">
        <v>24</v>
      </c>
      <c r="G2418" s="21" t="s">
        <v>12</v>
      </c>
      <c r="H2418" s="21" t="s">
        <v>136</v>
      </c>
      <c r="I2418" s="21" t="s">
        <v>554</v>
      </c>
    </row>
    <row r="2419" spans="1:9" x14ac:dyDescent="0.25">
      <c r="A2419" s="21" t="s">
        <v>639</v>
      </c>
      <c r="B2419">
        <v>3</v>
      </c>
      <c r="C2419" s="21" t="s">
        <v>70</v>
      </c>
      <c r="D2419" s="21" t="s">
        <v>44</v>
      </c>
      <c r="E2419">
        <v>215</v>
      </c>
      <c r="F2419">
        <v>25</v>
      </c>
      <c r="G2419" s="21" t="s">
        <v>12</v>
      </c>
      <c r="H2419" s="21" t="s">
        <v>65</v>
      </c>
      <c r="I2419" s="21" t="s">
        <v>554</v>
      </c>
    </row>
    <row r="2420" spans="1:9" x14ac:dyDescent="0.25">
      <c r="A2420" s="21" t="s">
        <v>641</v>
      </c>
      <c r="B2420">
        <v>69</v>
      </c>
      <c r="C2420" s="21" t="s">
        <v>319</v>
      </c>
      <c r="D2420" s="21" t="s">
        <v>24</v>
      </c>
      <c r="E2420">
        <v>270</v>
      </c>
      <c r="F2420">
        <v>23</v>
      </c>
      <c r="G2420" s="21" t="s">
        <v>25</v>
      </c>
      <c r="H2420" s="21" t="s">
        <v>31</v>
      </c>
      <c r="I2420" s="21" t="s">
        <v>554</v>
      </c>
    </row>
    <row r="2421" spans="1:9" x14ac:dyDescent="0.25">
      <c r="A2421" s="21" t="s">
        <v>642</v>
      </c>
      <c r="B2421">
        <v>33</v>
      </c>
      <c r="C2421" s="21" t="s">
        <v>89</v>
      </c>
      <c r="D2421" s="21" t="s">
        <v>11</v>
      </c>
      <c r="E2421">
        <v>205</v>
      </c>
      <c r="F2421">
        <v>25</v>
      </c>
      <c r="G2421" s="21" t="s">
        <v>12</v>
      </c>
      <c r="H2421" s="21" t="s">
        <v>643</v>
      </c>
      <c r="I2421" s="21" t="s">
        <v>554</v>
      </c>
    </row>
    <row r="2422" spans="1:9" x14ac:dyDescent="0.25">
      <c r="A2422" s="21" t="s">
        <v>644</v>
      </c>
      <c r="B2422">
        <v>19</v>
      </c>
      <c r="C2422" s="21" t="s">
        <v>10</v>
      </c>
      <c r="D2422" s="21" t="s">
        <v>135</v>
      </c>
      <c r="E2422">
        <v>206</v>
      </c>
      <c r="F2422">
        <v>25</v>
      </c>
      <c r="G2422" s="21" t="s">
        <v>83</v>
      </c>
      <c r="H2422" s="21" t="s">
        <v>128</v>
      </c>
      <c r="I2422" s="21" t="s">
        <v>554</v>
      </c>
    </row>
    <row r="2423" spans="1:9" x14ac:dyDescent="0.25">
      <c r="A2423" s="21" t="s">
        <v>645</v>
      </c>
      <c r="B2423">
        <v>54</v>
      </c>
      <c r="C2423" s="21" t="s">
        <v>319</v>
      </c>
      <c r="D2423" s="21" t="s">
        <v>35</v>
      </c>
      <c r="E2423">
        <v>263</v>
      </c>
      <c r="F2423">
        <v>24</v>
      </c>
      <c r="G2423" s="21" t="s">
        <v>25</v>
      </c>
      <c r="H2423" s="21" t="s">
        <v>117</v>
      </c>
      <c r="I2423" s="21" t="s">
        <v>554</v>
      </c>
    </row>
    <row r="2424" spans="1:9" x14ac:dyDescent="0.25">
      <c r="A2424" s="21" t="s">
        <v>646</v>
      </c>
      <c r="B2424">
        <v>18</v>
      </c>
      <c r="C2424" s="21" t="s">
        <v>10</v>
      </c>
      <c r="D2424" s="21" t="s">
        <v>44</v>
      </c>
      <c r="E2424">
        <v>221</v>
      </c>
      <c r="F2424">
        <v>27</v>
      </c>
      <c r="G2424" s="21" t="s">
        <v>83</v>
      </c>
      <c r="H2424" s="21" t="s">
        <v>226</v>
      </c>
      <c r="I2424" s="21" t="s">
        <v>554</v>
      </c>
    </row>
    <row r="2425" spans="1:9" x14ac:dyDescent="0.25">
      <c r="A2425" s="21" t="s">
        <v>647</v>
      </c>
      <c r="B2425">
        <v>95</v>
      </c>
      <c r="C2425" s="21" t="s">
        <v>114</v>
      </c>
      <c r="D2425" s="21" t="s">
        <v>44</v>
      </c>
      <c r="E2425">
        <v>295</v>
      </c>
      <c r="F2425">
        <v>27</v>
      </c>
      <c r="G2425" s="21" t="s">
        <v>12</v>
      </c>
      <c r="H2425" s="21" t="s">
        <v>104</v>
      </c>
      <c r="I2425" s="21" t="s">
        <v>554</v>
      </c>
    </row>
    <row r="2426" spans="1:9" x14ac:dyDescent="0.25">
      <c r="A2426" s="21" t="s">
        <v>648</v>
      </c>
      <c r="B2426">
        <v>83</v>
      </c>
      <c r="C2426" s="21" t="s">
        <v>57</v>
      </c>
      <c r="D2426" s="21" t="s">
        <v>67</v>
      </c>
      <c r="E2426">
        <v>255</v>
      </c>
      <c r="F2426">
        <v>29</v>
      </c>
      <c r="G2426" s="21" t="s">
        <v>38</v>
      </c>
      <c r="H2426" s="21" t="s">
        <v>132</v>
      </c>
      <c r="I2426" s="21" t="s">
        <v>554</v>
      </c>
    </row>
    <row r="2427" spans="1:9" x14ac:dyDescent="0.25">
      <c r="A2427" s="21" t="s">
        <v>649</v>
      </c>
      <c r="B2427">
        <v>48</v>
      </c>
      <c r="C2427" s="21" t="s">
        <v>48</v>
      </c>
      <c r="D2427" s="21" t="s">
        <v>11</v>
      </c>
      <c r="E2427">
        <v>202</v>
      </c>
      <c r="F2427">
        <v>24</v>
      </c>
      <c r="G2427" s="21" t="s">
        <v>25</v>
      </c>
      <c r="H2427" s="21" t="s">
        <v>3253</v>
      </c>
      <c r="I2427" s="21" t="s">
        <v>554</v>
      </c>
    </row>
    <row r="2428" spans="1:9" x14ac:dyDescent="0.25">
      <c r="A2428" s="21" t="s">
        <v>650</v>
      </c>
      <c r="B2428">
        <v>60</v>
      </c>
      <c r="C2428" s="21" t="s">
        <v>140</v>
      </c>
      <c r="D2428" s="21" t="s">
        <v>67</v>
      </c>
      <c r="E2428">
        <v>265</v>
      </c>
      <c r="F2428">
        <v>25</v>
      </c>
      <c r="G2428" s="21" t="s">
        <v>83</v>
      </c>
      <c r="H2428" s="21" t="s">
        <v>651</v>
      </c>
      <c r="I2428" s="21" t="s">
        <v>554</v>
      </c>
    </row>
    <row r="2429" spans="1:9" x14ac:dyDescent="0.25">
      <c r="A2429" s="21" t="s">
        <v>652</v>
      </c>
      <c r="B2429">
        <v>35</v>
      </c>
      <c r="C2429" s="21" t="s">
        <v>51</v>
      </c>
      <c r="D2429" s="21" t="s">
        <v>11</v>
      </c>
      <c r="E2429">
        <v>215</v>
      </c>
      <c r="F2429">
        <v>22</v>
      </c>
      <c r="G2429" s="21" t="s">
        <v>25</v>
      </c>
      <c r="H2429" s="21" t="s">
        <v>196</v>
      </c>
      <c r="I2429" s="21" t="s">
        <v>554</v>
      </c>
    </row>
    <row r="2430" spans="1:9" x14ac:dyDescent="0.25">
      <c r="A2430" s="21" t="s">
        <v>653</v>
      </c>
      <c r="B2430">
        <v>26</v>
      </c>
      <c r="C2430" s="21" t="s">
        <v>48</v>
      </c>
      <c r="D2430" s="21" t="s">
        <v>11</v>
      </c>
      <c r="E2430">
        <v>190</v>
      </c>
      <c r="F2430">
        <v>26</v>
      </c>
      <c r="G2430" s="21" t="s">
        <v>16</v>
      </c>
      <c r="H2430" s="21" t="s">
        <v>256</v>
      </c>
      <c r="I2430" s="21" t="s">
        <v>554</v>
      </c>
    </row>
    <row r="2431" spans="1:9" x14ac:dyDescent="0.25">
      <c r="A2431" s="21" t="s">
        <v>654</v>
      </c>
      <c r="B2431">
        <v>53</v>
      </c>
      <c r="C2431" s="21" t="s">
        <v>15</v>
      </c>
      <c r="D2431" s="21" t="s">
        <v>52</v>
      </c>
      <c r="E2431">
        <v>235</v>
      </c>
      <c r="F2431">
        <v>27</v>
      </c>
      <c r="G2431" s="21" t="s">
        <v>45</v>
      </c>
      <c r="H2431" s="21" t="s">
        <v>39</v>
      </c>
      <c r="I2431" s="21" t="s">
        <v>554</v>
      </c>
    </row>
    <row r="2432" spans="1:9" x14ac:dyDescent="0.25">
      <c r="A2432" s="21" t="s">
        <v>4790</v>
      </c>
      <c r="B2432">
        <v>89</v>
      </c>
      <c r="C2432" s="21" t="s">
        <v>10</v>
      </c>
      <c r="D2432" s="21" t="s">
        <v>11</v>
      </c>
      <c r="E2432">
        <v>190</v>
      </c>
      <c r="F2432">
        <v>25</v>
      </c>
      <c r="G2432" s="21" t="s">
        <v>83</v>
      </c>
      <c r="H2432" s="21" t="s">
        <v>558</v>
      </c>
      <c r="I2432" s="21" t="s">
        <v>554</v>
      </c>
    </row>
    <row r="2433" spans="1:9" x14ac:dyDescent="0.25">
      <c r="A2433" s="21" t="s">
        <v>571</v>
      </c>
      <c r="B2433">
        <v>94</v>
      </c>
      <c r="C2433" s="21" t="s">
        <v>114</v>
      </c>
      <c r="D2433" s="21" t="s">
        <v>35</v>
      </c>
      <c r="E2433">
        <v>325</v>
      </c>
      <c r="F2433">
        <v>28</v>
      </c>
      <c r="G2433" s="21" t="s">
        <v>100</v>
      </c>
      <c r="H2433" s="21" t="s">
        <v>572</v>
      </c>
      <c r="I2433" s="21" t="s">
        <v>554</v>
      </c>
    </row>
    <row r="2434" spans="1:9" x14ac:dyDescent="0.25">
      <c r="A2434" s="21" t="s">
        <v>597</v>
      </c>
      <c r="B2434">
        <v>90</v>
      </c>
      <c r="C2434" s="21" t="s">
        <v>114</v>
      </c>
      <c r="D2434" s="21" t="s">
        <v>44</v>
      </c>
      <c r="E2434">
        <v>340</v>
      </c>
      <c r="F2434">
        <v>30</v>
      </c>
      <c r="G2434" s="21" t="s">
        <v>111</v>
      </c>
      <c r="H2434" s="21" t="s">
        <v>36</v>
      </c>
      <c r="I2434" s="21" t="s">
        <v>554</v>
      </c>
    </row>
    <row r="2435" spans="1:9" x14ac:dyDescent="0.25">
      <c r="A2435" s="21" t="s">
        <v>620</v>
      </c>
      <c r="B2435">
        <v>27</v>
      </c>
      <c r="C2435" s="21" t="s">
        <v>48</v>
      </c>
      <c r="D2435" s="21" t="s">
        <v>24</v>
      </c>
      <c r="E2435">
        <v>200</v>
      </c>
      <c r="F2435">
        <v>24</v>
      </c>
      <c r="G2435" s="21" t="s">
        <v>16</v>
      </c>
      <c r="H2435" s="21" t="s">
        <v>136</v>
      </c>
      <c r="I2435" s="21" t="s">
        <v>554</v>
      </c>
    </row>
    <row r="2436" spans="1:9" x14ac:dyDescent="0.25">
      <c r="A2436" s="21" t="s">
        <v>623</v>
      </c>
      <c r="B2436">
        <v>91</v>
      </c>
      <c r="C2436" s="21" t="s">
        <v>114</v>
      </c>
      <c r="D2436" s="21" t="s">
        <v>35</v>
      </c>
      <c r="E2436">
        <v>290</v>
      </c>
      <c r="F2436">
        <v>25</v>
      </c>
      <c r="G2436" s="21" t="s">
        <v>45</v>
      </c>
      <c r="H2436" s="21" t="s">
        <v>624</v>
      </c>
      <c r="I2436" s="21" t="s">
        <v>554</v>
      </c>
    </row>
    <row r="2437" spans="1:9" x14ac:dyDescent="0.25">
      <c r="A2437" s="21" t="s">
        <v>640</v>
      </c>
      <c r="B2437">
        <v>16</v>
      </c>
      <c r="C2437" s="21" t="s">
        <v>10</v>
      </c>
      <c r="D2437" s="21" t="s">
        <v>11</v>
      </c>
      <c r="E2437">
        <v>194</v>
      </c>
      <c r="F2437">
        <v>24</v>
      </c>
      <c r="G2437" s="21" t="s">
        <v>30</v>
      </c>
      <c r="H2437" s="21" t="s">
        <v>130</v>
      </c>
      <c r="I2437" s="21" t="s">
        <v>554</v>
      </c>
    </row>
    <row r="2438" spans="1:9" x14ac:dyDescent="0.25">
      <c r="A2438" s="21" t="s">
        <v>655</v>
      </c>
      <c r="B2438">
        <v>36</v>
      </c>
      <c r="C2438" s="21" t="s">
        <v>51</v>
      </c>
      <c r="D2438" s="21" t="s">
        <v>135</v>
      </c>
      <c r="E2438">
        <v>205</v>
      </c>
      <c r="F2438">
        <v>21</v>
      </c>
      <c r="G2438" s="21" t="s">
        <v>25</v>
      </c>
      <c r="H2438" s="21" t="s">
        <v>42</v>
      </c>
      <c r="I2438" s="21" t="s">
        <v>554</v>
      </c>
    </row>
    <row r="2439" spans="1:9" x14ac:dyDescent="0.25">
      <c r="A2439" s="21" t="s">
        <v>2130</v>
      </c>
      <c r="B2439">
        <v>33</v>
      </c>
      <c r="C2439" s="21" t="s">
        <v>2131</v>
      </c>
      <c r="D2439" s="21" t="s">
        <v>52</v>
      </c>
      <c r="E2439">
        <v>213</v>
      </c>
      <c r="F2439">
        <v>26</v>
      </c>
      <c r="G2439" s="21" t="s">
        <v>45</v>
      </c>
      <c r="H2439" s="21" t="s">
        <v>267</v>
      </c>
      <c r="I2439" s="21" t="s">
        <v>2129</v>
      </c>
    </row>
    <row r="2440" spans="1:9" x14ac:dyDescent="0.25">
      <c r="A2440" s="21" t="s">
        <v>2132</v>
      </c>
      <c r="B2440">
        <v>67</v>
      </c>
      <c r="C2440" s="21" t="s">
        <v>114</v>
      </c>
      <c r="D2440" s="21" t="s">
        <v>24</v>
      </c>
      <c r="E2440">
        <v>290</v>
      </c>
      <c r="F2440">
        <v>24</v>
      </c>
      <c r="G2440" s="21" t="s">
        <v>83</v>
      </c>
      <c r="H2440" s="21" t="s">
        <v>978</v>
      </c>
      <c r="I2440" s="21" t="s">
        <v>2129</v>
      </c>
    </row>
    <row r="2441" spans="1:9" x14ac:dyDescent="0.25">
      <c r="A2441" s="21" t="s">
        <v>2133</v>
      </c>
      <c r="B2441">
        <v>82</v>
      </c>
      <c r="C2441" s="21" t="s">
        <v>10</v>
      </c>
      <c r="D2441" s="21" t="s">
        <v>52</v>
      </c>
      <c r="E2441">
        <v>202</v>
      </c>
      <c r="F2441">
        <v>26</v>
      </c>
      <c r="G2441" s="21" t="s">
        <v>83</v>
      </c>
      <c r="H2441" s="21" t="s">
        <v>2134</v>
      </c>
      <c r="I2441" s="21" t="s">
        <v>2129</v>
      </c>
    </row>
    <row r="2442" spans="1:9" x14ac:dyDescent="0.25">
      <c r="A2442" s="21" t="s">
        <v>2135</v>
      </c>
      <c r="B2442">
        <v>28</v>
      </c>
      <c r="C2442" s="21" t="s">
        <v>287</v>
      </c>
      <c r="D2442" s="21" t="s">
        <v>135</v>
      </c>
      <c r="E2442">
        <v>201</v>
      </c>
      <c r="F2442">
        <v>25</v>
      </c>
      <c r="G2442" s="21" t="s">
        <v>16</v>
      </c>
      <c r="H2442" s="21" t="s">
        <v>22</v>
      </c>
      <c r="I2442" s="21" t="s">
        <v>2129</v>
      </c>
    </row>
    <row r="2443" spans="1:9" x14ac:dyDescent="0.25">
      <c r="A2443" s="21" t="s">
        <v>2136</v>
      </c>
      <c r="B2443">
        <v>57</v>
      </c>
      <c r="C2443" s="21" t="s">
        <v>15</v>
      </c>
      <c r="D2443" s="21" t="s">
        <v>24</v>
      </c>
      <c r="E2443">
        <v>237</v>
      </c>
      <c r="F2443">
        <v>25</v>
      </c>
      <c r="G2443" s="21" t="s">
        <v>16</v>
      </c>
      <c r="H2443" s="21" t="s">
        <v>194</v>
      </c>
      <c r="I2443" s="21" t="s">
        <v>2129</v>
      </c>
    </row>
    <row r="2444" spans="1:9" x14ac:dyDescent="0.25">
      <c r="A2444" s="21" t="s">
        <v>2137</v>
      </c>
      <c r="B2444">
        <v>44</v>
      </c>
      <c r="C2444" s="21" t="s">
        <v>15</v>
      </c>
      <c r="D2444" s="21" t="s">
        <v>52</v>
      </c>
      <c r="E2444">
        <v>250</v>
      </c>
      <c r="F2444">
        <v>33</v>
      </c>
      <c r="G2444" s="21" t="s">
        <v>186</v>
      </c>
      <c r="H2444" s="21" t="s">
        <v>442</v>
      </c>
      <c r="I2444" s="21" t="s">
        <v>2129</v>
      </c>
    </row>
    <row r="2445" spans="1:9" x14ac:dyDescent="0.25">
      <c r="A2445" s="21" t="s">
        <v>2138</v>
      </c>
      <c r="B2445">
        <v>27</v>
      </c>
      <c r="C2445" s="21" t="s">
        <v>287</v>
      </c>
      <c r="D2445" s="21" t="s">
        <v>52</v>
      </c>
      <c r="E2445">
        <v>196</v>
      </c>
      <c r="F2445">
        <v>25</v>
      </c>
      <c r="G2445" s="21" t="s">
        <v>16</v>
      </c>
      <c r="H2445" s="21" t="s">
        <v>194</v>
      </c>
      <c r="I2445" s="21" t="s">
        <v>2129</v>
      </c>
    </row>
    <row r="2446" spans="1:9" x14ac:dyDescent="0.25">
      <c r="A2446" s="21" t="s">
        <v>2139</v>
      </c>
      <c r="B2446">
        <v>35</v>
      </c>
      <c r="C2446" s="21" t="s">
        <v>287</v>
      </c>
      <c r="D2446" s="21" t="s">
        <v>52</v>
      </c>
      <c r="E2446">
        <v>201</v>
      </c>
      <c r="G2446" s="21" t="s">
        <v>25</v>
      </c>
      <c r="H2446" s="21" t="s">
        <v>333</v>
      </c>
      <c r="I2446" s="21" t="s">
        <v>2129</v>
      </c>
    </row>
    <row r="2447" spans="1:9" x14ac:dyDescent="0.25">
      <c r="A2447" s="21" t="s">
        <v>2140</v>
      </c>
      <c r="B2447">
        <v>63</v>
      </c>
      <c r="C2447" s="21" t="s">
        <v>277</v>
      </c>
      <c r="D2447" s="21" t="s">
        <v>24</v>
      </c>
      <c r="E2447">
        <v>298</v>
      </c>
      <c r="F2447">
        <v>30</v>
      </c>
      <c r="G2447" s="21" t="s">
        <v>100</v>
      </c>
      <c r="H2447" s="21" t="s">
        <v>117</v>
      </c>
      <c r="I2447" s="21" t="s">
        <v>2129</v>
      </c>
    </row>
    <row r="2448" spans="1:9" x14ac:dyDescent="0.25">
      <c r="A2448" s="21" t="s">
        <v>2141</v>
      </c>
      <c r="B2448">
        <v>36</v>
      </c>
      <c r="C2448" s="21" t="s">
        <v>2131</v>
      </c>
      <c r="D2448" s="21" t="s">
        <v>24</v>
      </c>
      <c r="E2448">
        <v>209</v>
      </c>
      <c r="F2448">
        <v>23</v>
      </c>
      <c r="G2448" s="21" t="s">
        <v>25</v>
      </c>
      <c r="H2448" s="21" t="s">
        <v>385</v>
      </c>
      <c r="I2448" s="21" t="s">
        <v>2129</v>
      </c>
    </row>
    <row r="2449" spans="1:9" x14ac:dyDescent="0.25">
      <c r="A2449" s="21" t="s">
        <v>2142</v>
      </c>
      <c r="B2449">
        <v>47</v>
      </c>
      <c r="C2449" s="21" t="s">
        <v>57</v>
      </c>
      <c r="D2449" s="21" t="s">
        <v>24</v>
      </c>
      <c r="E2449">
        <v>238</v>
      </c>
      <c r="F2449">
        <v>23</v>
      </c>
      <c r="G2449" s="21" t="s">
        <v>25</v>
      </c>
      <c r="H2449" s="21" t="s">
        <v>109</v>
      </c>
      <c r="I2449" s="21" t="s">
        <v>2129</v>
      </c>
    </row>
    <row r="2450" spans="1:9" x14ac:dyDescent="0.25">
      <c r="A2450" s="21" t="s">
        <v>2143</v>
      </c>
      <c r="B2450">
        <v>56</v>
      </c>
      <c r="C2450" s="21" t="s">
        <v>15</v>
      </c>
      <c r="D2450" s="21" t="s">
        <v>11</v>
      </c>
      <c r="E2450">
        <v>240</v>
      </c>
      <c r="F2450">
        <v>24</v>
      </c>
      <c r="G2450" s="21" t="s">
        <v>12</v>
      </c>
      <c r="H2450" s="21" t="s">
        <v>101</v>
      </c>
      <c r="I2450" s="21" t="s">
        <v>2129</v>
      </c>
    </row>
    <row r="2451" spans="1:9" x14ac:dyDescent="0.25">
      <c r="A2451" s="21" t="s">
        <v>2144</v>
      </c>
      <c r="B2451">
        <v>22</v>
      </c>
      <c r="C2451" s="21" t="s">
        <v>48</v>
      </c>
      <c r="D2451" s="21" t="s">
        <v>125</v>
      </c>
      <c r="E2451">
        <v>185</v>
      </c>
      <c r="F2451">
        <v>24</v>
      </c>
      <c r="G2451" s="21" t="s">
        <v>30</v>
      </c>
      <c r="H2451" s="21" t="s">
        <v>187</v>
      </c>
      <c r="I2451" s="21" t="s">
        <v>2129</v>
      </c>
    </row>
    <row r="2452" spans="1:9" x14ac:dyDescent="0.25">
      <c r="A2452" s="21" t="s">
        <v>2145</v>
      </c>
      <c r="B2452">
        <v>8</v>
      </c>
      <c r="C2452" s="21" t="s">
        <v>48</v>
      </c>
      <c r="D2452" s="21" t="s">
        <v>52</v>
      </c>
      <c r="E2452">
        <v>193</v>
      </c>
      <c r="F2452">
        <v>23</v>
      </c>
      <c r="G2452" s="21" t="s">
        <v>25</v>
      </c>
      <c r="H2452" s="21" t="s">
        <v>304</v>
      </c>
      <c r="I2452" s="21" t="s">
        <v>2129</v>
      </c>
    </row>
    <row r="2453" spans="1:9" x14ac:dyDescent="0.25">
      <c r="A2453" s="21" t="s">
        <v>2146</v>
      </c>
      <c r="B2453">
        <v>9</v>
      </c>
      <c r="C2453" s="21" t="s">
        <v>48</v>
      </c>
      <c r="D2453" s="21" t="s">
        <v>11</v>
      </c>
      <c r="E2453">
        <v>197</v>
      </c>
      <c r="F2453">
        <v>27</v>
      </c>
      <c r="G2453" s="21" t="s">
        <v>100</v>
      </c>
      <c r="H2453" s="21" t="s">
        <v>385</v>
      </c>
      <c r="I2453" s="21" t="s">
        <v>2129</v>
      </c>
    </row>
    <row r="2454" spans="1:9" x14ac:dyDescent="0.25">
      <c r="A2454" s="21" t="s">
        <v>2147</v>
      </c>
      <c r="B2454">
        <v>55</v>
      </c>
      <c r="C2454" s="21" t="s">
        <v>15</v>
      </c>
      <c r="D2454" s="21" t="s">
        <v>11</v>
      </c>
      <c r="E2454">
        <v>230</v>
      </c>
      <c r="F2454">
        <v>24</v>
      </c>
      <c r="G2454" s="21" t="s">
        <v>16</v>
      </c>
      <c r="H2454" s="21" t="s">
        <v>274</v>
      </c>
      <c r="I2454" s="21" t="s">
        <v>2129</v>
      </c>
    </row>
    <row r="2455" spans="1:9" x14ac:dyDescent="0.25">
      <c r="A2455" s="21" t="s">
        <v>2148</v>
      </c>
      <c r="B2455">
        <v>32</v>
      </c>
      <c r="C2455" s="21" t="s">
        <v>51</v>
      </c>
      <c r="D2455" s="21" t="s">
        <v>54</v>
      </c>
      <c r="E2455">
        <v>222</v>
      </c>
      <c r="F2455">
        <v>27</v>
      </c>
      <c r="G2455" s="21" t="s">
        <v>38</v>
      </c>
      <c r="H2455" s="21" t="s">
        <v>130</v>
      </c>
      <c r="I2455" s="21" t="s">
        <v>2129</v>
      </c>
    </row>
    <row r="2456" spans="1:9" x14ac:dyDescent="0.25">
      <c r="A2456" s="21" t="s">
        <v>2149</v>
      </c>
      <c r="B2456">
        <v>24</v>
      </c>
      <c r="C2456" s="21" t="s">
        <v>48</v>
      </c>
      <c r="D2456" s="21" t="s">
        <v>54</v>
      </c>
      <c r="E2456">
        <v>190</v>
      </c>
      <c r="F2456">
        <v>29</v>
      </c>
      <c r="G2456" s="21" t="s">
        <v>21</v>
      </c>
      <c r="H2456" s="21" t="s">
        <v>104</v>
      </c>
      <c r="I2456" s="21" t="s">
        <v>2129</v>
      </c>
    </row>
    <row r="2457" spans="1:9" x14ac:dyDescent="0.25">
      <c r="A2457" s="21" t="s">
        <v>2150</v>
      </c>
      <c r="B2457">
        <v>91</v>
      </c>
      <c r="C2457" s="21" t="s">
        <v>319</v>
      </c>
      <c r="D2457" s="21" t="s">
        <v>24</v>
      </c>
      <c r="E2457">
        <v>291</v>
      </c>
      <c r="F2457">
        <v>26</v>
      </c>
      <c r="G2457" s="21" t="s">
        <v>16</v>
      </c>
      <c r="H2457" s="21" t="s">
        <v>618</v>
      </c>
      <c r="I2457" s="21" t="s">
        <v>2129</v>
      </c>
    </row>
    <row r="2458" spans="1:9" x14ac:dyDescent="0.25">
      <c r="A2458" s="21" t="s">
        <v>2151</v>
      </c>
      <c r="B2458">
        <v>67</v>
      </c>
      <c r="C2458" s="21" t="s">
        <v>140</v>
      </c>
      <c r="D2458" s="21" t="s">
        <v>29</v>
      </c>
      <c r="E2458">
        <v>311</v>
      </c>
      <c r="F2458">
        <v>21</v>
      </c>
      <c r="G2458" s="21" t="s">
        <v>25</v>
      </c>
      <c r="H2458" s="21" t="s">
        <v>558</v>
      </c>
      <c r="I2458" s="21" t="s">
        <v>2129</v>
      </c>
    </row>
    <row r="2459" spans="1:9" x14ac:dyDescent="0.25">
      <c r="A2459" s="21" t="s">
        <v>2152</v>
      </c>
      <c r="B2459">
        <v>74</v>
      </c>
      <c r="C2459" s="21" t="s">
        <v>140</v>
      </c>
      <c r="D2459" s="21" t="s">
        <v>67</v>
      </c>
      <c r="E2459">
        <v>316</v>
      </c>
      <c r="F2459">
        <v>24</v>
      </c>
      <c r="G2459" s="21" t="s">
        <v>30</v>
      </c>
      <c r="H2459" s="21" t="s">
        <v>226</v>
      </c>
      <c r="I2459" s="21" t="s">
        <v>2129</v>
      </c>
    </row>
    <row r="2460" spans="1:9" x14ac:dyDescent="0.25">
      <c r="A2460" s="21" t="s">
        <v>2153</v>
      </c>
      <c r="B2460">
        <v>31</v>
      </c>
      <c r="C2460" s="21" t="s">
        <v>51</v>
      </c>
      <c r="D2460" s="21" t="s">
        <v>125</v>
      </c>
      <c r="E2460">
        <v>214</v>
      </c>
      <c r="F2460">
        <v>23</v>
      </c>
      <c r="G2460" s="21" t="s">
        <v>12</v>
      </c>
      <c r="H2460" s="21" t="s">
        <v>385</v>
      </c>
      <c r="I2460" s="21" t="s">
        <v>2129</v>
      </c>
    </row>
    <row r="2461" spans="1:9" x14ac:dyDescent="0.25">
      <c r="A2461" s="21" t="s">
        <v>2154</v>
      </c>
      <c r="B2461">
        <v>4</v>
      </c>
      <c r="C2461" s="21" t="s">
        <v>193</v>
      </c>
      <c r="D2461" s="21" t="s">
        <v>24</v>
      </c>
      <c r="E2461">
        <v>208</v>
      </c>
      <c r="F2461">
        <v>26</v>
      </c>
      <c r="G2461" s="21" t="s">
        <v>45</v>
      </c>
      <c r="H2461" s="21" t="s">
        <v>109</v>
      </c>
      <c r="I2461" s="21" t="s">
        <v>2129</v>
      </c>
    </row>
    <row r="2462" spans="1:9" x14ac:dyDescent="0.25">
      <c r="A2462" s="21" t="s">
        <v>2155</v>
      </c>
      <c r="B2462">
        <v>6</v>
      </c>
      <c r="C2462" s="21" t="s">
        <v>287</v>
      </c>
      <c r="D2462" s="21" t="s">
        <v>135</v>
      </c>
      <c r="E2462">
        <v>197</v>
      </c>
      <c r="F2462">
        <v>29</v>
      </c>
      <c r="G2462" s="21" t="s">
        <v>21</v>
      </c>
      <c r="H2462" s="21" t="s">
        <v>109</v>
      </c>
      <c r="I2462" s="21" t="s">
        <v>2129</v>
      </c>
    </row>
    <row r="2463" spans="1:9" x14ac:dyDescent="0.25">
      <c r="A2463" s="21" t="s">
        <v>2156</v>
      </c>
      <c r="B2463">
        <v>89</v>
      </c>
      <c r="C2463" s="21" t="s">
        <v>57</v>
      </c>
      <c r="D2463" s="21" t="s">
        <v>35</v>
      </c>
      <c r="E2463">
        <v>265</v>
      </c>
      <c r="F2463">
        <v>26</v>
      </c>
      <c r="G2463" s="21" t="s">
        <v>45</v>
      </c>
      <c r="H2463" s="21" t="s">
        <v>274</v>
      </c>
      <c r="I2463" s="21" t="s">
        <v>2129</v>
      </c>
    </row>
    <row r="2464" spans="1:9" x14ac:dyDescent="0.25">
      <c r="A2464" s="21" t="s">
        <v>2157</v>
      </c>
      <c r="B2464">
        <v>43</v>
      </c>
      <c r="C2464" s="21" t="s">
        <v>15</v>
      </c>
      <c r="D2464" s="21" t="s">
        <v>52</v>
      </c>
      <c r="E2464">
        <v>240</v>
      </c>
      <c r="F2464">
        <v>27</v>
      </c>
      <c r="G2464" s="21" t="s">
        <v>83</v>
      </c>
      <c r="H2464" s="21" t="s">
        <v>1611</v>
      </c>
      <c r="I2464" s="21" t="s">
        <v>2129</v>
      </c>
    </row>
    <row r="2465" spans="1:9" x14ac:dyDescent="0.25">
      <c r="A2465" s="21" t="s">
        <v>2158</v>
      </c>
      <c r="B2465">
        <v>17</v>
      </c>
      <c r="C2465" s="21" t="s">
        <v>70</v>
      </c>
      <c r="D2465" s="21" t="s">
        <v>67</v>
      </c>
      <c r="E2465">
        <v>231</v>
      </c>
      <c r="F2465">
        <v>24</v>
      </c>
      <c r="G2465" s="21" t="s">
        <v>12</v>
      </c>
      <c r="H2465" s="21" t="s">
        <v>274</v>
      </c>
      <c r="I2465" s="21" t="s">
        <v>2129</v>
      </c>
    </row>
    <row r="2466" spans="1:9" x14ac:dyDescent="0.25">
      <c r="A2466" s="21" t="s">
        <v>2159</v>
      </c>
      <c r="B2466">
        <v>75</v>
      </c>
      <c r="C2466" s="21" t="s">
        <v>140</v>
      </c>
      <c r="D2466" s="21" t="s">
        <v>141</v>
      </c>
      <c r="E2466">
        <v>321</v>
      </c>
      <c r="F2466">
        <v>24</v>
      </c>
      <c r="G2466" s="21" t="s">
        <v>83</v>
      </c>
      <c r="H2466" s="21" t="s">
        <v>558</v>
      </c>
      <c r="I2466" s="21" t="s">
        <v>2129</v>
      </c>
    </row>
    <row r="2467" spans="1:9" x14ac:dyDescent="0.25">
      <c r="A2467" s="21" t="s">
        <v>2160</v>
      </c>
      <c r="B2467">
        <v>1</v>
      </c>
      <c r="C2467" s="21" t="s">
        <v>10</v>
      </c>
      <c r="D2467" s="21" t="s">
        <v>135</v>
      </c>
      <c r="E2467">
        <v>190</v>
      </c>
      <c r="F2467">
        <v>25</v>
      </c>
      <c r="G2467" s="21" t="s">
        <v>30</v>
      </c>
      <c r="H2467" s="21" t="s">
        <v>147</v>
      </c>
      <c r="I2467" s="21" t="s">
        <v>2129</v>
      </c>
    </row>
    <row r="2468" spans="1:9" x14ac:dyDescent="0.25">
      <c r="A2468" s="21" t="s">
        <v>2161</v>
      </c>
      <c r="B2468">
        <v>87</v>
      </c>
      <c r="C2468" s="21" t="s">
        <v>57</v>
      </c>
      <c r="D2468" s="21" t="s">
        <v>35</v>
      </c>
      <c r="E2468">
        <v>249</v>
      </c>
      <c r="F2468">
        <v>24</v>
      </c>
      <c r="G2468" s="21" t="s">
        <v>16</v>
      </c>
      <c r="H2468" s="21" t="s">
        <v>117</v>
      </c>
      <c r="I2468" s="21" t="s">
        <v>2129</v>
      </c>
    </row>
    <row r="2469" spans="1:9" x14ac:dyDescent="0.25">
      <c r="A2469" s="21" t="s">
        <v>2162</v>
      </c>
      <c r="B2469">
        <v>97</v>
      </c>
      <c r="C2469" s="21" t="s">
        <v>114</v>
      </c>
      <c r="D2469" s="21" t="s">
        <v>54</v>
      </c>
      <c r="E2469">
        <v>310</v>
      </c>
      <c r="F2469">
        <v>26</v>
      </c>
      <c r="G2469" s="21" t="s">
        <v>45</v>
      </c>
      <c r="H2469" s="21" t="s">
        <v>109</v>
      </c>
      <c r="I2469" s="21" t="s">
        <v>2129</v>
      </c>
    </row>
    <row r="2470" spans="1:9" x14ac:dyDescent="0.25">
      <c r="A2470" s="21" t="s">
        <v>2163</v>
      </c>
      <c r="B2470">
        <v>78</v>
      </c>
      <c r="C2470" s="21" t="s">
        <v>140</v>
      </c>
      <c r="D2470" s="21" t="s">
        <v>141</v>
      </c>
      <c r="E2470">
        <v>307</v>
      </c>
      <c r="F2470">
        <v>24</v>
      </c>
      <c r="G2470" s="21" t="s">
        <v>30</v>
      </c>
      <c r="H2470" s="21" t="s">
        <v>251</v>
      </c>
      <c r="I2470" s="21" t="s">
        <v>2129</v>
      </c>
    </row>
    <row r="2471" spans="1:9" x14ac:dyDescent="0.25">
      <c r="A2471" s="21" t="s">
        <v>2164</v>
      </c>
      <c r="B2471">
        <v>13</v>
      </c>
      <c r="C2471" s="21" t="s">
        <v>10</v>
      </c>
      <c r="D2471" s="21" t="s">
        <v>54</v>
      </c>
      <c r="E2471">
        <v>188</v>
      </c>
      <c r="F2471">
        <v>24</v>
      </c>
      <c r="G2471" s="21" t="s">
        <v>83</v>
      </c>
      <c r="H2471" s="21" t="s">
        <v>274</v>
      </c>
      <c r="I2471" s="21" t="s">
        <v>2129</v>
      </c>
    </row>
    <row r="2472" spans="1:9" x14ac:dyDescent="0.25">
      <c r="A2472" s="21" t="s">
        <v>1961</v>
      </c>
      <c r="B2472">
        <v>61</v>
      </c>
      <c r="C2472" s="21" t="s">
        <v>28</v>
      </c>
      <c r="D2472" s="21" t="s">
        <v>29</v>
      </c>
      <c r="E2472">
        <v>320</v>
      </c>
      <c r="F2472">
        <v>28</v>
      </c>
      <c r="G2472" s="21" t="s">
        <v>16</v>
      </c>
      <c r="H2472" s="21" t="s">
        <v>87</v>
      </c>
      <c r="I2472" s="21" t="s">
        <v>2129</v>
      </c>
    </row>
    <row r="2473" spans="1:9" x14ac:dyDescent="0.25">
      <c r="A2473" s="21" t="s">
        <v>2165</v>
      </c>
      <c r="B2473">
        <v>65</v>
      </c>
      <c r="C2473" s="21" t="s">
        <v>277</v>
      </c>
      <c r="D2473" s="21" t="s">
        <v>24</v>
      </c>
      <c r="E2473">
        <v>301</v>
      </c>
      <c r="G2473" s="21" t="s">
        <v>25</v>
      </c>
      <c r="H2473" s="21" t="s">
        <v>2044</v>
      </c>
      <c r="I2473" s="21" t="s">
        <v>2129</v>
      </c>
    </row>
    <row r="2474" spans="1:9" x14ac:dyDescent="0.25">
      <c r="A2474" s="21" t="s">
        <v>2166</v>
      </c>
      <c r="B2474">
        <v>15</v>
      </c>
      <c r="C2474" s="21" t="s">
        <v>10</v>
      </c>
      <c r="D2474" s="21" t="s">
        <v>135</v>
      </c>
      <c r="E2474">
        <v>179</v>
      </c>
      <c r="F2474">
        <v>31</v>
      </c>
      <c r="G2474" s="21" t="s">
        <v>64</v>
      </c>
      <c r="H2474" s="21" t="s">
        <v>109</v>
      </c>
      <c r="I2474" s="21" t="s">
        <v>2129</v>
      </c>
    </row>
    <row r="2475" spans="1:9" x14ac:dyDescent="0.25">
      <c r="A2475" s="21" t="s">
        <v>2167</v>
      </c>
      <c r="B2475">
        <v>73</v>
      </c>
      <c r="C2475" s="21" t="s">
        <v>114</v>
      </c>
      <c r="D2475" s="21" t="s">
        <v>52</v>
      </c>
      <c r="E2475">
        <v>341</v>
      </c>
      <c r="G2475" s="21" t="s">
        <v>25</v>
      </c>
      <c r="H2475" s="21" t="s">
        <v>1071</v>
      </c>
      <c r="I2475" s="21" t="s">
        <v>2129</v>
      </c>
    </row>
    <row r="2476" spans="1:9" x14ac:dyDescent="0.25">
      <c r="A2476" s="21" t="s">
        <v>2168</v>
      </c>
      <c r="B2476">
        <v>93</v>
      </c>
      <c r="C2476" s="21" t="s">
        <v>319</v>
      </c>
      <c r="D2476" s="21" t="s">
        <v>24</v>
      </c>
      <c r="E2476">
        <v>288</v>
      </c>
      <c r="F2476">
        <v>30</v>
      </c>
      <c r="G2476" s="21" t="s">
        <v>21</v>
      </c>
      <c r="H2476" s="21" t="s">
        <v>849</v>
      </c>
      <c r="I2476" s="21" t="s">
        <v>2129</v>
      </c>
    </row>
    <row r="2477" spans="1:9" x14ac:dyDescent="0.25">
      <c r="A2477" s="21" t="s">
        <v>2169</v>
      </c>
      <c r="B2477">
        <v>19</v>
      </c>
      <c r="C2477" s="21" t="s">
        <v>10</v>
      </c>
      <c r="D2477" s="21" t="s">
        <v>86</v>
      </c>
      <c r="E2477">
        <v>180</v>
      </c>
      <c r="F2477">
        <v>26</v>
      </c>
      <c r="G2477" s="21" t="s">
        <v>12</v>
      </c>
      <c r="H2477" s="21" t="s">
        <v>2044</v>
      </c>
      <c r="I2477" s="21" t="s">
        <v>2129</v>
      </c>
    </row>
    <row r="2478" spans="1:9" x14ac:dyDescent="0.25">
      <c r="A2478" s="21" t="s">
        <v>2170</v>
      </c>
      <c r="B2478">
        <v>60</v>
      </c>
      <c r="C2478" s="21" t="s">
        <v>277</v>
      </c>
      <c r="D2478" s="21" t="s">
        <v>35</v>
      </c>
      <c r="E2478">
        <v>322</v>
      </c>
      <c r="F2478">
        <v>26</v>
      </c>
      <c r="G2478" s="21" t="s">
        <v>16</v>
      </c>
      <c r="H2478" s="21" t="s">
        <v>282</v>
      </c>
      <c r="I2478" s="21" t="s">
        <v>2129</v>
      </c>
    </row>
    <row r="2479" spans="1:9" x14ac:dyDescent="0.25">
      <c r="A2479" s="21" t="s">
        <v>2171</v>
      </c>
      <c r="B2479">
        <v>62</v>
      </c>
      <c r="C2479" s="21" t="s">
        <v>114</v>
      </c>
      <c r="D2479" s="21" t="s">
        <v>52</v>
      </c>
      <c r="E2479">
        <v>290</v>
      </c>
      <c r="F2479">
        <v>24</v>
      </c>
      <c r="G2479" s="21" t="s">
        <v>83</v>
      </c>
      <c r="H2479" s="21" t="s">
        <v>357</v>
      </c>
      <c r="I2479" s="21" t="s">
        <v>2129</v>
      </c>
    </row>
    <row r="2480" spans="1:9" x14ac:dyDescent="0.25">
      <c r="A2480" s="21" t="s">
        <v>2172</v>
      </c>
      <c r="B2480">
        <v>25</v>
      </c>
      <c r="C2480" s="21" t="s">
        <v>51</v>
      </c>
      <c r="D2480" s="21" t="s">
        <v>125</v>
      </c>
      <c r="E2480">
        <v>202</v>
      </c>
      <c r="F2480">
        <v>23</v>
      </c>
      <c r="G2480" s="21" t="s">
        <v>16</v>
      </c>
      <c r="H2480" s="21" t="s">
        <v>385</v>
      </c>
      <c r="I2480" s="21" t="s">
        <v>2129</v>
      </c>
    </row>
    <row r="2481" spans="1:9" x14ac:dyDescent="0.25">
      <c r="A2481" s="21" t="s">
        <v>4791</v>
      </c>
      <c r="B2481">
        <v>51</v>
      </c>
      <c r="C2481" s="21" t="s">
        <v>15</v>
      </c>
      <c r="D2481" s="21" t="s">
        <v>52</v>
      </c>
      <c r="E2481">
        <v>230</v>
      </c>
      <c r="F2481">
        <v>26</v>
      </c>
      <c r="G2481" s="21" t="s">
        <v>45</v>
      </c>
      <c r="H2481" s="21" t="s">
        <v>284</v>
      </c>
      <c r="I2481" s="21" t="s">
        <v>2129</v>
      </c>
    </row>
    <row r="2482" spans="1:9" x14ac:dyDescent="0.25">
      <c r="A2482" s="21" t="s">
        <v>2173</v>
      </c>
      <c r="B2482">
        <v>66</v>
      </c>
      <c r="C2482" s="21" t="s">
        <v>277</v>
      </c>
      <c r="D2482" s="21" t="s">
        <v>44</v>
      </c>
      <c r="E2482">
        <v>335</v>
      </c>
      <c r="F2482">
        <v>31</v>
      </c>
      <c r="G2482" s="21" t="s">
        <v>64</v>
      </c>
      <c r="H2482" s="21" t="s">
        <v>558</v>
      </c>
      <c r="I2482" s="21" t="s">
        <v>2129</v>
      </c>
    </row>
    <row r="2483" spans="1:9" x14ac:dyDescent="0.25">
      <c r="A2483" s="21" t="s">
        <v>2174</v>
      </c>
      <c r="B2483">
        <v>30</v>
      </c>
      <c r="C2483" s="21" t="s">
        <v>48</v>
      </c>
      <c r="D2483" s="21" t="s">
        <v>52</v>
      </c>
      <c r="E2483">
        <v>210</v>
      </c>
      <c r="F2483">
        <v>25</v>
      </c>
      <c r="G2483" s="21" t="s">
        <v>30</v>
      </c>
      <c r="H2483" s="21" t="s">
        <v>385</v>
      </c>
      <c r="I2483" s="21" t="s">
        <v>2129</v>
      </c>
    </row>
    <row r="2484" spans="1:9" x14ac:dyDescent="0.25">
      <c r="A2484" s="21" t="s">
        <v>2175</v>
      </c>
      <c r="B2484">
        <v>77</v>
      </c>
      <c r="C2484" s="21" t="s">
        <v>114</v>
      </c>
      <c r="D2484" s="21" t="s">
        <v>35</v>
      </c>
      <c r="E2484">
        <v>291</v>
      </c>
      <c r="F2484">
        <v>29</v>
      </c>
      <c r="G2484" s="21" t="s">
        <v>100</v>
      </c>
      <c r="H2484" s="21" t="s">
        <v>481</v>
      </c>
      <c r="I2484" s="21" t="s">
        <v>2129</v>
      </c>
    </row>
    <row r="2485" spans="1:9" x14ac:dyDescent="0.25">
      <c r="A2485" s="21" t="s">
        <v>2176</v>
      </c>
      <c r="B2485">
        <v>88</v>
      </c>
      <c r="C2485" s="21" t="s">
        <v>10</v>
      </c>
      <c r="D2485" s="21" t="s">
        <v>125</v>
      </c>
      <c r="E2485">
        <v>184</v>
      </c>
      <c r="F2485">
        <v>24</v>
      </c>
      <c r="G2485" s="21" t="s">
        <v>83</v>
      </c>
      <c r="H2485" s="21" t="s">
        <v>694</v>
      </c>
      <c r="I2485" s="21" t="s">
        <v>2129</v>
      </c>
    </row>
    <row r="2486" spans="1:9" x14ac:dyDescent="0.25">
      <c r="A2486" s="21" t="s">
        <v>1788</v>
      </c>
      <c r="B2486">
        <v>34</v>
      </c>
      <c r="C2486" s="21" t="s">
        <v>51</v>
      </c>
      <c r="D2486" s="21" t="s">
        <v>135</v>
      </c>
      <c r="E2486">
        <v>209</v>
      </c>
      <c r="F2486">
        <v>24</v>
      </c>
      <c r="G2486" s="21" t="s">
        <v>83</v>
      </c>
      <c r="H2486" s="21" t="s">
        <v>1635</v>
      </c>
      <c r="I2486" s="21" t="s">
        <v>2129</v>
      </c>
    </row>
    <row r="2487" spans="1:9" x14ac:dyDescent="0.25">
      <c r="A2487" s="21" t="s">
        <v>2177</v>
      </c>
      <c r="B2487">
        <v>37</v>
      </c>
      <c r="C2487" s="21" t="s">
        <v>48</v>
      </c>
      <c r="D2487" s="21" t="s">
        <v>52</v>
      </c>
      <c r="E2487">
        <v>188</v>
      </c>
      <c r="G2487" s="21" t="s">
        <v>25</v>
      </c>
      <c r="H2487" s="21" t="s">
        <v>374</v>
      </c>
      <c r="I2487" s="21" t="s">
        <v>2129</v>
      </c>
    </row>
    <row r="2488" spans="1:9" x14ac:dyDescent="0.25">
      <c r="A2488" s="21" t="s">
        <v>387</v>
      </c>
      <c r="B2488">
        <v>42</v>
      </c>
      <c r="C2488" s="21" t="s">
        <v>89</v>
      </c>
      <c r="D2488" s="21" t="s">
        <v>52</v>
      </c>
      <c r="E2488">
        <v>220</v>
      </c>
      <c r="F2488">
        <v>27</v>
      </c>
      <c r="G2488" s="21" t="s">
        <v>38</v>
      </c>
      <c r="H2488" s="21" t="s">
        <v>106</v>
      </c>
      <c r="I2488" s="21" t="s">
        <v>2129</v>
      </c>
    </row>
    <row r="2489" spans="1:9" x14ac:dyDescent="0.25">
      <c r="A2489" s="21" t="s">
        <v>4792</v>
      </c>
      <c r="B2489">
        <v>50</v>
      </c>
      <c r="C2489" s="21" t="s">
        <v>15</v>
      </c>
      <c r="D2489" s="21" t="s">
        <v>24</v>
      </c>
      <c r="E2489">
        <v>225</v>
      </c>
      <c r="G2489" s="21" t="s">
        <v>25</v>
      </c>
      <c r="H2489" s="21" t="s">
        <v>106</v>
      </c>
      <c r="I2489" s="21" t="s">
        <v>2129</v>
      </c>
    </row>
    <row r="2490" spans="1:9" x14ac:dyDescent="0.25">
      <c r="A2490" s="21" t="s">
        <v>2178</v>
      </c>
      <c r="B2490">
        <v>23</v>
      </c>
      <c r="C2490" s="21" t="s">
        <v>48</v>
      </c>
      <c r="D2490" s="21" t="s">
        <v>11</v>
      </c>
      <c r="E2490">
        <v>181</v>
      </c>
      <c r="F2490">
        <v>26</v>
      </c>
      <c r="G2490" s="21" t="s">
        <v>45</v>
      </c>
      <c r="H2490" s="21" t="s">
        <v>274</v>
      </c>
      <c r="I2490" s="21" t="s">
        <v>2129</v>
      </c>
    </row>
    <row r="2491" spans="1:9" x14ac:dyDescent="0.25">
      <c r="A2491" s="21" t="s">
        <v>2179</v>
      </c>
      <c r="B2491">
        <v>86</v>
      </c>
      <c r="C2491" s="21" t="s">
        <v>10</v>
      </c>
      <c r="D2491" s="21" t="s">
        <v>11</v>
      </c>
      <c r="E2491">
        <v>197</v>
      </c>
      <c r="G2491" s="21" t="s">
        <v>25</v>
      </c>
      <c r="H2491" s="21" t="s">
        <v>207</v>
      </c>
      <c r="I2491" s="21" t="s">
        <v>2129</v>
      </c>
    </row>
    <row r="2492" spans="1:9" x14ac:dyDescent="0.25">
      <c r="A2492" s="21" t="s">
        <v>2180</v>
      </c>
      <c r="B2492">
        <v>68</v>
      </c>
      <c r="C2492" s="21" t="s">
        <v>277</v>
      </c>
      <c r="D2492" s="21" t="s">
        <v>24</v>
      </c>
      <c r="E2492">
        <v>327</v>
      </c>
      <c r="F2492">
        <v>25</v>
      </c>
      <c r="G2492" s="21" t="s">
        <v>12</v>
      </c>
      <c r="H2492" s="21" t="s">
        <v>267</v>
      </c>
      <c r="I2492" s="21" t="s">
        <v>2129</v>
      </c>
    </row>
    <row r="2493" spans="1:9" x14ac:dyDescent="0.25">
      <c r="A2493" s="21" t="s">
        <v>2181</v>
      </c>
      <c r="B2493">
        <v>2</v>
      </c>
      <c r="C2493" s="21" t="s">
        <v>70</v>
      </c>
      <c r="D2493" s="21" t="s">
        <v>35</v>
      </c>
      <c r="E2493">
        <v>228</v>
      </c>
      <c r="F2493">
        <v>25</v>
      </c>
      <c r="G2493" s="21" t="s">
        <v>16</v>
      </c>
      <c r="H2493" s="21" t="s">
        <v>335</v>
      </c>
      <c r="I2493" s="21" t="s">
        <v>2129</v>
      </c>
    </row>
    <row r="2494" spans="1:9" x14ac:dyDescent="0.25">
      <c r="A2494" s="21" t="s">
        <v>2182</v>
      </c>
      <c r="B2494">
        <v>16</v>
      </c>
      <c r="C2494" s="21" t="s">
        <v>10</v>
      </c>
      <c r="D2494" s="21" t="s">
        <v>125</v>
      </c>
      <c r="E2494">
        <v>182</v>
      </c>
      <c r="F2494">
        <v>29</v>
      </c>
      <c r="G2494" s="21" t="s">
        <v>21</v>
      </c>
      <c r="H2494" s="21" t="s">
        <v>189</v>
      </c>
      <c r="I2494" s="21" t="s">
        <v>2129</v>
      </c>
    </row>
    <row r="2495" spans="1:9" x14ac:dyDescent="0.25">
      <c r="A2495" s="21" t="s">
        <v>2183</v>
      </c>
      <c r="B2495">
        <v>72</v>
      </c>
      <c r="C2495" s="21" t="s">
        <v>140</v>
      </c>
      <c r="D2495" s="21" t="s">
        <v>67</v>
      </c>
      <c r="E2495">
        <v>322</v>
      </c>
      <c r="F2495">
        <v>23</v>
      </c>
      <c r="G2495" s="21" t="s">
        <v>25</v>
      </c>
      <c r="H2495" s="21" t="s">
        <v>370</v>
      </c>
      <c r="I2495" s="21" t="s">
        <v>2129</v>
      </c>
    </row>
    <row r="2496" spans="1:9" x14ac:dyDescent="0.25">
      <c r="A2496" s="21" t="s">
        <v>2184</v>
      </c>
      <c r="B2496">
        <v>85</v>
      </c>
      <c r="C2496" s="21" t="s">
        <v>57</v>
      </c>
      <c r="D2496" s="21" t="s">
        <v>44</v>
      </c>
      <c r="E2496">
        <v>247</v>
      </c>
      <c r="F2496">
        <v>25</v>
      </c>
      <c r="G2496" s="21" t="s">
        <v>30</v>
      </c>
      <c r="H2496" s="21" t="s">
        <v>481</v>
      </c>
      <c r="I2496" s="21" t="s">
        <v>2129</v>
      </c>
    </row>
    <row r="2497" spans="1:9" x14ac:dyDescent="0.25">
      <c r="A2497" s="21" t="s">
        <v>2185</v>
      </c>
      <c r="B2497">
        <v>53</v>
      </c>
      <c r="C2497" s="21" t="s">
        <v>15</v>
      </c>
      <c r="D2497" s="21" t="s">
        <v>35</v>
      </c>
      <c r="E2497">
        <v>261</v>
      </c>
      <c r="F2497">
        <v>23</v>
      </c>
      <c r="G2497" s="21" t="s">
        <v>25</v>
      </c>
      <c r="H2497" s="21" t="s">
        <v>168</v>
      </c>
      <c r="I2497" s="21" t="s">
        <v>2129</v>
      </c>
    </row>
    <row r="2498" spans="1:9" x14ac:dyDescent="0.25">
      <c r="A2498" s="21" t="s">
        <v>2186</v>
      </c>
      <c r="B2498">
        <v>81</v>
      </c>
      <c r="C2498" s="21" t="s">
        <v>10</v>
      </c>
      <c r="D2498" s="21" t="s">
        <v>54</v>
      </c>
      <c r="E2498">
        <v>191</v>
      </c>
      <c r="F2498">
        <v>23</v>
      </c>
      <c r="G2498" s="21" t="s">
        <v>25</v>
      </c>
      <c r="H2498" s="21" t="s">
        <v>120</v>
      </c>
      <c r="I2498" s="21" t="s">
        <v>2129</v>
      </c>
    </row>
    <row r="2499" spans="1:9" x14ac:dyDescent="0.25">
      <c r="A2499" s="21" t="s">
        <v>2187</v>
      </c>
      <c r="B2499">
        <v>14</v>
      </c>
      <c r="C2499" s="21" t="s">
        <v>10</v>
      </c>
      <c r="D2499" s="21" t="s">
        <v>35</v>
      </c>
      <c r="E2499">
        <v>235</v>
      </c>
      <c r="F2499">
        <v>24</v>
      </c>
      <c r="G2499" s="21" t="s">
        <v>16</v>
      </c>
      <c r="H2499" s="21" t="s">
        <v>516</v>
      </c>
      <c r="I2499" s="21" t="s">
        <v>2129</v>
      </c>
    </row>
    <row r="2500" spans="1:9" x14ac:dyDescent="0.25">
      <c r="A2500" s="21" t="s">
        <v>2188</v>
      </c>
      <c r="B2500">
        <v>90</v>
      </c>
      <c r="C2500" s="21" t="s">
        <v>114</v>
      </c>
      <c r="D2500" s="21" t="s">
        <v>44</v>
      </c>
      <c r="E2500">
        <v>345</v>
      </c>
      <c r="F2500">
        <v>26</v>
      </c>
      <c r="G2500" s="21" t="s">
        <v>12</v>
      </c>
      <c r="H2500" s="21" t="s">
        <v>98</v>
      </c>
      <c r="I2500" s="21" t="s">
        <v>2129</v>
      </c>
    </row>
    <row r="2501" spans="1:9" x14ac:dyDescent="0.25">
      <c r="A2501" s="21" t="s">
        <v>2189</v>
      </c>
      <c r="B2501">
        <v>58</v>
      </c>
      <c r="C2501" s="21" t="s">
        <v>15</v>
      </c>
      <c r="D2501" s="21" t="s">
        <v>24</v>
      </c>
      <c r="E2501">
        <v>227</v>
      </c>
      <c r="F2501">
        <v>25</v>
      </c>
      <c r="G2501" s="21" t="s">
        <v>12</v>
      </c>
      <c r="H2501" s="21" t="s">
        <v>136</v>
      </c>
      <c r="I2501" s="21" t="s">
        <v>2129</v>
      </c>
    </row>
    <row r="2502" spans="1:9" x14ac:dyDescent="0.25">
      <c r="A2502" s="21" t="s">
        <v>2190</v>
      </c>
      <c r="B2502">
        <v>5</v>
      </c>
      <c r="C2502" s="21" t="s">
        <v>76</v>
      </c>
      <c r="D2502" s="21" t="s">
        <v>125</v>
      </c>
      <c r="E2502">
        <v>190</v>
      </c>
      <c r="F2502">
        <v>31</v>
      </c>
      <c r="G2502" s="21" t="s">
        <v>21</v>
      </c>
      <c r="H2502" s="21" t="s">
        <v>2191</v>
      </c>
      <c r="I2502" s="21" t="s">
        <v>2129</v>
      </c>
    </row>
    <row r="2503" spans="1:9" x14ac:dyDescent="0.25">
      <c r="A2503" s="21" t="s">
        <v>2192</v>
      </c>
      <c r="B2503">
        <v>26</v>
      </c>
      <c r="C2503" s="21" t="s">
        <v>2131</v>
      </c>
      <c r="D2503" s="21" t="s">
        <v>44</v>
      </c>
      <c r="E2503">
        <v>200</v>
      </c>
      <c r="F2503">
        <v>26</v>
      </c>
      <c r="G2503" s="21" t="s">
        <v>12</v>
      </c>
      <c r="H2503" s="21" t="s">
        <v>2193</v>
      </c>
      <c r="I2503" s="21" t="s">
        <v>2129</v>
      </c>
    </row>
    <row r="2504" spans="1:9" x14ac:dyDescent="0.25">
      <c r="A2504" s="21" t="s">
        <v>2194</v>
      </c>
      <c r="B2504">
        <v>41</v>
      </c>
      <c r="C2504" s="21" t="s">
        <v>2131</v>
      </c>
      <c r="D2504" s="21" t="s">
        <v>24</v>
      </c>
      <c r="E2504">
        <v>203</v>
      </c>
      <c r="G2504" s="21" t="s">
        <v>25</v>
      </c>
      <c r="H2504" s="21" t="s">
        <v>68</v>
      </c>
      <c r="I2504" s="21" t="s">
        <v>2129</v>
      </c>
    </row>
    <row r="2505" spans="1:9" x14ac:dyDescent="0.25">
      <c r="A2505" s="21" t="s">
        <v>2195</v>
      </c>
      <c r="B2505">
        <v>10</v>
      </c>
      <c r="C2505" s="21" t="s">
        <v>15</v>
      </c>
      <c r="D2505" s="21" t="s">
        <v>24</v>
      </c>
      <c r="E2505">
        <v>251</v>
      </c>
      <c r="F2505">
        <v>25</v>
      </c>
      <c r="G2505" s="21" t="s">
        <v>45</v>
      </c>
      <c r="H2505" s="21" t="s">
        <v>280</v>
      </c>
      <c r="I2505" s="21" t="s">
        <v>2129</v>
      </c>
    </row>
    <row r="2506" spans="1:9" x14ac:dyDescent="0.25">
      <c r="A2506" s="21" t="s">
        <v>2196</v>
      </c>
      <c r="B2506">
        <v>49</v>
      </c>
      <c r="C2506" s="21" t="s">
        <v>15</v>
      </c>
      <c r="D2506" s="21" t="s">
        <v>24</v>
      </c>
      <c r="E2506">
        <v>252</v>
      </c>
      <c r="F2506">
        <v>24</v>
      </c>
      <c r="G2506" s="21" t="s">
        <v>25</v>
      </c>
      <c r="H2506" s="21" t="s">
        <v>2197</v>
      </c>
      <c r="I2506" s="21" t="s">
        <v>2129</v>
      </c>
    </row>
    <row r="2507" spans="1:9" x14ac:dyDescent="0.25">
      <c r="A2507" s="21" t="s">
        <v>2198</v>
      </c>
      <c r="B2507">
        <v>69</v>
      </c>
      <c r="C2507" s="21" t="s">
        <v>158</v>
      </c>
      <c r="D2507" s="21" t="s">
        <v>44</v>
      </c>
      <c r="E2507">
        <v>253</v>
      </c>
      <c r="F2507">
        <v>30</v>
      </c>
      <c r="G2507" s="21" t="s">
        <v>21</v>
      </c>
      <c r="H2507" s="21" t="s">
        <v>112</v>
      </c>
      <c r="I2507" s="21" t="s">
        <v>2129</v>
      </c>
    </row>
    <row r="2508" spans="1:9" x14ac:dyDescent="0.25">
      <c r="A2508" s="21" t="s">
        <v>2199</v>
      </c>
      <c r="B2508">
        <v>84</v>
      </c>
      <c r="C2508" s="21" t="s">
        <v>57</v>
      </c>
      <c r="D2508" s="21" t="s">
        <v>20</v>
      </c>
      <c r="E2508">
        <v>251</v>
      </c>
      <c r="F2508">
        <v>23</v>
      </c>
      <c r="G2508" s="21" t="s">
        <v>12</v>
      </c>
      <c r="H2508" s="21" t="s">
        <v>165</v>
      </c>
      <c r="I2508" s="21" t="s">
        <v>2129</v>
      </c>
    </row>
    <row r="2509" spans="1:9" x14ac:dyDescent="0.25">
      <c r="A2509" s="21" t="s">
        <v>2200</v>
      </c>
      <c r="B2509">
        <v>20</v>
      </c>
      <c r="C2509" s="21" t="s">
        <v>51</v>
      </c>
      <c r="D2509" s="21" t="s">
        <v>54</v>
      </c>
      <c r="E2509">
        <v>220</v>
      </c>
      <c r="F2509">
        <v>26</v>
      </c>
      <c r="G2509" s="21" t="s">
        <v>45</v>
      </c>
      <c r="H2509" s="21" t="s">
        <v>33</v>
      </c>
      <c r="I2509" s="21" t="s">
        <v>2129</v>
      </c>
    </row>
    <row r="2510" spans="1:9" x14ac:dyDescent="0.25">
      <c r="A2510" s="21" t="s">
        <v>2201</v>
      </c>
      <c r="B2510">
        <v>29</v>
      </c>
      <c r="C2510" s="21" t="s">
        <v>48</v>
      </c>
      <c r="D2510" s="21" t="s">
        <v>125</v>
      </c>
      <c r="E2510">
        <v>187</v>
      </c>
      <c r="F2510">
        <v>26</v>
      </c>
      <c r="G2510" s="21" t="s">
        <v>12</v>
      </c>
      <c r="H2510" s="21" t="s">
        <v>3251</v>
      </c>
      <c r="I2510" s="21" t="s">
        <v>2129</v>
      </c>
    </row>
    <row r="2511" spans="1:9" x14ac:dyDescent="0.25">
      <c r="A2511" s="21" t="s">
        <v>2202</v>
      </c>
      <c r="B2511">
        <v>59</v>
      </c>
      <c r="C2511" s="21" t="s">
        <v>15</v>
      </c>
      <c r="D2511" s="21" t="s">
        <v>11</v>
      </c>
      <c r="E2511">
        <v>236</v>
      </c>
      <c r="F2511">
        <v>23</v>
      </c>
      <c r="G2511" s="21" t="s">
        <v>30</v>
      </c>
      <c r="H2511" s="21" t="s">
        <v>656</v>
      </c>
      <c r="I2511" s="21" t="s">
        <v>2129</v>
      </c>
    </row>
    <row r="2512" spans="1:9" x14ac:dyDescent="0.25">
      <c r="A2512" s="21" t="s">
        <v>2203</v>
      </c>
      <c r="B2512">
        <v>98</v>
      </c>
      <c r="C2512" s="21" t="s">
        <v>319</v>
      </c>
      <c r="D2512" s="21" t="s">
        <v>44</v>
      </c>
      <c r="E2512">
        <v>259</v>
      </c>
      <c r="F2512">
        <v>24</v>
      </c>
      <c r="G2512" s="21" t="s">
        <v>12</v>
      </c>
      <c r="H2512" s="21" t="s">
        <v>355</v>
      </c>
      <c r="I2512" s="21" t="s">
        <v>2129</v>
      </c>
    </row>
    <row r="2513" spans="1:9" x14ac:dyDescent="0.25">
      <c r="A2513" s="21" t="s">
        <v>2204</v>
      </c>
      <c r="B2513">
        <v>70</v>
      </c>
      <c r="C2513" s="21" t="s">
        <v>140</v>
      </c>
      <c r="D2513" s="21" t="s">
        <v>29</v>
      </c>
      <c r="F2513">
        <v>24</v>
      </c>
      <c r="G2513" s="21" t="s">
        <v>25</v>
      </c>
      <c r="H2513" s="21" t="s">
        <v>370</v>
      </c>
      <c r="I2513" s="21" t="s">
        <v>2129</v>
      </c>
    </row>
    <row r="2514" spans="1:9" x14ac:dyDescent="0.25">
      <c r="A2514" s="21" t="s">
        <v>2205</v>
      </c>
      <c r="B2514">
        <v>64</v>
      </c>
      <c r="C2514" s="21" t="s">
        <v>184</v>
      </c>
      <c r="D2514" s="21" t="s">
        <v>29</v>
      </c>
      <c r="E2514">
        <v>290</v>
      </c>
      <c r="F2514">
        <v>27</v>
      </c>
      <c r="G2514" s="21" t="s">
        <v>30</v>
      </c>
      <c r="H2514" s="21" t="s">
        <v>2206</v>
      </c>
      <c r="I2514" s="21" t="s">
        <v>2129</v>
      </c>
    </row>
    <row r="2515" spans="1:9" x14ac:dyDescent="0.25">
      <c r="A2515" s="21" t="s">
        <v>2207</v>
      </c>
      <c r="B2515">
        <v>7</v>
      </c>
      <c r="C2515" s="21" t="s">
        <v>70</v>
      </c>
      <c r="D2515" s="21" t="s">
        <v>44</v>
      </c>
      <c r="E2515">
        <v>221</v>
      </c>
      <c r="F2515">
        <v>31</v>
      </c>
      <c r="G2515" s="21" t="s">
        <v>111</v>
      </c>
      <c r="H2515" s="21" t="s">
        <v>143</v>
      </c>
      <c r="I2515" s="21" t="s">
        <v>2129</v>
      </c>
    </row>
    <row r="2516" spans="1:9" x14ac:dyDescent="0.25">
      <c r="A2516" s="21" t="s">
        <v>2208</v>
      </c>
      <c r="B2516">
        <v>92</v>
      </c>
      <c r="C2516" s="21" t="s">
        <v>15</v>
      </c>
      <c r="D2516" s="21" t="s">
        <v>44</v>
      </c>
      <c r="E2516">
        <v>265</v>
      </c>
      <c r="F2516">
        <v>22</v>
      </c>
      <c r="G2516" s="21" t="s">
        <v>25</v>
      </c>
      <c r="H2516" s="21" t="s">
        <v>36</v>
      </c>
      <c r="I2516" s="21" t="s">
        <v>2129</v>
      </c>
    </row>
    <row r="2517" spans="1:9" x14ac:dyDescent="0.25">
      <c r="A2517" s="21" t="s">
        <v>2209</v>
      </c>
      <c r="B2517">
        <v>18</v>
      </c>
      <c r="C2517" s="21" t="s">
        <v>10</v>
      </c>
      <c r="D2517" s="21" t="s">
        <v>11</v>
      </c>
      <c r="E2517">
        <v>199</v>
      </c>
      <c r="F2517">
        <v>23</v>
      </c>
      <c r="G2517" s="21" t="s">
        <v>12</v>
      </c>
      <c r="H2517" s="21" t="s">
        <v>251</v>
      </c>
      <c r="I2517" s="21" t="s">
        <v>2129</v>
      </c>
    </row>
    <row r="2518" spans="1:9" x14ac:dyDescent="0.25">
      <c r="A2518" s="21" t="s">
        <v>2210</v>
      </c>
      <c r="B2518">
        <v>52</v>
      </c>
      <c r="C2518" s="21" t="s">
        <v>319</v>
      </c>
      <c r="D2518" s="21" t="s">
        <v>35</v>
      </c>
      <c r="E2518">
        <v>267</v>
      </c>
      <c r="F2518">
        <v>25</v>
      </c>
      <c r="G2518" s="21" t="s">
        <v>30</v>
      </c>
      <c r="H2518" s="21" t="s">
        <v>104</v>
      </c>
      <c r="I2518" s="21" t="s">
        <v>2129</v>
      </c>
    </row>
    <row r="2519" spans="1:9" x14ac:dyDescent="0.25">
      <c r="A2519" s="21" t="s">
        <v>2211</v>
      </c>
      <c r="B2519">
        <v>11</v>
      </c>
      <c r="C2519" s="21" t="s">
        <v>10</v>
      </c>
      <c r="D2519" s="21" t="s">
        <v>24</v>
      </c>
      <c r="E2519">
        <v>205</v>
      </c>
      <c r="F2519">
        <v>26</v>
      </c>
      <c r="G2519" s="21" t="s">
        <v>83</v>
      </c>
      <c r="H2519" s="21" t="s">
        <v>93</v>
      </c>
      <c r="I2519" s="21" t="s">
        <v>2129</v>
      </c>
    </row>
    <row r="2520" spans="1:9" x14ac:dyDescent="0.25">
      <c r="A2520" s="21" t="s">
        <v>2212</v>
      </c>
      <c r="B2520">
        <v>36</v>
      </c>
      <c r="C2520" s="21" t="s">
        <v>51</v>
      </c>
      <c r="D2520" s="21" t="s">
        <v>86</v>
      </c>
      <c r="E2520">
        <v>200</v>
      </c>
      <c r="F2520">
        <v>25</v>
      </c>
      <c r="G2520" s="21" t="s">
        <v>12</v>
      </c>
      <c r="H2520" s="21" t="s">
        <v>439</v>
      </c>
      <c r="I2520" s="21" t="s">
        <v>2129</v>
      </c>
    </row>
    <row r="2521" spans="1:9" x14ac:dyDescent="0.25">
      <c r="A2521" s="21" t="s">
        <v>4793</v>
      </c>
      <c r="B2521">
        <v>38</v>
      </c>
      <c r="C2521" s="21" t="s">
        <v>48</v>
      </c>
      <c r="D2521" s="21" t="s">
        <v>54</v>
      </c>
      <c r="E2521">
        <v>189</v>
      </c>
      <c r="F2521">
        <v>23</v>
      </c>
      <c r="G2521" s="21" t="s">
        <v>25</v>
      </c>
      <c r="H2521" s="21" t="s">
        <v>754</v>
      </c>
      <c r="I2521" s="21" t="s">
        <v>2129</v>
      </c>
    </row>
    <row r="2522" spans="1:9" x14ac:dyDescent="0.25">
      <c r="A2522" s="21" t="s">
        <v>2213</v>
      </c>
      <c r="B2522">
        <v>9</v>
      </c>
      <c r="C2522" s="21" t="s">
        <v>51</v>
      </c>
      <c r="D2522" s="21" t="s">
        <v>135</v>
      </c>
      <c r="E2522">
        <v>211</v>
      </c>
      <c r="F2522">
        <v>21</v>
      </c>
      <c r="G2522" s="21" t="s">
        <v>25</v>
      </c>
      <c r="H2522" s="21" t="s">
        <v>55</v>
      </c>
      <c r="I2522" s="21" t="s">
        <v>2129</v>
      </c>
    </row>
    <row r="2523" spans="1:9" x14ac:dyDescent="0.25">
      <c r="A2523" s="21" t="s">
        <v>2214</v>
      </c>
      <c r="B2523">
        <v>40</v>
      </c>
      <c r="C2523" s="21" t="s">
        <v>2131</v>
      </c>
      <c r="D2523" s="21" t="s">
        <v>54</v>
      </c>
      <c r="E2523">
        <v>203</v>
      </c>
      <c r="F2523">
        <v>25</v>
      </c>
      <c r="G2523" s="21" t="s">
        <v>25</v>
      </c>
      <c r="H2523" s="21" t="s">
        <v>556</v>
      </c>
      <c r="I2523" s="21" t="s">
        <v>2129</v>
      </c>
    </row>
    <row r="2524" spans="1:9" x14ac:dyDescent="0.25">
      <c r="A2524" s="21" t="s">
        <v>2215</v>
      </c>
      <c r="B2524">
        <v>46</v>
      </c>
      <c r="C2524" s="21" t="s">
        <v>15</v>
      </c>
      <c r="D2524" s="21" t="s">
        <v>54</v>
      </c>
      <c r="E2524">
        <v>220</v>
      </c>
      <c r="F2524">
        <v>24</v>
      </c>
      <c r="G2524" s="21" t="s">
        <v>83</v>
      </c>
      <c r="H2524" s="21" t="s">
        <v>355</v>
      </c>
      <c r="I2524" s="21" t="s">
        <v>2129</v>
      </c>
    </row>
    <row r="2525" spans="1:9" x14ac:dyDescent="0.25">
      <c r="A2525" s="21" t="s">
        <v>2216</v>
      </c>
      <c r="B2525">
        <v>99</v>
      </c>
      <c r="C2525" s="21" t="s">
        <v>114</v>
      </c>
      <c r="D2525" s="21" t="s">
        <v>35</v>
      </c>
      <c r="E2525">
        <v>330</v>
      </c>
      <c r="F2525">
        <v>35</v>
      </c>
      <c r="G2525" s="21" t="s">
        <v>186</v>
      </c>
      <c r="H2525" s="21" t="s">
        <v>267</v>
      </c>
      <c r="I2525" s="21" t="s">
        <v>2129</v>
      </c>
    </row>
    <row r="2526" spans="1:9" x14ac:dyDescent="0.25">
      <c r="A2526" s="21" t="s">
        <v>2217</v>
      </c>
      <c r="B2526">
        <v>39</v>
      </c>
      <c r="C2526" s="21" t="s">
        <v>48</v>
      </c>
      <c r="D2526" s="21" t="s">
        <v>35</v>
      </c>
      <c r="E2526">
        <v>210</v>
      </c>
      <c r="F2526">
        <v>23</v>
      </c>
      <c r="G2526" s="21" t="s">
        <v>25</v>
      </c>
      <c r="H2526" s="21" t="s">
        <v>42</v>
      </c>
      <c r="I2526" s="21" t="s">
        <v>2129</v>
      </c>
    </row>
    <row r="2527" spans="1:9" x14ac:dyDescent="0.25">
      <c r="A2527" s="21" t="s">
        <v>2218</v>
      </c>
      <c r="B2527">
        <v>83</v>
      </c>
      <c r="C2527" s="21" t="s">
        <v>10</v>
      </c>
      <c r="D2527" s="21" t="s">
        <v>24</v>
      </c>
      <c r="E2527">
        <v>224</v>
      </c>
      <c r="F2527">
        <v>23</v>
      </c>
      <c r="G2527" s="21" t="s">
        <v>25</v>
      </c>
      <c r="H2527" s="21" t="s">
        <v>1184</v>
      </c>
      <c r="I2527" s="21" t="s">
        <v>2129</v>
      </c>
    </row>
    <row r="2528" spans="1:9" x14ac:dyDescent="0.25">
      <c r="A2528" s="21" t="s">
        <v>971</v>
      </c>
      <c r="B2528">
        <v>57</v>
      </c>
      <c r="C2528" s="21" t="s">
        <v>114</v>
      </c>
      <c r="D2528" s="21" t="s">
        <v>35</v>
      </c>
      <c r="E2528">
        <v>304</v>
      </c>
      <c r="F2528">
        <v>27</v>
      </c>
      <c r="G2528" s="21" t="s">
        <v>38</v>
      </c>
      <c r="H2528" s="21" t="s">
        <v>65</v>
      </c>
      <c r="I2528" s="21" t="s">
        <v>970</v>
      </c>
    </row>
    <row r="2529" spans="1:9" x14ac:dyDescent="0.25">
      <c r="A2529" s="21" t="s">
        <v>972</v>
      </c>
      <c r="B2529">
        <v>27</v>
      </c>
      <c r="C2529" s="21" t="s">
        <v>15</v>
      </c>
      <c r="D2529" s="21" t="s">
        <v>24</v>
      </c>
      <c r="E2529">
        <v>215</v>
      </c>
      <c r="F2529">
        <v>25</v>
      </c>
      <c r="G2529" s="21" t="s">
        <v>16</v>
      </c>
      <c r="H2529" s="21" t="s">
        <v>3251</v>
      </c>
      <c r="I2529" s="21" t="s">
        <v>970</v>
      </c>
    </row>
    <row r="2530" spans="1:9" x14ac:dyDescent="0.25">
      <c r="A2530" s="21" t="s">
        <v>973</v>
      </c>
      <c r="B2530">
        <v>94</v>
      </c>
      <c r="C2530" s="21" t="s">
        <v>319</v>
      </c>
      <c r="D2530" s="21" t="s">
        <v>44</v>
      </c>
      <c r="E2530">
        <v>304</v>
      </c>
      <c r="F2530">
        <v>35</v>
      </c>
      <c r="G2530" s="21" t="s">
        <v>407</v>
      </c>
      <c r="H2530" s="21" t="s">
        <v>226</v>
      </c>
      <c r="I2530" s="21" t="s">
        <v>970</v>
      </c>
    </row>
    <row r="2531" spans="1:9" x14ac:dyDescent="0.25">
      <c r="A2531" s="21" t="s">
        <v>974</v>
      </c>
      <c r="B2531">
        <v>96</v>
      </c>
      <c r="C2531" s="21" t="s">
        <v>19</v>
      </c>
      <c r="D2531" s="21" t="s">
        <v>67</v>
      </c>
      <c r="E2531">
        <v>307</v>
      </c>
      <c r="F2531">
        <v>24</v>
      </c>
      <c r="G2531" s="21" t="s">
        <v>83</v>
      </c>
      <c r="H2531" s="21" t="s">
        <v>256</v>
      </c>
      <c r="I2531" s="21" t="s">
        <v>970</v>
      </c>
    </row>
    <row r="2532" spans="1:9" x14ac:dyDescent="0.25">
      <c r="A2532" s="21" t="s">
        <v>975</v>
      </c>
      <c r="B2532">
        <v>19</v>
      </c>
      <c r="C2532" s="21" t="s">
        <v>10</v>
      </c>
      <c r="D2532" s="21" t="s">
        <v>135</v>
      </c>
      <c r="E2532">
        <v>162</v>
      </c>
      <c r="F2532">
        <v>23</v>
      </c>
      <c r="G2532" s="21" t="s">
        <v>25</v>
      </c>
      <c r="H2532" s="21" t="s">
        <v>627</v>
      </c>
      <c r="I2532" s="21" t="s">
        <v>970</v>
      </c>
    </row>
    <row r="2533" spans="1:9" x14ac:dyDescent="0.25">
      <c r="A2533" s="21" t="s">
        <v>976</v>
      </c>
      <c r="B2533">
        <v>49</v>
      </c>
      <c r="C2533" s="21" t="s">
        <v>213</v>
      </c>
      <c r="D2533" s="21" t="s">
        <v>11</v>
      </c>
      <c r="E2533">
        <v>250</v>
      </c>
      <c r="F2533">
        <v>27</v>
      </c>
      <c r="G2533" s="21" t="s">
        <v>45</v>
      </c>
      <c r="H2533" s="21" t="s">
        <v>627</v>
      </c>
      <c r="I2533" s="21" t="s">
        <v>970</v>
      </c>
    </row>
    <row r="2534" spans="1:9" x14ac:dyDescent="0.25">
      <c r="A2534" s="21" t="s">
        <v>977</v>
      </c>
      <c r="B2534">
        <v>9</v>
      </c>
      <c r="C2534" s="21" t="s">
        <v>76</v>
      </c>
      <c r="D2534" s="21" t="s">
        <v>24</v>
      </c>
      <c r="E2534">
        <v>185</v>
      </c>
      <c r="F2534">
        <v>31</v>
      </c>
      <c r="G2534" s="21" t="s">
        <v>21</v>
      </c>
      <c r="H2534" s="21" t="s">
        <v>978</v>
      </c>
      <c r="I2534" s="21" t="s">
        <v>970</v>
      </c>
    </row>
    <row r="2535" spans="1:9" x14ac:dyDescent="0.25">
      <c r="A2535" s="21" t="s">
        <v>979</v>
      </c>
      <c r="B2535">
        <v>13</v>
      </c>
      <c r="C2535" s="21" t="s">
        <v>10</v>
      </c>
      <c r="D2535" s="21" t="s">
        <v>35</v>
      </c>
      <c r="E2535">
        <v>220</v>
      </c>
      <c r="F2535">
        <v>25</v>
      </c>
      <c r="G2535" s="21" t="s">
        <v>16</v>
      </c>
      <c r="H2535" s="21" t="s">
        <v>31</v>
      </c>
      <c r="I2535" s="21" t="s">
        <v>970</v>
      </c>
    </row>
    <row r="2536" spans="1:9" x14ac:dyDescent="0.25">
      <c r="A2536" s="21" t="s">
        <v>980</v>
      </c>
      <c r="B2536">
        <v>55</v>
      </c>
      <c r="C2536" s="21" t="s">
        <v>15</v>
      </c>
      <c r="D2536" s="21" t="s">
        <v>54</v>
      </c>
      <c r="E2536">
        <v>234</v>
      </c>
      <c r="F2536">
        <v>24</v>
      </c>
      <c r="G2536" s="21" t="s">
        <v>16</v>
      </c>
      <c r="H2536" s="21" t="s">
        <v>98</v>
      </c>
      <c r="I2536" s="21" t="s">
        <v>970</v>
      </c>
    </row>
    <row r="2537" spans="1:9" x14ac:dyDescent="0.25">
      <c r="A2537" s="21" t="s">
        <v>981</v>
      </c>
      <c r="B2537">
        <v>11</v>
      </c>
      <c r="C2537" s="21" t="s">
        <v>10</v>
      </c>
      <c r="D2537" s="21" t="s">
        <v>35</v>
      </c>
      <c r="E2537">
        <v>238</v>
      </c>
      <c r="F2537">
        <v>24</v>
      </c>
      <c r="G2537" s="21" t="s">
        <v>12</v>
      </c>
      <c r="H2537" s="21" t="s">
        <v>31</v>
      </c>
      <c r="I2537" s="21" t="s">
        <v>970</v>
      </c>
    </row>
    <row r="2538" spans="1:9" x14ac:dyDescent="0.25">
      <c r="A2538" s="21" t="s">
        <v>982</v>
      </c>
      <c r="B2538">
        <v>61</v>
      </c>
      <c r="C2538" s="21" t="s">
        <v>28</v>
      </c>
      <c r="D2538" s="21" t="s">
        <v>29</v>
      </c>
      <c r="E2538">
        <v>298</v>
      </c>
      <c r="F2538">
        <v>26</v>
      </c>
      <c r="G2538" s="21" t="s">
        <v>45</v>
      </c>
      <c r="H2538" s="21" t="s">
        <v>98</v>
      </c>
      <c r="I2538" s="21" t="s">
        <v>970</v>
      </c>
    </row>
    <row r="2539" spans="1:9" x14ac:dyDescent="0.25">
      <c r="A2539" s="21" t="s">
        <v>4788</v>
      </c>
      <c r="C2539" s="21" t="s">
        <v>114</v>
      </c>
      <c r="D2539" s="21" t="s">
        <v>24</v>
      </c>
      <c r="E2539">
        <v>295</v>
      </c>
      <c r="F2539">
        <v>24</v>
      </c>
      <c r="G2539" s="21" t="s">
        <v>30</v>
      </c>
      <c r="H2539" s="21" t="s">
        <v>484</v>
      </c>
      <c r="I2539" s="21" t="s">
        <v>970</v>
      </c>
    </row>
    <row r="2540" spans="1:9" x14ac:dyDescent="0.25">
      <c r="A2540" s="21" t="s">
        <v>983</v>
      </c>
      <c r="B2540">
        <v>78</v>
      </c>
      <c r="C2540" s="21" t="s">
        <v>28</v>
      </c>
      <c r="D2540" s="21" t="s">
        <v>35</v>
      </c>
      <c r="E2540">
        <v>327</v>
      </c>
      <c r="F2540">
        <v>24</v>
      </c>
      <c r="G2540" s="21" t="s">
        <v>45</v>
      </c>
      <c r="H2540" s="21" t="s">
        <v>117</v>
      </c>
      <c r="I2540" s="21" t="s">
        <v>970</v>
      </c>
    </row>
    <row r="2541" spans="1:9" x14ac:dyDescent="0.25">
      <c r="A2541" s="21" t="s">
        <v>984</v>
      </c>
      <c r="B2541">
        <v>73</v>
      </c>
      <c r="C2541" s="21" t="s">
        <v>114</v>
      </c>
      <c r="D2541" s="21" t="s">
        <v>24</v>
      </c>
      <c r="E2541">
        <v>320</v>
      </c>
      <c r="F2541">
        <v>25</v>
      </c>
      <c r="G2541" s="21" t="s">
        <v>12</v>
      </c>
      <c r="H2541" s="21" t="s">
        <v>556</v>
      </c>
      <c r="I2541" s="21" t="s">
        <v>970</v>
      </c>
    </row>
    <row r="2542" spans="1:9" x14ac:dyDescent="0.25">
      <c r="A2542" s="21" t="s">
        <v>985</v>
      </c>
      <c r="B2542">
        <v>68</v>
      </c>
      <c r="C2542" s="21" t="s">
        <v>114</v>
      </c>
      <c r="D2542" s="21" t="s">
        <v>52</v>
      </c>
      <c r="E2542">
        <v>308</v>
      </c>
      <c r="F2542">
        <v>25</v>
      </c>
      <c r="G2542" s="21" t="s">
        <v>12</v>
      </c>
      <c r="H2542" s="21" t="s">
        <v>556</v>
      </c>
      <c r="I2542" s="21" t="s">
        <v>970</v>
      </c>
    </row>
    <row r="2543" spans="1:9" x14ac:dyDescent="0.25">
      <c r="A2543" s="21" t="s">
        <v>986</v>
      </c>
      <c r="B2543">
        <v>67</v>
      </c>
      <c r="C2543" s="21" t="s">
        <v>140</v>
      </c>
      <c r="D2543" s="21" t="s">
        <v>67</v>
      </c>
      <c r="E2543">
        <v>290</v>
      </c>
      <c r="F2543">
        <v>24</v>
      </c>
      <c r="G2543" s="21" t="s">
        <v>25</v>
      </c>
      <c r="H2543" s="21" t="s">
        <v>987</v>
      </c>
      <c r="I2543" s="21" t="s">
        <v>970</v>
      </c>
    </row>
    <row r="2544" spans="1:9" x14ac:dyDescent="0.25">
      <c r="A2544" s="21" t="s">
        <v>988</v>
      </c>
      <c r="B2544">
        <v>69</v>
      </c>
      <c r="C2544" s="21" t="s">
        <v>28</v>
      </c>
      <c r="D2544" s="21" t="s">
        <v>35</v>
      </c>
      <c r="E2544">
        <v>321</v>
      </c>
      <c r="F2544">
        <v>25</v>
      </c>
      <c r="G2544" s="21" t="s">
        <v>12</v>
      </c>
      <c r="H2544" s="21" t="s">
        <v>145</v>
      </c>
      <c r="I2544" s="21" t="s">
        <v>970</v>
      </c>
    </row>
    <row r="2545" spans="1:9" x14ac:dyDescent="0.25">
      <c r="A2545" s="21" t="s">
        <v>989</v>
      </c>
      <c r="B2545">
        <v>40</v>
      </c>
      <c r="C2545" s="21" t="s">
        <v>51</v>
      </c>
      <c r="D2545" s="21" t="s">
        <v>52</v>
      </c>
      <c r="E2545">
        <v>195</v>
      </c>
      <c r="F2545">
        <v>22</v>
      </c>
      <c r="G2545" s="21" t="s">
        <v>25</v>
      </c>
      <c r="H2545" s="21" t="s">
        <v>347</v>
      </c>
      <c r="I2545" s="21" t="s">
        <v>970</v>
      </c>
    </row>
    <row r="2546" spans="1:9" x14ac:dyDescent="0.25">
      <c r="A2546" s="21" t="s">
        <v>990</v>
      </c>
      <c r="B2546">
        <v>34</v>
      </c>
      <c r="C2546" s="21" t="s">
        <v>89</v>
      </c>
      <c r="D2546" s="21" t="s">
        <v>52</v>
      </c>
      <c r="E2546">
        <v>217</v>
      </c>
      <c r="F2546">
        <v>25</v>
      </c>
      <c r="G2546" s="21" t="s">
        <v>45</v>
      </c>
      <c r="H2546" s="21" t="s">
        <v>357</v>
      </c>
      <c r="I2546" s="21" t="s">
        <v>970</v>
      </c>
    </row>
    <row r="2547" spans="1:9" x14ac:dyDescent="0.25">
      <c r="A2547" s="21" t="s">
        <v>991</v>
      </c>
      <c r="B2547">
        <v>33</v>
      </c>
      <c r="C2547" s="21" t="s">
        <v>51</v>
      </c>
      <c r="D2547" s="21" t="s">
        <v>24</v>
      </c>
      <c r="E2547">
        <v>223</v>
      </c>
      <c r="F2547">
        <v>27</v>
      </c>
      <c r="G2547" s="21" t="s">
        <v>16</v>
      </c>
      <c r="H2547" s="21" t="s">
        <v>481</v>
      </c>
      <c r="I2547" s="21" t="s">
        <v>970</v>
      </c>
    </row>
    <row r="2548" spans="1:9" x14ac:dyDescent="0.25">
      <c r="A2548" s="21" t="s">
        <v>992</v>
      </c>
      <c r="B2548">
        <v>39</v>
      </c>
      <c r="C2548" s="21" t="s">
        <v>89</v>
      </c>
      <c r="D2548" s="21" t="s">
        <v>52</v>
      </c>
      <c r="E2548">
        <v>207</v>
      </c>
      <c r="F2548">
        <v>25</v>
      </c>
      <c r="G2548" s="21" t="s">
        <v>45</v>
      </c>
      <c r="H2548" s="21" t="s">
        <v>233</v>
      </c>
      <c r="I2548" s="21" t="s">
        <v>970</v>
      </c>
    </row>
    <row r="2549" spans="1:9" x14ac:dyDescent="0.25">
      <c r="A2549" s="21" t="s">
        <v>993</v>
      </c>
      <c r="B2549">
        <v>88</v>
      </c>
      <c r="C2549" s="21" t="s">
        <v>57</v>
      </c>
      <c r="D2549" s="21" t="s">
        <v>29</v>
      </c>
      <c r="E2549">
        <v>258</v>
      </c>
      <c r="F2549">
        <v>23</v>
      </c>
      <c r="G2549" s="21" t="s">
        <v>30</v>
      </c>
      <c r="H2549" s="21" t="s">
        <v>3251</v>
      </c>
      <c r="I2549" s="21" t="s">
        <v>970</v>
      </c>
    </row>
    <row r="2550" spans="1:9" x14ac:dyDescent="0.25">
      <c r="A2550" s="21" t="s">
        <v>994</v>
      </c>
      <c r="B2550">
        <v>81</v>
      </c>
      <c r="C2550" s="21" t="s">
        <v>57</v>
      </c>
      <c r="D2550" s="21" t="s">
        <v>141</v>
      </c>
      <c r="E2550">
        <v>265</v>
      </c>
      <c r="F2550">
        <v>25</v>
      </c>
      <c r="G2550" s="21" t="s">
        <v>16</v>
      </c>
      <c r="H2550" s="21" t="s">
        <v>98</v>
      </c>
      <c r="I2550" s="21" t="s">
        <v>970</v>
      </c>
    </row>
    <row r="2551" spans="1:9" x14ac:dyDescent="0.25">
      <c r="A2551" s="21" t="s">
        <v>995</v>
      </c>
      <c r="B2551">
        <v>54</v>
      </c>
      <c r="C2551" s="21" t="s">
        <v>230</v>
      </c>
      <c r="D2551" s="21" t="s">
        <v>11</v>
      </c>
      <c r="E2551">
        <v>230</v>
      </c>
      <c r="F2551">
        <v>24</v>
      </c>
      <c r="G2551" s="21" t="s">
        <v>16</v>
      </c>
      <c r="H2551" s="21" t="s">
        <v>996</v>
      </c>
      <c r="I2551" s="21" t="s">
        <v>970</v>
      </c>
    </row>
    <row r="2552" spans="1:9" x14ac:dyDescent="0.25">
      <c r="A2552" s="21" t="s">
        <v>997</v>
      </c>
      <c r="B2552">
        <v>62</v>
      </c>
      <c r="C2552" s="21" t="s">
        <v>277</v>
      </c>
      <c r="D2552" s="21" t="s">
        <v>35</v>
      </c>
      <c r="E2552">
        <v>310</v>
      </c>
      <c r="F2552">
        <v>25</v>
      </c>
      <c r="G2552" s="21" t="s">
        <v>83</v>
      </c>
      <c r="H2552" s="21" t="s">
        <v>282</v>
      </c>
      <c r="I2552" s="21" t="s">
        <v>970</v>
      </c>
    </row>
    <row r="2553" spans="1:9" x14ac:dyDescent="0.25">
      <c r="A2553" s="21" t="s">
        <v>998</v>
      </c>
      <c r="B2553">
        <v>74</v>
      </c>
      <c r="C2553" s="21" t="s">
        <v>140</v>
      </c>
      <c r="D2553" s="21" t="s">
        <v>29</v>
      </c>
      <c r="E2553">
        <v>318</v>
      </c>
      <c r="F2553">
        <v>30</v>
      </c>
      <c r="G2553" s="21" t="s">
        <v>45</v>
      </c>
      <c r="H2553" s="21" t="s">
        <v>251</v>
      </c>
      <c r="I2553" s="21" t="s">
        <v>970</v>
      </c>
    </row>
    <row r="2554" spans="1:9" x14ac:dyDescent="0.25">
      <c r="A2554" s="21" t="s">
        <v>999</v>
      </c>
      <c r="B2554">
        <v>53</v>
      </c>
      <c r="C2554" s="21" t="s">
        <v>184</v>
      </c>
      <c r="D2554" s="21" t="s">
        <v>35</v>
      </c>
      <c r="E2554">
        <v>315</v>
      </c>
      <c r="F2554">
        <v>23</v>
      </c>
      <c r="G2554" s="21" t="s">
        <v>30</v>
      </c>
      <c r="H2554" s="21" t="s">
        <v>176</v>
      </c>
      <c r="I2554" s="21" t="s">
        <v>970</v>
      </c>
    </row>
    <row r="2555" spans="1:9" x14ac:dyDescent="0.25">
      <c r="A2555" s="21" t="s">
        <v>1000</v>
      </c>
      <c r="B2555">
        <v>71</v>
      </c>
      <c r="C2555" s="21" t="s">
        <v>140</v>
      </c>
      <c r="D2555" s="21" t="s">
        <v>67</v>
      </c>
      <c r="E2555">
        <v>298</v>
      </c>
      <c r="F2555">
        <v>29</v>
      </c>
      <c r="G2555" s="21" t="s">
        <v>100</v>
      </c>
      <c r="H2555" s="21" t="s">
        <v>122</v>
      </c>
      <c r="I2555" s="21" t="s">
        <v>970</v>
      </c>
    </row>
    <row r="2556" spans="1:9" x14ac:dyDescent="0.25">
      <c r="A2556" s="21" t="s">
        <v>1001</v>
      </c>
      <c r="B2556">
        <v>22</v>
      </c>
      <c r="C2556" s="21" t="s">
        <v>51</v>
      </c>
      <c r="D2556" s="21" t="s">
        <v>52</v>
      </c>
      <c r="E2556">
        <v>232</v>
      </c>
      <c r="F2556">
        <v>24</v>
      </c>
      <c r="G2556" s="21" t="s">
        <v>30</v>
      </c>
      <c r="H2556" s="21" t="s">
        <v>233</v>
      </c>
      <c r="I2556" s="21" t="s">
        <v>970</v>
      </c>
    </row>
    <row r="2557" spans="1:9" x14ac:dyDescent="0.25">
      <c r="A2557" s="21" t="s">
        <v>1002</v>
      </c>
      <c r="B2557">
        <v>6</v>
      </c>
      <c r="C2557" s="21" t="s">
        <v>193</v>
      </c>
      <c r="D2557" s="21" t="s">
        <v>11</v>
      </c>
      <c r="E2557">
        <v>255</v>
      </c>
      <c r="F2557">
        <v>23</v>
      </c>
      <c r="G2557" s="21" t="s">
        <v>30</v>
      </c>
      <c r="H2557" s="21" t="s">
        <v>132</v>
      </c>
      <c r="I2557" s="21" t="s">
        <v>970</v>
      </c>
    </row>
    <row r="2558" spans="1:9" x14ac:dyDescent="0.25">
      <c r="A2558" s="21" t="s">
        <v>1003</v>
      </c>
      <c r="B2558">
        <v>60</v>
      </c>
      <c r="C2558" s="21" t="s">
        <v>184</v>
      </c>
      <c r="D2558" s="21" t="s">
        <v>24</v>
      </c>
      <c r="E2558">
        <v>295</v>
      </c>
      <c r="F2558">
        <v>26</v>
      </c>
      <c r="G2558" s="21" t="s">
        <v>12</v>
      </c>
      <c r="H2558" s="21" t="s">
        <v>233</v>
      </c>
      <c r="I2558" s="21" t="s">
        <v>970</v>
      </c>
    </row>
    <row r="2559" spans="1:9" x14ac:dyDescent="0.25">
      <c r="A2559" s="21" t="s">
        <v>1004</v>
      </c>
      <c r="B2559">
        <v>97</v>
      </c>
      <c r="C2559" s="21" t="s">
        <v>114</v>
      </c>
      <c r="D2559" s="21" t="s">
        <v>29</v>
      </c>
      <c r="E2559">
        <v>295</v>
      </c>
      <c r="F2559">
        <v>33</v>
      </c>
      <c r="G2559" s="21" t="s">
        <v>186</v>
      </c>
      <c r="H2559" s="21" t="s">
        <v>36</v>
      </c>
      <c r="I2559" s="21" t="s">
        <v>970</v>
      </c>
    </row>
    <row r="2560" spans="1:9" x14ac:dyDescent="0.25">
      <c r="A2560" s="21" t="s">
        <v>1005</v>
      </c>
      <c r="B2560">
        <v>83</v>
      </c>
      <c r="C2560" s="21" t="s">
        <v>57</v>
      </c>
      <c r="D2560" s="21" t="s">
        <v>11</v>
      </c>
      <c r="E2560">
        <v>230</v>
      </c>
      <c r="F2560">
        <v>23</v>
      </c>
      <c r="G2560" s="21" t="s">
        <v>25</v>
      </c>
      <c r="H2560" s="21" t="s">
        <v>55</v>
      </c>
      <c r="I2560" s="21" t="s">
        <v>970</v>
      </c>
    </row>
    <row r="2561" spans="1:9" x14ac:dyDescent="0.25">
      <c r="A2561" s="21" t="s">
        <v>1006</v>
      </c>
      <c r="B2561">
        <v>56</v>
      </c>
      <c r="C2561" s="21" t="s">
        <v>15</v>
      </c>
      <c r="D2561" s="21" t="s">
        <v>35</v>
      </c>
      <c r="E2561">
        <v>242</v>
      </c>
      <c r="F2561">
        <v>24</v>
      </c>
      <c r="G2561" s="21" t="s">
        <v>12</v>
      </c>
      <c r="H2561" s="21" t="s">
        <v>680</v>
      </c>
      <c r="I2561" s="21" t="s">
        <v>970</v>
      </c>
    </row>
    <row r="2562" spans="1:9" x14ac:dyDescent="0.25">
      <c r="A2562" s="21" t="s">
        <v>1007</v>
      </c>
      <c r="B2562">
        <v>51</v>
      </c>
      <c r="C2562" s="21" t="s">
        <v>15</v>
      </c>
      <c r="D2562" s="21" t="s">
        <v>52</v>
      </c>
      <c r="E2562">
        <v>255</v>
      </c>
      <c r="F2562">
        <v>26</v>
      </c>
      <c r="G2562" s="21" t="s">
        <v>100</v>
      </c>
      <c r="H2562" s="21" t="s">
        <v>39</v>
      </c>
      <c r="I2562" s="21" t="s">
        <v>970</v>
      </c>
    </row>
    <row r="2563" spans="1:9" x14ac:dyDescent="0.25">
      <c r="A2563" s="21" t="s">
        <v>1008</v>
      </c>
      <c r="B2563">
        <v>66</v>
      </c>
      <c r="C2563" s="21" t="s">
        <v>114</v>
      </c>
      <c r="D2563" s="21" t="s">
        <v>44</v>
      </c>
      <c r="E2563">
        <v>325</v>
      </c>
      <c r="F2563">
        <v>23</v>
      </c>
      <c r="G2563" s="21" t="s">
        <v>25</v>
      </c>
      <c r="H2563" s="21" t="s">
        <v>98</v>
      </c>
      <c r="I2563" s="21" t="s">
        <v>970</v>
      </c>
    </row>
    <row r="2564" spans="1:9" x14ac:dyDescent="0.25">
      <c r="A2564" s="21" t="s">
        <v>1009</v>
      </c>
      <c r="B2564">
        <v>45</v>
      </c>
      <c r="C2564" s="21" t="s">
        <v>15</v>
      </c>
      <c r="D2564" s="21" t="s">
        <v>24</v>
      </c>
      <c r="E2564">
        <v>240</v>
      </c>
      <c r="F2564">
        <v>23</v>
      </c>
      <c r="G2564" s="21" t="s">
        <v>30</v>
      </c>
      <c r="H2564" s="21" t="s">
        <v>152</v>
      </c>
      <c r="I2564" s="21" t="s">
        <v>970</v>
      </c>
    </row>
    <row r="2565" spans="1:9" x14ac:dyDescent="0.25">
      <c r="A2565" s="21" t="s">
        <v>1010</v>
      </c>
      <c r="B2565">
        <v>18</v>
      </c>
      <c r="C2565" s="21" t="s">
        <v>10</v>
      </c>
      <c r="D2565" s="21" t="s">
        <v>125</v>
      </c>
      <c r="E2565">
        <v>183</v>
      </c>
      <c r="F2565">
        <v>26</v>
      </c>
      <c r="G2565" s="21" t="s">
        <v>16</v>
      </c>
      <c r="H2565" s="21" t="s">
        <v>93</v>
      </c>
      <c r="I2565" s="21" t="s">
        <v>970</v>
      </c>
    </row>
    <row r="2566" spans="1:9" x14ac:dyDescent="0.25">
      <c r="A2566" s="21" t="s">
        <v>1011</v>
      </c>
      <c r="B2566">
        <v>44</v>
      </c>
      <c r="C2566" s="21" t="s">
        <v>15</v>
      </c>
      <c r="D2566" s="21" t="s">
        <v>35</v>
      </c>
      <c r="E2566">
        <v>240</v>
      </c>
      <c r="F2566">
        <v>23</v>
      </c>
      <c r="G2566" s="21" t="s">
        <v>25</v>
      </c>
      <c r="H2566" s="21" t="s">
        <v>152</v>
      </c>
      <c r="I2566" s="21" t="s">
        <v>970</v>
      </c>
    </row>
    <row r="2567" spans="1:9" x14ac:dyDescent="0.25">
      <c r="A2567" s="21" t="s">
        <v>1012</v>
      </c>
      <c r="B2567">
        <v>38</v>
      </c>
      <c r="C2567" s="21" t="s">
        <v>89</v>
      </c>
      <c r="D2567" s="21" t="s">
        <v>125</v>
      </c>
      <c r="E2567">
        <v>200</v>
      </c>
      <c r="F2567">
        <v>28</v>
      </c>
      <c r="G2567" s="21" t="s">
        <v>38</v>
      </c>
      <c r="H2567" s="21" t="s">
        <v>143</v>
      </c>
      <c r="I2567" s="21" t="s">
        <v>970</v>
      </c>
    </row>
    <row r="2568" spans="1:9" x14ac:dyDescent="0.25">
      <c r="A2568" s="21" t="s">
        <v>1013</v>
      </c>
      <c r="B2568">
        <v>24</v>
      </c>
      <c r="C2568" s="21" t="s">
        <v>89</v>
      </c>
      <c r="D2568" s="21" t="s">
        <v>54</v>
      </c>
      <c r="E2568">
        <v>174</v>
      </c>
      <c r="F2568">
        <v>29</v>
      </c>
      <c r="G2568" s="21" t="s">
        <v>38</v>
      </c>
      <c r="H2568" s="21" t="s">
        <v>33</v>
      </c>
      <c r="I2568" s="21" t="s">
        <v>970</v>
      </c>
    </row>
    <row r="2569" spans="1:9" x14ac:dyDescent="0.25">
      <c r="A2569" s="21" t="s">
        <v>1014</v>
      </c>
      <c r="B2569">
        <v>28</v>
      </c>
      <c r="C2569" s="21" t="s">
        <v>89</v>
      </c>
      <c r="D2569" s="21" t="s">
        <v>24</v>
      </c>
      <c r="E2569">
        <v>222</v>
      </c>
      <c r="F2569">
        <v>29</v>
      </c>
      <c r="G2569" s="21" t="s">
        <v>100</v>
      </c>
      <c r="H2569" s="21" t="s">
        <v>1015</v>
      </c>
      <c r="I2569" s="21" t="s">
        <v>970</v>
      </c>
    </row>
    <row r="2570" spans="1:9" x14ac:dyDescent="0.25">
      <c r="A2570" s="21" t="s">
        <v>1016</v>
      </c>
      <c r="B2570">
        <v>46</v>
      </c>
      <c r="C2570" s="21" t="s">
        <v>158</v>
      </c>
      <c r="D2570" s="21" t="s">
        <v>52</v>
      </c>
      <c r="E2570">
        <v>228</v>
      </c>
      <c r="F2570">
        <v>28</v>
      </c>
      <c r="G2570" s="21" t="s">
        <v>30</v>
      </c>
      <c r="H2570" s="21" t="s">
        <v>987</v>
      </c>
      <c r="I2570" s="21" t="s">
        <v>970</v>
      </c>
    </row>
    <row r="2571" spans="1:9" x14ac:dyDescent="0.25">
      <c r="A2571" s="21" t="s">
        <v>1017</v>
      </c>
      <c r="B2571">
        <v>31</v>
      </c>
      <c r="C2571" s="21" t="s">
        <v>48</v>
      </c>
      <c r="D2571" s="21" t="s">
        <v>24</v>
      </c>
      <c r="E2571">
        <v>192</v>
      </c>
      <c r="F2571">
        <v>24</v>
      </c>
      <c r="G2571" s="21" t="s">
        <v>16</v>
      </c>
      <c r="H2571" s="21" t="s">
        <v>55</v>
      </c>
      <c r="I2571" s="21" t="s">
        <v>970</v>
      </c>
    </row>
    <row r="2572" spans="1:9" x14ac:dyDescent="0.25">
      <c r="A2572" s="21" t="s">
        <v>1018</v>
      </c>
      <c r="B2572">
        <v>98</v>
      </c>
      <c r="C2572" s="21" t="s">
        <v>319</v>
      </c>
      <c r="D2572" s="21" t="s">
        <v>35</v>
      </c>
      <c r="E2572">
        <v>290</v>
      </c>
      <c r="F2572">
        <v>22</v>
      </c>
      <c r="G2572" s="21" t="s">
        <v>25</v>
      </c>
      <c r="H2572" s="21" t="s">
        <v>152</v>
      </c>
      <c r="I2572" s="21" t="s">
        <v>970</v>
      </c>
    </row>
    <row r="2573" spans="1:9" x14ac:dyDescent="0.25">
      <c r="A2573" s="21" t="s">
        <v>1019</v>
      </c>
      <c r="B2573">
        <v>77</v>
      </c>
      <c r="C2573" s="21" t="s">
        <v>28</v>
      </c>
      <c r="D2573" s="21" t="s">
        <v>20</v>
      </c>
      <c r="E2573">
        <v>310</v>
      </c>
      <c r="F2573">
        <v>26</v>
      </c>
      <c r="G2573" s="21" t="s">
        <v>30</v>
      </c>
      <c r="H2573" s="21" t="s">
        <v>643</v>
      </c>
      <c r="I2573" s="21" t="s">
        <v>970</v>
      </c>
    </row>
    <row r="2574" spans="1:9" x14ac:dyDescent="0.25">
      <c r="A2574" s="21" t="s">
        <v>1020</v>
      </c>
      <c r="B2574">
        <v>92</v>
      </c>
      <c r="C2574" s="21" t="s">
        <v>319</v>
      </c>
      <c r="D2574" s="21" t="s">
        <v>20</v>
      </c>
      <c r="E2574">
        <v>293</v>
      </c>
      <c r="F2574">
        <v>24</v>
      </c>
      <c r="G2574" s="21" t="s">
        <v>30</v>
      </c>
      <c r="H2574" s="21" t="s">
        <v>68</v>
      </c>
      <c r="I2574" s="21" t="s">
        <v>970</v>
      </c>
    </row>
    <row r="2575" spans="1:9" x14ac:dyDescent="0.25">
      <c r="A2575" s="21" t="s">
        <v>1021</v>
      </c>
      <c r="B2575">
        <v>35</v>
      </c>
      <c r="C2575" s="21" t="s">
        <v>48</v>
      </c>
      <c r="D2575" s="21" t="s">
        <v>125</v>
      </c>
      <c r="E2575">
        <v>190</v>
      </c>
      <c r="F2575">
        <v>29</v>
      </c>
      <c r="G2575" s="21" t="s">
        <v>38</v>
      </c>
      <c r="H2575" s="21" t="s">
        <v>627</v>
      </c>
      <c r="I2575" s="21" t="s">
        <v>970</v>
      </c>
    </row>
    <row r="2576" spans="1:9" x14ac:dyDescent="0.25">
      <c r="A2576" s="21" t="s">
        <v>1022</v>
      </c>
      <c r="B2576">
        <v>26</v>
      </c>
      <c r="C2576" s="21" t="s">
        <v>51</v>
      </c>
      <c r="D2576" s="21" t="s">
        <v>86</v>
      </c>
      <c r="E2576">
        <v>193</v>
      </c>
      <c r="F2576">
        <v>23</v>
      </c>
      <c r="G2576" s="21" t="s">
        <v>12</v>
      </c>
      <c r="H2576" s="21" t="s">
        <v>481</v>
      </c>
      <c r="I2576" s="21" t="s">
        <v>970</v>
      </c>
    </row>
    <row r="2577" spans="1:9" x14ac:dyDescent="0.25">
      <c r="A2577" s="21" t="s">
        <v>1023</v>
      </c>
      <c r="B2577">
        <v>17</v>
      </c>
      <c r="C2577" s="21" t="s">
        <v>10</v>
      </c>
      <c r="D2577" s="21" t="s">
        <v>54</v>
      </c>
      <c r="E2577">
        <v>199</v>
      </c>
      <c r="F2577">
        <v>27</v>
      </c>
      <c r="G2577" s="21" t="s">
        <v>16</v>
      </c>
      <c r="H2577" s="21" t="s">
        <v>627</v>
      </c>
      <c r="I2577" s="21" t="s">
        <v>970</v>
      </c>
    </row>
    <row r="2578" spans="1:9" x14ac:dyDescent="0.25">
      <c r="A2578" s="21" t="s">
        <v>1024</v>
      </c>
      <c r="B2578">
        <v>99</v>
      </c>
      <c r="C2578" s="21" t="s">
        <v>319</v>
      </c>
      <c r="D2578" s="21" t="s">
        <v>35</v>
      </c>
      <c r="E2578">
        <v>280</v>
      </c>
      <c r="F2578">
        <v>26</v>
      </c>
      <c r="G2578" s="21" t="s">
        <v>12</v>
      </c>
      <c r="H2578" s="21" t="s">
        <v>22</v>
      </c>
      <c r="I2578" s="21" t="s">
        <v>970</v>
      </c>
    </row>
    <row r="2579" spans="1:9" x14ac:dyDescent="0.25">
      <c r="A2579" s="21" t="s">
        <v>1025</v>
      </c>
      <c r="B2579">
        <v>65</v>
      </c>
      <c r="C2579" s="21" t="s">
        <v>140</v>
      </c>
      <c r="D2579" s="21" t="s">
        <v>29</v>
      </c>
      <c r="E2579">
        <v>315</v>
      </c>
      <c r="F2579">
        <v>23</v>
      </c>
      <c r="G2579" s="21" t="s">
        <v>30</v>
      </c>
      <c r="H2579" s="21" t="s">
        <v>152</v>
      </c>
      <c r="I2579" s="21" t="s">
        <v>970</v>
      </c>
    </row>
    <row r="2580" spans="1:9" x14ac:dyDescent="0.25">
      <c r="A2580" s="21" t="s">
        <v>1026</v>
      </c>
      <c r="B2580">
        <v>46</v>
      </c>
      <c r="C2580" s="21" t="s">
        <v>15</v>
      </c>
      <c r="D2580" s="21" t="s">
        <v>24</v>
      </c>
      <c r="E2580">
        <v>253</v>
      </c>
      <c r="F2580">
        <v>24</v>
      </c>
      <c r="G2580" s="21" t="s">
        <v>25</v>
      </c>
      <c r="H2580" s="21" t="s">
        <v>65</v>
      </c>
      <c r="I2580" s="21" t="s">
        <v>970</v>
      </c>
    </row>
    <row r="2581" spans="1:9" x14ac:dyDescent="0.25">
      <c r="A2581" s="21" t="s">
        <v>1027</v>
      </c>
      <c r="B2581">
        <v>16</v>
      </c>
      <c r="C2581" s="21" t="s">
        <v>193</v>
      </c>
      <c r="D2581" s="21" t="s">
        <v>24</v>
      </c>
      <c r="E2581">
        <v>200</v>
      </c>
      <c r="F2581">
        <v>27</v>
      </c>
      <c r="G2581" s="21" t="s">
        <v>30</v>
      </c>
      <c r="H2581" s="21" t="s">
        <v>196</v>
      </c>
      <c r="I2581" s="21" t="s">
        <v>970</v>
      </c>
    </row>
    <row r="2582" spans="1:9" x14ac:dyDescent="0.25">
      <c r="A2582" s="21" t="s">
        <v>1028</v>
      </c>
      <c r="B2582">
        <v>21</v>
      </c>
      <c r="C2582" s="21" t="s">
        <v>124</v>
      </c>
      <c r="D2582" s="21" t="s">
        <v>11</v>
      </c>
      <c r="E2582">
        <v>194</v>
      </c>
      <c r="F2582">
        <v>23</v>
      </c>
      <c r="G2582" s="21" t="s">
        <v>30</v>
      </c>
      <c r="H2582" s="21" t="s">
        <v>187</v>
      </c>
      <c r="I2582" s="21" t="s">
        <v>970</v>
      </c>
    </row>
    <row r="2583" spans="1:9" x14ac:dyDescent="0.25">
      <c r="A2583" s="21" t="s">
        <v>1029</v>
      </c>
      <c r="B2583">
        <v>65</v>
      </c>
      <c r="C2583" s="21" t="s">
        <v>114</v>
      </c>
      <c r="D2583" s="21" t="s">
        <v>44</v>
      </c>
      <c r="E2583">
        <v>305</v>
      </c>
      <c r="F2583">
        <v>28</v>
      </c>
      <c r="G2583" s="21" t="s">
        <v>38</v>
      </c>
      <c r="H2583" s="21" t="s">
        <v>680</v>
      </c>
      <c r="I2583" s="21" t="s">
        <v>970</v>
      </c>
    </row>
    <row r="2584" spans="1:9" x14ac:dyDescent="0.25">
      <c r="A2584" s="21" t="s">
        <v>1030</v>
      </c>
      <c r="B2584">
        <v>76</v>
      </c>
      <c r="C2584" s="21" t="s">
        <v>28</v>
      </c>
      <c r="D2584" s="21" t="s">
        <v>67</v>
      </c>
      <c r="E2584">
        <v>320</v>
      </c>
      <c r="F2584">
        <v>24</v>
      </c>
      <c r="G2584" s="21" t="s">
        <v>45</v>
      </c>
      <c r="H2584" s="21" t="s">
        <v>147</v>
      </c>
      <c r="I2584" s="21" t="s">
        <v>970</v>
      </c>
    </row>
    <row r="2585" spans="1:9" x14ac:dyDescent="0.25">
      <c r="A2585" s="21" t="s">
        <v>1031</v>
      </c>
      <c r="B2585">
        <v>5</v>
      </c>
      <c r="C2585" s="21" t="s">
        <v>70</v>
      </c>
      <c r="D2585" s="21" t="s">
        <v>24</v>
      </c>
      <c r="E2585">
        <v>195</v>
      </c>
      <c r="F2585">
        <v>24</v>
      </c>
      <c r="G2585" s="21" t="s">
        <v>25</v>
      </c>
      <c r="H2585" s="21" t="s">
        <v>694</v>
      </c>
      <c r="I2585" s="21" t="s">
        <v>970</v>
      </c>
    </row>
    <row r="2586" spans="1:9" x14ac:dyDescent="0.25">
      <c r="A2586" s="21" t="s">
        <v>1032</v>
      </c>
      <c r="B2586">
        <v>89</v>
      </c>
      <c r="C2586" s="21" t="s">
        <v>10</v>
      </c>
      <c r="D2586" s="21" t="s">
        <v>11</v>
      </c>
      <c r="E2586">
        <v>190</v>
      </c>
      <c r="F2586">
        <v>25</v>
      </c>
      <c r="G2586" s="21" t="s">
        <v>16</v>
      </c>
      <c r="H2586" s="21" t="s">
        <v>1033</v>
      </c>
      <c r="I2586" s="21" t="s">
        <v>970</v>
      </c>
    </row>
    <row r="2587" spans="1:9" x14ac:dyDescent="0.25">
      <c r="A2587" s="21" t="s">
        <v>1034</v>
      </c>
      <c r="B2587">
        <v>79</v>
      </c>
      <c r="C2587" s="21" t="s">
        <v>184</v>
      </c>
      <c r="D2587" s="21" t="s">
        <v>44</v>
      </c>
      <c r="E2587">
        <v>305</v>
      </c>
      <c r="F2587">
        <v>24</v>
      </c>
      <c r="G2587" s="21" t="s">
        <v>25</v>
      </c>
      <c r="H2587" s="21" t="s">
        <v>233</v>
      </c>
      <c r="I2587" s="21" t="s">
        <v>970</v>
      </c>
    </row>
    <row r="2588" spans="1:9" x14ac:dyDescent="0.25">
      <c r="A2588" s="21" t="s">
        <v>1035</v>
      </c>
      <c r="B2588">
        <v>14</v>
      </c>
      <c r="C2588" s="21" t="s">
        <v>10</v>
      </c>
      <c r="D2588" s="21" t="s">
        <v>44</v>
      </c>
      <c r="E2588">
        <v>200</v>
      </c>
      <c r="F2588">
        <v>21</v>
      </c>
      <c r="G2588" s="21" t="s">
        <v>25</v>
      </c>
      <c r="H2588" s="21" t="s">
        <v>196</v>
      </c>
      <c r="I2588" s="21" t="s">
        <v>970</v>
      </c>
    </row>
    <row r="2589" spans="1:9" x14ac:dyDescent="0.25">
      <c r="A2589" s="21" t="s">
        <v>1036</v>
      </c>
      <c r="B2589">
        <v>8</v>
      </c>
      <c r="C2589" s="21" t="s">
        <v>70</v>
      </c>
      <c r="D2589" s="21" t="s">
        <v>44</v>
      </c>
      <c r="E2589">
        <v>220</v>
      </c>
      <c r="F2589">
        <v>24</v>
      </c>
      <c r="G2589" s="21" t="s">
        <v>25</v>
      </c>
      <c r="H2589" s="21" t="s">
        <v>128</v>
      </c>
      <c r="I2589" s="21" t="s">
        <v>970</v>
      </c>
    </row>
    <row r="2590" spans="1:9" x14ac:dyDescent="0.25">
      <c r="A2590" s="21" t="s">
        <v>1037</v>
      </c>
      <c r="B2590">
        <v>42</v>
      </c>
      <c r="C2590" s="21" t="s">
        <v>48</v>
      </c>
      <c r="D2590" s="21" t="s">
        <v>24</v>
      </c>
      <c r="E2590">
        <v>185</v>
      </c>
      <c r="F2590">
        <v>25</v>
      </c>
      <c r="G2590" s="21" t="s">
        <v>12</v>
      </c>
      <c r="H2590" s="21" t="s">
        <v>17</v>
      </c>
      <c r="I2590" s="21" t="s">
        <v>970</v>
      </c>
    </row>
    <row r="2591" spans="1:9" x14ac:dyDescent="0.25">
      <c r="A2591" s="21" t="s">
        <v>1038</v>
      </c>
      <c r="B2591">
        <v>30</v>
      </c>
      <c r="C2591" s="21" t="s">
        <v>124</v>
      </c>
      <c r="D2591" s="21" t="s">
        <v>52</v>
      </c>
      <c r="E2591">
        <v>205</v>
      </c>
      <c r="F2591">
        <v>22</v>
      </c>
      <c r="G2591" s="21" t="s">
        <v>25</v>
      </c>
      <c r="H2591" s="21" t="s">
        <v>115</v>
      </c>
      <c r="I2591" s="21" t="s">
        <v>970</v>
      </c>
    </row>
    <row r="2592" spans="1:9" x14ac:dyDescent="0.25">
      <c r="A2592" s="21" t="s">
        <v>1039</v>
      </c>
      <c r="B2592">
        <v>87</v>
      </c>
      <c r="C2592" s="21" t="s">
        <v>57</v>
      </c>
      <c r="D2592" s="21" t="s">
        <v>35</v>
      </c>
      <c r="E2592">
        <v>250</v>
      </c>
      <c r="F2592">
        <v>27</v>
      </c>
      <c r="G2592" s="21" t="s">
        <v>30</v>
      </c>
      <c r="H2592" s="21" t="s">
        <v>955</v>
      </c>
      <c r="I2592" s="21" t="s">
        <v>970</v>
      </c>
    </row>
    <row r="2593" spans="1:9" x14ac:dyDescent="0.25">
      <c r="A2593" s="21" t="s">
        <v>1040</v>
      </c>
      <c r="B2593">
        <v>93</v>
      </c>
      <c r="C2593" s="21" t="s">
        <v>15</v>
      </c>
      <c r="D2593" s="21" t="s">
        <v>54</v>
      </c>
      <c r="E2593">
        <v>235</v>
      </c>
      <c r="F2593">
        <v>22</v>
      </c>
      <c r="G2593" s="21" t="s">
        <v>25</v>
      </c>
      <c r="H2593" s="21" t="s">
        <v>516</v>
      </c>
      <c r="I2593" s="21" t="s">
        <v>970</v>
      </c>
    </row>
    <row r="2594" spans="1:9" x14ac:dyDescent="0.25">
      <c r="A2594" s="21" t="s">
        <v>1041</v>
      </c>
      <c r="B2594">
        <v>2</v>
      </c>
      <c r="C2594" s="21" t="s">
        <v>70</v>
      </c>
      <c r="D2594" s="21" t="s">
        <v>29</v>
      </c>
      <c r="E2594">
        <v>235</v>
      </c>
      <c r="F2594">
        <v>27</v>
      </c>
      <c r="G2594" s="21" t="s">
        <v>45</v>
      </c>
      <c r="H2594" s="21" t="s">
        <v>130</v>
      </c>
      <c r="I2594" s="21" t="s">
        <v>970</v>
      </c>
    </row>
    <row r="2595" spans="1:9" x14ac:dyDescent="0.25">
      <c r="A2595" s="21" t="s">
        <v>1042</v>
      </c>
      <c r="B2595">
        <v>16</v>
      </c>
      <c r="C2595" s="21" t="s">
        <v>76</v>
      </c>
      <c r="D2595" s="21" t="s">
        <v>135</v>
      </c>
      <c r="E2595">
        <v>191</v>
      </c>
      <c r="F2595">
        <v>22</v>
      </c>
      <c r="G2595" s="21" t="s">
        <v>25</v>
      </c>
      <c r="H2595" s="21" t="s">
        <v>282</v>
      </c>
      <c r="I2595" s="21" t="s">
        <v>970</v>
      </c>
    </row>
    <row r="2596" spans="1:9" x14ac:dyDescent="0.25">
      <c r="A2596" s="21" t="s">
        <v>1043</v>
      </c>
      <c r="B2596">
        <v>50</v>
      </c>
      <c r="C2596" s="21" t="s">
        <v>15</v>
      </c>
      <c r="D2596" s="21" t="s">
        <v>29</v>
      </c>
      <c r="E2596">
        <v>246</v>
      </c>
      <c r="F2596">
        <v>25</v>
      </c>
      <c r="G2596" s="21" t="s">
        <v>83</v>
      </c>
      <c r="H2596" s="21" t="s">
        <v>674</v>
      </c>
      <c r="I2596" s="21" t="s">
        <v>970</v>
      </c>
    </row>
    <row r="2597" spans="1:9" x14ac:dyDescent="0.25">
      <c r="A2597" s="21" t="s">
        <v>1044</v>
      </c>
      <c r="B2597">
        <v>64</v>
      </c>
      <c r="C2597" s="21" t="s">
        <v>28</v>
      </c>
      <c r="D2597" s="21" t="s">
        <v>29</v>
      </c>
      <c r="E2597">
        <v>320</v>
      </c>
      <c r="F2597">
        <v>28</v>
      </c>
      <c r="G2597" s="21" t="s">
        <v>45</v>
      </c>
      <c r="H2597" s="21" t="s">
        <v>1045</v>
      </c>
      <c r="I2597" s="21" t="s">
        <v>970</v>
      </c>
    </row>
    <row r="2598" spans="1:9" x14ac:dyDescent="0.25">
      <c r="A2598" s="21" t="s">
        <v>1046</v>
      </c>
      <c r="B2598">
        <v>82</v>
      </c>
      <c r="C2598" s="21" t="s">
        <v>10</v>
      </c>
      <c r="D2598" s="21" t="s">
        <v>125</v>
      </c>
      <c r="E2598">
        <v>176</v>
      </c>
      <c r="F2598">
        <v>25</v>
      </c>
      <c r="G2598" s="21" t="s">
        <v>12</v>
      </c>
      <c r="H2598" s="21" t="s">
        <v>1047</v>
      </c>
      <c r="I2598" s="21" t="s">
        <v>970</v>
      </c>
    </row>
    <row r="2599" spans="1:9" x14ac:dyDescent="0.25">
      <c r="A2599" s="21" t="s">
        <v>1048</v>
      </c>
      <c r="B2599">
        <v>53</v>
      </c>
      <c r="C2599" s="21" t="s">
        <v>15</v>
      </c>
      <c r="D2599" s="21" t="s">
        <v>44</v>
      </c>
      <c r="E2599">
        <v>246</v>
      </c>
      <c r="F2599">
        <v>27</v>
      </c>
      <c r="G2599" s="21" t="s">
        <v>30</v>
      </c>
      <c r="H2599" s="21" t="s">
        <v>93</v>
      </c>
      <c r="I2599" s="21" t="s">
        <v>970</v>
      </c>
    </row>
    <row r="2600" spans="1:9" x14ac:dyDescent="0.25">
      <c r="A2600" s="21" t="s">
        <v>1049</v>
      </c>
      <c r="B2600">
        <v>84</v>
      </c>
      <c r="C2600" s="21" t="s">
        <v>10</v>
      </c>
      <c r="D2600" s="21" t="s">
        <v>362</v>
      </c>
      <c r="E2600">
        <v>174</v>
      </c>
      <c r="F2600">
        <v>22</v>
      </c>
      <c r="G2600" s="21" t="s">
        <v>25</v>
      </c>
      <c r="H2600" s="21" t="s">
        <v>813</v>
      </c>
      <c r="I2600" s="21" t="s">
        <v>970</v>
      </c>
    </row>
    <row r="2601" spans="1:9" x14ac:dyDescent="0.25">
      <c r="A2601" s="21" t="s">
        <v>1050</v>
      </c>
      <c r="B2601">
        <v>24</v>
      </c>
      <c r="C2601" s="21" t="s">
        <v>51</v>
      </c>
      <c r="D2601" s="21" t="s">
        <v>125</v>
      </c>
      <c r="E2601">
        <v>224</v>
      </c>
      <c r="F2601">
        <v>24</v>
      </c>
      <c r="G2601" s="21" t="s">
        <v>16</v>
      </c>
      <c r="H2601" s="21" t="s">
        <v>683</v>
      </c>
      <c r="I2601" s="21" t="s">
        <v>970</v>
      </c>
    </row>
    <row r="2602" spans="1:9" x14ac:dyDescent="0.25">
      <c r="A2602" s="21" t="s">
        <v>1051</v>
      </c>
      <c r="B2602">
        <v>41</v>
      </c>
      <c r="C2602" s="21" t="s">
        <v>15</v>
      </c>
      <c r="D2602" s="21" t="s">
        <v>52</v>
      </c>
      <c r="E2602">
        <v>229</v>
      </c>
      <c r="F2602">
        <v>26</v>
      </c>
      <c r="G2602" s="21" t="s">
        <v>16</v>
      </c>
      <c r="H2602" s="21" t="s">
        <v>147</v>
      </c>
      <c r="I2602" s="21" t="s">
        <v>970</v>
      </c>
    </row>
    <row r="2603" spans="1:9" x14ac:dyDescent="0.25">
      <c r="A2603" s="21" t="s">
        <v>1052</v>
      </c>
      <c r="B2603">
        <v>26</v>
      </c>
      <c r="C2603" s="21" t="s">
        <v>124</v>
      </c>
      <c r="D2603" s="21" t="s">
        <v>52</v>
      </c>
      <c r="E2603">
        <v>190</v>
      </c>
      <c r="F2603">
        <v>21</v>
      </c>
      <c r="G2603" s="21" t="s">
        <v>25</v>
      </c>
      <c r="H2603" s="21" t="s">
        <v>280</v>
      </c>
      <c r="I2603" s="21" t="s">
        <v>970</v>
      </c>
    </row>
    <row r="2604" spans="1:9" x14ac:dyDescent="0.25">
      <c r="A2604" s="21" t="s">
        <v>1053</v>
      </c>
      <c r="B2604">
        <v>40</v>
      </c>
      <c r="C2604" s="21" t="s">
        <v>124</v>
      </c>
      <c r="D2604" s="21" t="s">
        <v>11</v>
      </c>
      <c r="E2604">
        <v>193</v>
      </c>
      <c r="F2604">
        <v>27</v>
      </c>
      <c r="G2604" s="21" t="s">
        <v>30</v>
      </c>
      <c r="H2604" s="21" t="s">
        <v>304</v>
      </c>
      <c r="I2604" s="21" t="s">
        <v>970</v>
      </c>
    </row>
    <row r="2605" spans="1:9" x14ac:dyDescent="0.25">
      <c r="A2605" s="21" t="s">
        <v>1054</v>
      </c>
      <c r="B2605">
        <v>85</v>
      </c>
      <c r="C2605" s="21" t="s">
        <v>57</v>
      </c>
      <c r="D2605" s="21" t="s">
        <v>35</v>
      </c>
      <c r="E2605">
        <v>251</v>
      </c>
      <c r="F2605">
        <v>26</v>
      </c>
      <c r="G2605" s="21" t="s">
        <v>12</v>
      </c>
      <c r="H2605" s="21" t="s">
        <v>152</v>
      </c>
      <c r="I2605" s="21" t="s">
        <v>970</v>
      </c>
    </row>
    <row r="2606" spans="1:9" x14ac:dyDescent="0.25">
      <c r="A2606" s="21" t="s">
        <v>1055</v>
      </c>
      <c r="B2606">
        <v>37</v>
      </c>
      <c r="C2606" s="21" t="s">
        <v>89</v>
      </c>
      <c r="D2606" s="21" t="s">
        <v>24</v>
      </c>
      <c r="E2606">
        <v>210</v>
      </c>
      <c r="F2606">
        <v>23</v>
      </c>
      <c r="G2606" s="21" t="s">
        <v>83</v>
      </c>
      <c r="H2606" s="21" t="s">
        <v>251</v>
      </c>
      <c r="I2606" s="21" t="s">
        <v>970</v>
      </c>
    </row>
    <row r="2607" spans="1:9" x14ac:dyDescent="0.25">
      <c r="A2607" s="21" t="s">
        <v>1056</v>
      </c>
      <c r="B2607">
        <v>20</v>
      </c>
      <c r="C2607" s="21" t="s">
        <v>48</v>
      </c>
      <c r="D2607" s="21" t="s">
        <v>54</v>
      </c>
      <c r="E2607">
        <v>188</v>
      </c>
      <c r="F2607">
        <v>27</v>
      </c>
      <c r="G2607" s="21" t="s">
        <v>38</v>
      </c>
      <c r="H2607" s="21" t="s">
        <v>104</v>
      </c>
      <c r="I2607" s="21" t="s">
        <v>970</v>
      </c>
    </row>
    <row r="2608" spans="1:9" x14ac:dyDescent="0.25">
      <c r="A2608" s="21" t="s">
        <v>1057</v>
      </c>
      <c r="B2608">
        <v>10</v>
      </c>
      <c r="C2608" s="21" t="s">
        <v>70</v>
      </c>
      <c r="D2608" s="21" t="s">
        <v>24</v>
      </c>
      <c r="E2608">
        <v>220</v>
      </c>
      <c r="F2608">
        <v>27</v>
      </c>
      <c r="G2608" s="21" t="s">
        <v>38</v>
      </c>
      <c r="H2608" s="21" t="s">
        <v>73</v>
      </c>
      <c r="I2608" s="21" t="s">
        <v>970</v>
      </c>
    </row>
    <row r="2609" spans="1:9" x14ac:dyDescent="0.25">
      <c r="A2609" s="21" t="s">
        <v>1058</v>
      </c>
      <c r="B2609">
        <v>72</v>
      </c>
      <c r="C2609" s="21" t="s">
        <v>140</v>
      </c>
      <c r="D2609" s="21" t="s">
        <v>67</v>
      </c>
      <c r="E2609">
        <v>340</v>
      </c>
      <c r="F2609">
        <v>23</v>
      </c>
      <c r="G2609" s="21" t="s">
        <v>25</v>
      </c>
      <c r="H2609" s="21" t="s">
        <v>73</v>
      </c>
      <c r="I2609" s="21" t="s">
        <v>970</v>
      </c>
    </row>
    <row r="2610" spans="1:9" x14ac:dyDescent="0.25">
      <c r="A2610" s="21" t="s">
        <v>1059</v>
      </c>
      <c r="B2610">
        <v>48</v>
      </c>
      <c r="C2610" s="21" t="s">
        <v>213</v>
      </c>
      <c r="D2610" s="21" t="s">
        <v>29</v>
      </c>
      <c r="E2610">
        <v>246</v>
      </c>
      <c r="F2610">
        <v>26</v>
      </c>
      <c r="G2610" s="21" t="s">
        <v>12</v>
      </c>
      <c r="H2610" s="21" t="s">
        <v>122</v>
      </c>
      <c r="I2610" s="21" t="s">
        <v>970</v>
      </c>
    </row>
    <row r="2611" spans="1:9" x14ac:dyDescent="0.25">
      <c r="A2611" s="21" t="s">
        <v>1060</v>
      </c>
      <c r="B2611">
        <v>80</v>
      </c>
      <c r="C2611" s="21" t="s">
        <v>10</v>
      </c>
      <c r="D2611" s="21" t="s">
        <v>24</v>
      </c>
      <c r="E2611">
        <v>184</v>
      </c>
      <c r="F2611">
        <v>25</v>
      </c>
      <c r="G2611" s="21" t="s">
        <v>83</v>
      </c>
      <c r="H2611" s="21" t="s">
        <v>280</v>
      </c>
      <c r="I2611" s="21" t="s">
        <v>970</v>
      </c>
    </row>
    <row r="2612" spans="1:9" x14ac:dyDescent="0.25">
      <c r="A2612" s="21" t="s">
        <v>1061</v>
      </c>
      <c r="B2612">
        <v>29</v>
      </c>
      <c r="C2612" s="21" t="s">
        <v>48</v>
      </c>
      <c r="D2612" s="21" t="s">
        <v>11</v>
      </c>
      <c r="E2612">
        <v>179</v>
      </c>
      <c r="F2612">
        <v>27</v>
      </c>
      <c r="G2612" s="21" t="s">
        <v>45</v>
      </c>
      <c r="H2612" s="21" t="s">
        <v>233</v>
      </c>
      <c r="I2612" s="21" t="s">
        <v>970</v>
      </c>
    </row>
    <row r="2613" spans="1:9" x14ac:dyDescent="0.25">
      <c r="A2613" s="21" t="s">
        <v>1062</v>
      </c>
      <c r="B2613">
        <v>30</v>
      </c>
      <c r="C2613" s="21" t="s">
        <v>51</v>
      </c>
      <c r="D2613" s="21" t="s">
        <v>86</v>
      </c>
      <c r="E2613">
        <v>215</v>
      </c>
      <c r="F2613">
        <v>23</v>
      </c>
      <c r="G2613" s="21" t="s">
        <v>25</v>
      </c>
      <c r="H2613" s="21" t="s">
        <v>130</v>
      </c>
      <c r="I2613" s="21" t="s">
        <v>970</v>
      </c>
    </row>
    <row r="2614" spans="1:9" x14ac:dyDescent="0.25">
      <c r="A2614" s="21" t="s">
        <v>1063</v>
      </c>
      <c r="B2614">
        <v>44</v>
      </c>
      <c r="C2614" s="21" t="s">
        <v>91</v>
      </c>
      <c r="D2614" s="21" t="s">
        <v>24</v>
      </c>
      <c r="E2614">
        <v>234</v>
      </c>
      <c r="F2614">
        <v>29</v>
      </c>
      <c r="G2614" s="21" t="s">
        <v>100</v>
      </c>
      <c r="H2614" s="21" t="s">
        <v>68</v>
      </c>
      <c r="I2614" s="21" t="s">
        <v>970</v>
      </c>
    </row>
    <row r="2615" spans="1:9" x14ac:dyDescent="0.25">
      <c r="A2615" s="21" t="s">
        <v>1064</v>
      </c>
      <c r="B2615">
        <v>90</v>
      </c>
      <c r="C2615" s="21" t="s">
        <v>15</v>
      </c>
      <c r="D2615" s="21" t="s">
        <v>35</v>
      </c>
      <c r="E2615">
        <v>252</v>
      </c>
      <c r="F2615">
        <v>27</v>
      </c>
      <c r="G2615" s="21" t="s">
        <v>38</v>
      </c>
      <c r="H2615" s="21" t="s">
        <v>68</v>
      </c>
      <c r="I2615" s="21" t="s">
        <v>970</v>
      </c>
    </row>
    <row r="2616" spans="1:9" x14ac:dyDescent="0.25">
      <c r="A2616" s="21" t="s">
        <v>1065</v>
      </c>
      <c r="B2616">
        <v>15</v>
      </c>
      <c r="C2616" s="21" t="s">
        <v>10</v>
      </c>
      <c r="D2616" s="21" t="s">
        <v>44</v>
      </c>
      <c r="E2616">
        <v>215</v>
      </c>
      <c r="F2616">
        <v>23</v>
      </c>
      <c r="G2616" s="21" t="s">
        <v>12</v>
      </c>
      <c r="H2616" s="21" t="s">
        <v>55</v>
      </c>
      <c r="I2616" s="21" t="s">
        <v>970</v>
      </c>
    </row>
    <row r="2617" spans="1:9" x14ac:dyDescent="0.25">
      <c r="A2617" s="21" t="s">
        <v>1066</v>
      </c>
      <c r="B2617">
        <v>25</v>
      </c>
      <c r="C2617" s="21" t="s">
        <v>48</v>
      </c>
      <c r="D2617" s="21" t="s">
        <v>24</v>
      </c>
      <c r="E2617">
        <v>195</v>
      </c>
      <c r="F2617">
        <v>27</v>
      </c>
      <c r="G2617" s="21" t="s">
        <v>38</v>
      </c>
      <c r="H2617" s="21" t="s">
        <v>272</v>
      </c>
      <c r="I2617" s="21" t="s">
        <v>970</v>
      </c>
    </row>
    <row r="2618" spans="1:9" x14ac:dyDescent="0.25">
      <c r="A2618" s="21" t="s">
        <v>1067</v>
      </c>
      <c r="B2618">
        <v>95</v>
      </c>
      <c r="C2618" s="21" t="s">
        <v>19</v>
      </c>
      <c r="D2618" s="21" t="s">
        <v>29</v>
      </c>
      <c r="E2618">
        <v>300</v>
      </c>
      <c r="F2618">
        <v>28</v>
      </c>
      <c r="G2618" s="21" t="s">
        <v>38</v>
      </c>
      <c r="H2618" s="21" t="s">
        <v>98</v>
      </c>
      <c r="I2618" s="21" t="s">
        <v>970</v>
      </c>
    </row>
    <row r="2619" spans="1:9" x14ac:dyDescent="0.25">
      <c r="A2619" s="21" t="s">
        <v>658</v>
      </c>
      <c r="B2619">
        <v>92</v>
      </c>
      <c r="C2619" s="21" t="s">
        <v>213</v>
      </c>
      <c r="D2619" s="21" t="s">
        <v>52</v>
      </c>
      <c r="E2619">
        <v>248</v>
      </c>
      <c r="F2619">
        <v>24</v>
      </c>
      <c r="G2619" s="21" t="s">
        <v>45</v>
      </c>
      <c r="H2619" s="21" t="s">
        <v>93</v>
      </c>
      <c r="I2619" s="21" t="s">
        <v>657</v>
      </c>
    </row>
    <row r="2620" spans="1:9" x14ac:dyDescent="0.25">
      <c r="A2620" s="21" t="s">
        <v>659</v>
      </c>
      <c r="B2620">
        <v>54</v>
      </c>
      <c r="C2620" s="21" t="s">
        <v>213</v>
      </c>
      <c r="D2620" s="21" t="s">
        <v>24</v>
      </c>
      <c r="E2620">
        <v>245</v>
      </c>
      <c r="F2620">
        <v>22</v>
      </c>
      <c r="G2620" s="21" t="s">
        <v>25</v>
      </c>
      <c r="H2620" s="21" t="s">
        <v>320</v>
      </c>
      <c r="I2620" s="21" t="s">
        <v>657</v>
      </c>
    </row>
    <row r="2621" spans="1:9" x14ac:dyDescent="0.25">
      <c r="A2621" s="21" t="s">
        <v>660</v>
      </c>
      <c r="B2621">
        <v>96</v>
      </c>
      <c r="C2621" s="21" t="s">
        <v>19</v>
      </c>
      <c r="D2621" s="21" t="s">
        <v>29</v>
      </c>
      <c r="E2621">
        <v>285</v>
      </c>
      <c r="F2621">
        <v>32</v>
      </c>
      <c r="G2621" s="21" t="s">
        <v>64</v>
      </c>
      <c r="H2621" s="21" t="s">
        <v>558</v>
      </c>
      <c r="I2621" s="21" t="s">
        <v>657</v>
      </c>
    </row>
    <row r="2622" spans="1:9" x14ac:dyDescent="0.25">
      <c r="A2622" s="21" t="s">
        <v>661</v>
      </c>
      <c r="B2622">
        <v>23</v>
      </c>
      <c r="C2622" s="21" t="s">
        <v>48</v>
      </c>
      <c r="D2622" s="21" t="s">
        <v>54</v>
      </c>
      <c r="E2622">
        <v>181</v>
      </c>
      <c r="F2622">
        <v>25</v>
      </c>
      <c r="G2622" s="21" t="s">
        <v>25</v>
      </c>
      <c r="H2622" s="21" t="s">
        <v>120</v>
      </c>
      <c r="I2622" s="21" t="s">
        <v>657</v>
      </c>
    </row>
    <row r="2623" spans="1:9" x14ac:dyDescent="0.25">
      <c r="A2623" s="21" t="s">
        <v>348</v>
      </c>
      <c r="B2623">
        <v>55</v>
      </c>
      <c r="C2623" s="21" t="s">
        <v>277</v>
      </c>
      <c r="D2623" s="21" t="s">
        <v>52</v>
      </c>
      <c r="E2623">
        <v>274</v>
      </c>
      <c r="F2623">
        <v>24</v>
      </c>
      <c r="G2623" s="21" t="s">
        <v>12</v>
      </c>
      <c r="H2623" s="21" t="s">
        <v>662</v>
      </c>
      <c r="I2623" s="21" t="s">
        <v>657</v>
      </c>
    </row>
    <row r="2624" spans="1:9" x14ac:dyDescent="0.25">
      <c r="A2624" s="21" t="s">
        <v>663</v>
      </c>
      <c r="B2624">
        <v>14</v>
      </c>
      <c r="C2624" s="21" t="s">
        <v>76</v>
      </c>
      <c r="D2624" s="21" t="s">
        <v>135</v>
      </c>
      <c r="E2624">
        <v>210</v>
      </c>
      <c r="F2624">
        <v>32</v>
      </c>
      <c r="G2624" s="21" t="s">
        <v>254</v>
      </c>
      <c r="H2624" s="21" t="s">
        <v>152</v>
      </c>
      <c r="I2624" s="21" t="s">
        <v>657</v>
      </c>
    </row>
    <row r="2625" spans="1:9" x14ac:dyDescent="0.25">
      <c r="A2625" s="21" t="s">
        <v>664</v>
      </c>
      <c r="B2625">
        <v>16</v>
      </c>
      <c r="C2625" s="21" t="s">
        <v>10</v>
      </c>
      <c r="D2625" s="21" t="s">
        <v>24</v>
      </c>
      <c r="E2625">
        <v>225</v>
      </c>
      <c r="F2625">
        <v>22</v>
      </c>
      <c r="G2625" s="21" t="s">
        <v>25</v>
      </c>
      <c r="H2625" s="21" t="s">
        <v>80</v>
      </c>
      <c r="I2625" s="21" t="s">
        <v>657</v>
      </c>
    </row>
    <row r="2626" spans="1:9" x14ac:dyDescent="0.25">
      <c r="A2626" s="21" t="s">
        <v>665</v>
      </c>
      <c r="B2626">
        <v>31</v>
      </c>
      <c r="C2626" s="21" t="s">
        <v>89</v>
      </c>
      <c r="D2626" s="21" t="s">
        <v>54</v>
      </c>
      <c r="E2626">
        <v>212</v>
      </c>
      <c r="F2626">
        <v>28</v>
      </c>
      <c r="G2626" s="21" t="s">
        <v>100</v>
      </c>
      <c r="H2626" s="21" t="s">
        <v>179</v>
      </c>
      <c r="I2626" s="21" t="s">
        <v>657</v>
      </c>
    </row>
    <row r="2627" spans="1:9" x14ac:dyDescent="0.25">
      <c r="A2627" s="21" t="s">
        <v>666</v>
      </c>
      <c r="B2627">
        <v>45</v>
      </c>
      <c r="C2627" s="21" t="s">
        <v>15</v>
      </c>
      <c r="D2627" s="21" t="s">
        <v>24</v>
      </c>
      <c r="E2627">
        <v>232</v>
      </c>
      <c r="F2627">
        <v>22</v>
      </c>
      <c r="G2627" s="21" t="s">
        <v>25</v>
      </c>
      <c r="H2627" s="21" t="s">
        <v>516</v>
      </c>
      <c r="I2627" s="21" t="s">
        <v>657</v>
      </c>
    </row>
    <row r="2628" spans="1:9" x14ac:dyDescent="0.25">
      <c r="A2628" s="21" t="s">
        <v>667</v>
      </c>
      <c r="B2628">
        <v>23</v>
      </c>
      <c r="C2628" s="21" t="s">
        <v>51</v>
      </c>
      <c r="D2628" s="21" t="s">
        <v>54</v>
      </c>
      <c r="E2628">
        <v>185</v>
      </c>
      <c r="F2628">
        <v>28</v>
      </c>
      <c r="G2628" s="21" t="s">
        <v>45</v>
      </c>
      <c r="H2628" s="21" t="s">
        <v>668</v>
      </c>
      <c r="I2628" s="21" t="s">
        <v>657</v>
      </c>
    </row>
    <row r="2629" spans="1:9" x14ac:dyDescent="0.25">
      <c r="A2629" s="21" t="s">
        <v>669</v>
      </c>
      <c r="B2629">
        <v>36</v>
      </c>
      <c r="C2629" s="21" t="s">
        <v>124</v>
      </c>
      <c r="D2629" s="21" t="s">
        <v>125</v>
      </c>
      <c r="E2629">
        <v>194</v>
      </c>
      <c r="F2629">
        <v>24</v>
      </c>
      <c r="G2629" s="21" t="s">
        <v>83</v>
      </c>
      <c r="H2629" s="21" t="s">
        <v>233</v>
      </c>
      <c r="I2629" s="21" t="s">
        <v>657</v>
      </c>
    </row>
    <row r="2630" spans="1:9" x14ac:dyDescent="0.25">
      <c r="A2630" s="21" t="s">
        <v>670</v>
      </c>
      <c r="B2630">
        <v>44</v>
      </c>
      <c r="C2630" s="21" t="s">
        <v>91</v>
      </c>
      <c r="D2630" s="21" t="s">
        <v>11</v>
      </c>
      <c r="E2630">
        <v>229</v>
      </c>
      <c r="F2630">
        <v>23</v>
      </c>
      <c r="G2630" s="21" t="s">
        <v>30</v>
      </c>
      <c r="H2630" s="21" t="s">
        <v>267</v>
      </c>
      <c r="I2630" s="21" t="s">
        <v>657</v>
      </c>
    </row>
    <row r="2631" spans="1:9" x14ac:dyDescent="0.25">
      <c r="A2631" s="21" t="s">
        <v>671</v>
      </c>
      <c r="B2631">
        <v>36</v>
      </c>
      <c r="C2631" s="21" t="s">
        <v>51</v>
      </c>
      <c r="D2631" s="21" t="s">
        <v>54</v>
      </c>
      <c r="E2631">
        <v>228</v>
      </c>
      <c r="F2631">
        <v>21</v>
      </c>
      <c r="G2631" s="21" t="s">
        <v>25</v>
      </c>
      <c r="H2631" s="21" t="s">
        <v>672</v>
      </c>
      <c r="I2631" s="21" t="s">
        <v>657</v>
      </c>
    </row>
    <row r="2632" spans="1:9" x14ac:dyDescent="0.25">
      <c r="A2632" s="21" t="s">
        <v>673</v>
      </c>
      <c r="B2632">
        <v>47</v>
      </c>
      <c r="C2632" s="21" t="s">
        <v>89</v>
      </c>
      <c r="D2632" s="21" t="s">
        <v>11</v>
      </c>
      <c r="E2632">
        <v>205</v>
      </c>
      <c r="F2632">
        <v>25</v>
      </c>
      <c r="G2632" s="21" t="s">
        <v>83</v>
      </c>
      <c r="H2632" s="21" t="s">
        <v>674</v>
      </c>
      <c r="I2632" s="21" t="s">
        <v>657</v>
      </c>
    </row>
    <row r="2633" spans="1:9" x14ac:dyDescent="0.25">
      <c r="A2633" s="21" t="s">
        <v>675</v>
      </c>
      <c r="B2633">
        <v>53</v>
      </c>
      <c r="C2633" s="21" t="s">
        <v>15</v>
      </c>
      <c r="D2633" s="21" t="s">
        <v>11</v>
      </c>
      <c r="E2633">
        <v>237</v>
      </c>
      <c r="F2633">
        <v>28</v>
      </c>
      <c r="G2633" s="21" t="s">
        <v>38</v>
      </c>
      <c r="H2633" s="21" t="s">
        <v>676</v>
      </c>
      <c r="I2633" s="21" t="s">
        <v>657</v>
      </c>
    </row>
    <row r="2634" spans="1:9" x14ac:dyDescent="0.25">
      <c r="A2634" s="21" t="s">
        <v>677</v>
      </c>
      <c r="B2634">
        <v>46</v>
      </c>
      <c r="C2634" s="21" t="s">
        <v>158</v>
      </c>
      <c r="D2634" s="21" t="s">
        <v>35</v>
      </c>
      <c r="E2634">
        <v>233</v>
      </c>
      <c r="F2634">
        <v>36</v>
      </c>
      <c r="G2634" s="21" t="s">
        <v>407</v>
      </c>
      <c r="H2634" s="21" t="s">
        <v>104</v>
      </c>
      <c r="I2634" s="21" t="s">
        <v>657</v>
      </c>
    </row>
    <row r="2635" spans="1:9" x14ac:dyDescent="0.25">
      <c r="A2635" s="21" t="s">
        <v>678</v>
      </c>
      <c r="B2635">
        <v>41</v>
      </c>
      <c r="C2635" s="21" t="s">
        <v>15</v>
      </c>
      <c r="D2635" s="21" t="s">
        <v>44</v>
      </c>
      <c r="E2635">
        <v>230</v>
      </c>
      <c r="F2635">
        <v>27</v>
      </c>
      <c r="G2635" s="21" t="s">
        <v>38</v>
      </c>
      <c r="H2635" s="21" t="s">
        <v>46</v>
      </c>
      <c r="I2635" s="21" t="s">
        <v>657</v>
      </c>
    </row>
    <row r="2636" spans="1:9" x14ac:dyDescent="0.25">
      <c r="A2636" s="21" t="s">
        <v>679</v>
      </c>
      <c r="B2636">
        <v>64</v>
      </c>
      <c r="C2636" s="21" t="s">
        <v>277</v>
      </c>
      <c r="D2636" s="21" t="s">
        <v>44</v>
      </c>
      <c r="E2636">
        <v>316</v>
      </c>
      <c r="F2636">
        <v>25</v>
      </c>
      <c r="G2636" s="21" t="s">
        <v>16</v>
      </c>
      <c r="H2636" s="21" t="s">
        <v>680</v>
      </c>
      <c r="I2636" s="21" t="s">
        <v>657</v>
      </c>
    </row>
    <row r="2637" spans="1:9" x14ac:dyDescent="0.25">
      <c r="A2637" s="21" t="s">
        <v>681</v>
      </c>
      <c r="B2637">
        <v>69</v>
      </c>
      <c r="C2637" s="21" t="s">
        <v>140</v>
      </c>
      <c r="D2637" s="21" t="s">
        <v>67</v>
      </c>
      <c r="E2637">
        <v>300</v>
      </c>
      <c r="F2637">
        <v>27</v>
      </c>
      <c r="G2637" s="21" t="s">
        <v>83</v>
      </c>
      <c r="H2637" s="21" t="s">
        <v>176</v>
      </c>
      <c r="I2637" s="21" t="s">
        <v>657</v>
      </c>
    </row>
    <row r="2638" spans="1:9" x14ac:dyDescent="0.25">
      <c r="A2638" s="21" t="s">
        <v>682</v>
      </c>
      <c r="B2638">
        <v>48</v>
      </c>
      <c r="C2638" s="21" t="s">
        <v>213</v>
      </c>
      <c r="D2638" s="21" t="s">
        <v>35</v>
      </c>
      <c r="E2638">
        <v>269</v>
      </c>
      <c r="F2638">
        <v>29</v>
      </c>
      <c r="G2638" s="21" t="s">
        <v>21</v>
      </c>
      <c r="H2638" s="21" t="s">
        <v>683</v>
      </c>
      <c r="I2638" s="21" t="s">
        <v>657</v>
      </c>
    </row>
    <row r="2639" spans="1:9" x14ac:dyDescent="0.25">
      <c r="A2639" s="21" t="s">
        <v>684</v>
      </c>
      <c r="B2639">
        <v>3</v>
      </c>
      <c r="C2639" s="21" t="s">
        <v>48</v>
      </c>
      <c r="D2639" s="21" t="s">
        <v>24</v>
      </c>
      <c r="E2639">
        <v>197</v>
      </c>
      <c r="F2639">
        <v>23</v>
      </c>
      <c r="G2639" s="21" t="s">
        <v>30</v>
      </c>
      <c r="H2639" s="21" t="s">
        <v>357</v>
      </c>
      <c r="I2639" s="21" t="s">
        <v>657</v>
      </c>
    </row>
    <row r="2640" spans="1:9" x14ac:dyDescent="0.25">
      <c r="A2640" s="21" t="s">
        <v>685</v>
      </c>
      <c r="B2640">
        <v>10</v>
      </c>
      <c r="C2640" s="21" t="s">
        <v>10</v>
      </c>
      <c r="D2640" s="21" t="s">
        <v>24</v>
      </c>
      <c r="E2640">
        <v>208</v>
      </c>
      <c r="F2640">
        <v>24</v>
      </c>
      <c r="G2640" s="21" t="s">
        <v>30</v>
      </c>
      <c r="H2640" s="21" t="s">
        <v>231</v>
      </c>
      <c r="I2640" s="21" t="s">
        <v>657</v>
      </c>
    </row>
    <row r="2641" spans="1:9" x14ac:dyDescent="0.25">
      <c r="A2641" s="21" t="s">
        <v>686</v>
      </c>
      <c r="B2641">
        <v>26</v>
      </c>
      <c r="C2641" s="21" t="s">
        <v>48</v>
      </c>
      <c r="D2641" s="21" t="s">
        <v>54</v>
      </c>
      <c r="E2641">
        <v>197</v>
      </c>
      <c r="F2641">
        <v>23</v>
      </c>
      <c r="G2641" s="21" t="s">
        <v>12</v>
      </c>
      <c r="H2641" s="21" t="s">
        <v>267</v>
      </c>
      <c r="I2641" s="21" t="s">
        <v>657</v>
      </c>
    </row>
    <row r="2642" spans="1:9" x14ac:dyDescent="0.25">
      <c r="A2642" s="21" t="s">
        <v>687</v>
      </c>
      <c r="B2642">
        <v>79</v>
      </c>
      <c r="C2642" s="21" t="s">
        <v>114</v>
      </c>
      <c r="D2642" s="21" t="s">
        <v>24</v>
      </c>
      <c r="E2642">
        <v>300</v>
      </c>
      <c r="F2642">
        <v>24</v>
      </c>
      <c r="G2642" s="21" t="s">
        <v>25</v>
      </c>
      <c r="H2642" s="21" t="s">
        <v>36</v>
      </c>
      <c r="I2642" s="21" t="s">
        <v>657</v>
      </c>
    </row>
    <row r="2643" spans="1:9" x14ac:dyDescent="0.25">
      <c r="A2643" s="21" t="s">
        <v>688</v>
      </c>
      <c r="B2643">
        <v>40</v>
      </c>
      <c r="C2643" s="21" t="s">
        <v>48</v>
      </c>
      <c r="D2643" s="21" t="s">
        <v>11</v>
      </c>
      <c r="E2643">
        <v>194</v>
      </c>
      <c r="F2643">
        <v>25</v>
      </c>
      <c r="G2643" s="21" t="s">
        <v>25</v>
      </c>
      <c r="H2643" s="21" t="s">
        <v>104</v>
      </c>
      <c r="I2643" s="21" t="s">
        <v>657</v>
      </c>
    </row>
    <row r="2644" spans="1:9" x14ac:dyDescent="0.25">
      <c r="A2644" s="21" t="s">
        <v>689</v>
      </c>
      <c r="B2644">
        <v>50</v>
      </c>
      <c r="C2644" s="21" t="s">
        <v>15</v>
      </c>
      <c r="D2644" s="21" t="s">
        <v>44</v>
      </c>
      <c r="E2644">
        <v>242</v>
      </c>
      <c r="F2644">
        <v>23</v>
      </c>
      <c r="G2644" s="21" t="s">
        <v>25</v>
      </c>
      <c r="H2644" s="21" t="s">
        <v>168</v>
      </c>
      <c r="I2644" s="21" t="s">
        <v>657</v>
      </c>
    </row>
    <row r="2645" spans="1:9" x14ac:dyDescent="0.25">
      <c r="A2645" s="21" t="s">
        <v>690</v>
      </c>
      <c r="B2645">
        <v>66</v>
      </c>
      <c r="C2645" s="21" t="s">
        <v>28</v>
      </c>
      <c r="D2645" s="21" t="s">
        <v>67</v>
      </c>
      <c r="E2645">
        <v>320</v>
      </c>
      <c r="F2645">
        <v>23</v>
      </c>
      <c r="G2645" s="21" t="s">
        <v>83</v>
      </c>
      <c r="H2645" s="21" t="s">
        <v>152</v>
      </c>
      <c r="I2645" s="21" t="s">
        <v>657</v>
      </c>
    </row>
    <row r="2646" spans="1:9" x14ac:dyDescent="0.25">
      <c r="A2646" s="21" t="s">
        <v>691</v>
      </c>
      <c r="B2646">
        <v>80</v>
      </c>
      <c r="C2646" s="21" t="s">
        <v>10</v>
      </c>
      <c r="D2646" s="21" t="s">
        <v>11</v>
      </c>
      <c r="E2646">
        <v>187</v>
      </c>
      <c r="F2646">
        <v>24</v>
      </c>
      <c r="G2646" s="21" t="s">
        <v>83</v>
      </c>
      <c r="H2646" s="21" t="s">
        <v>692</v>
      </c>
      <c r="I2646" s="21" t="s">
        <v>657</v>
      </c>
    </row>
    <row r="2647" spans="1:9" x14ac:dyDescent="0.25">
      <c r="A2647" s="21" t="s">
        <v>693</v>
      </c>
      <c r="B2647">
        <v>32</v>
      </c>
      <c r="C2647" s="21" t="s">
        <v>89</v>
      </c>
      <c r="D2647" s="21" t="s">
        <v>54</v>
      </c>
      <c r="E2647">
        <v>213</v>
      </c>
      <c r="F2647">
        <v>24</v>
      </c>
      <c r="G2647" s="21" t="s">
        <v>25</v>
      </c>
      <c r="H2647" s="21" t="s">
        <v>694</v>
      </c>
      <c r="I2647" s="21" t="s">
        <v>657</v>
      </c>
    </row>
    <row r="2648" spans="1:9" x14ac:dyDescent="0.25">
      <c r="A2648" s="21" t="s">
        <v>695</v>
      </c>
      <c r="B2648">
        <v>94</v>
      </c>
      <c r="C2648" s="21" t="s">
        <v>319</v>
      </c>
      <c r="D2648" s="21" t="s">
        <v>44</v>
      </c>
      <c r="E2648">
        <v>297</v>
      </c>
      <c r="F2648">
        <v>26</v>
      </c>
      <c r="G2648" s="21" t="s">
        <v>45</v>
      </c>
      <c r="H2648" s="21" t="s">
        <v>233</v>
      </c>
      <c r="I2648" s="21" t="s">
        <v>657</v>
      </c>
    </row>
    <row r="2649" spans="1:9" x14ac:dyDescent="0.25">
      <c r="A2649" s="21" t="s">
        <v>696</v>
      </c>
      <c r="B2649">
        <v>25</v>
      </c>
      <c r="C2649" s="21" t="s">
        <v>51</v>
      </c>
      <c r="D2649" s="21" t="s">
        <v>24</v>
      </c>
      <c r="E2649">
        <v>228</v>
      </c>
      <c r="F2649">
        <v>22</v>
      </c>
      <c r="G2649" s="21" t="s">
        <v>25</v>
      </c>
      <c r="H2649" s="21" t="s">
        <v>98</v>
      </c>
      <c r="I2649" s="21" t="s">
        <v>657</v>
      </c>
    </row>
    <row r="2650" spans="1:9" x14ac:dyDescent="0.25">
      <c r="A2650" s="21" t="s">
        <v>697</v>
      </c>
      <c r="B2650">
        <v>22</v>
      </c>
      <c r="C2650" s="21" t="s">
        <v>51</v>
      </c>
      <c r="D2650" s="21" t="s">
        <v>44</v>
      </c>
      <c r="E2650">
        <v>247</v>
      </c>
      <c r="F2650">
        <v>28</v>
      </c>
      <c r="G2650" s="21" t="s">
        <v>100</v>
      </c>
      <c r="H2650" s="21" t="s">
        <v>233</v>
      </c>
      <c r="I2650" s="21" t="s">
        <v>657</v>
      </c>
    </row>
    <row r="2651" spans="1:9" x14ac:dyDescent="0.25">
      <c r="A2651" s="21" t="s">
        <v>698</v>
      </c>
      <c r="B2651">
        <v>40</v>
      </c>
      <c r="C2651" s="21" t="s">
        <v>51</v>
      </c>
      <c r="D2651" s="21" t="s">
        <v>54</v>
      </c>
      <c r="E2651">
        <v>202</v>
      </c>
      <c r="F2651">
        <v>27</v>
      </c>
      <c r="G2651" s="21" t="s">
        <v>45</v>
      </c>
      <c r="H2651" s="21" t="s">
        <v>643</v>
      </c>
      <c r="I2651" s="21" t="s">
        <v>657</v>
      </c>
    </row>
    <row r="2652" spans="1:9" x14ac:dyDescent="0.25">
      <c r="A2652" s="21" t="s">
        <v>699</v>
      </c>
      <c r="B2652">
        <v>8</v>
      </c>
      <c r="C2652" s="21" t="s">
        <v>10</v>
      </c>
      <c r="D2652" s="21" t="s">
        <v>35</v>
      </c>
      <c r="E2652">
        <v>216</v>
      </c>
      <c r="F2652">
        <v>28</v>
      </c>
      <c r="G2652" s="21" t="s">
        <v>12</v>
      </c>
      <c r="H2652" s="21" t="s">
        <v>80</v>
      </c>
      <c r="I2652" s="21" t="s">
        <v>657</v>
      </c>
    </row>
    <row r="2653" spans="1:9" x14ac:dyDescent="0.25">
      <c r="A2653" s="21" t="s">
        <v>700</v>
      </c>
      <c r="B2653">
        <v>37</v>
      </c>
      <c r="C2653" s="21" t="s">
        <v>124</v>
      </c>
      <c r="D2653" s="21" t="s">
        <v>54</v>
      </c>
      <c r="E2653">
        <v>210</v>
      </c>
      <c r="F2653">
        <v>24</v>
      </c>
      <c r="G2653" s="21" t="s">
        <v>16</v>
      </c>
      <c r="H2653" s="21" t="s">
        <v>117</v>
      </c>
      <c r="I2653" s="21" t="s">
        <v>657</v>
      </c>
    </row>
    <row r="2654" spans="1:9" x14ac:dyDescent="0.25">
      <c r="A2654" s="21" t="s">
        <v>701</v>
      </c>
      <c r="B2654">
        <v>81</v>
      </c>
      <c r="C2654" s="21" t="s">
        <v>57</v>
      </c>
      <c r="D2654" s="21" t="s">
        <v>35</v>
      </c>
      <c r="E2654">
        <v>254</v>
      </c>
      <c r="F2654">
        <v>27</v>
      </c>
      <c r="G2654" s="21" t="s">
        <v>100</v>
      </c>
      <c r="H2654" s="21" t="s">
        <v>165</v>
      </c>
      <c r="I2654" s="21" t="s">
        <v>657</v>
      </c>
    </row>
    <row r="2655" spans="1:9" x14ac:dyDescent="0.25">
      <c r="A2655" s="21" t="s">
        <v>702</v>
      </c>
      <c r="B2655">
        <v>61</v>
      </c>
      <c r="C2655" s="21" t="s">
        <v>277</v>
      </c>
      <c r="D2655" s="21" t="s">
        <v>44</v>
      </c>
      <c r="E2655">
        <v>300</v>
      </c>
      <c r="F2655">
        <v>23</v>
      </c>
      <c r="G2655" s="21" t="s">
        <v>25</v>
      </c>
      <c r="H2655" s="21" t="s">
        <v>674</v>
      </c>
      <c r="I2655" s="21" t="s">
        <v>657</v>
      </c>
    </row>
    <row r="2656" spans="1:9" x14ac:dyDescent="0.25">
      <c r="A2656" s="21" t="s">
        <v>703</v>
      </c>
      <c r="B2656">
        <v>89</v>
      </c>
      <c r="C2656" s="21" t="s">
        <v>57</v>
      </c>
      <c r="D2656" s="21" t="s">
        <v>29</v>
      </c>
      <c r="E2656">
        <v>255</v>
      </c>
      <c r="F2656">
        <v>25</v>
      </c>
      <c r="G2656" s="21" t="s">
        <v>30</v>
      </c>
      <c r="H2656" s="21" t="s">
        <v>13</v>
      </c>
      <c r="I2656" s="21" t="s">
        <v>657</v>
      </c>
    </row>
    <row r="2657" spans="1:9" x14ac:dyDescent="0.25">
      <c r="A2657" s="21" t="s">
        <v>704</v>
      </c>
      <c r="B2657">
        <v>35</v>
      </c>
      <c r="C2657" s="21" t="s">
        <v>124</v>
      </c>
      <c r="D2657" s="21" t="s">
        <v>125</v>
      </c>
      <c r="E2657">
        <v>193</v>
      </c>
      <c r="F2657">
        <v>24</v>
      </c>
      <c r="G2657" s="21" t="s">
        <v>12</v>
      </c>
      <c r="H2657" s="21" t="s">
        <v>705</v>
      </c>
      <c r="I2657" s="21" t="s">
        <v>657</v>
      </c>
    </row>
    <row r="2658" spans="1:9" x14ac:dyDescent="0.25">
      <c r="A2658" s="21" t="s">
        <v>706</v>
      </c>
      <c r="B2658">
        <v>29</v>
      </c>
      <c r="C2658" s="21" t="s">
        <v>89</v>
      </c>
      <c r="D2658" s="21" t="s">
        <v>52</v>
      </c>
      <c r="E2658">
        <v>198</v>
      </c>
      <c r="F2658">
        <v>23</v>
      </c>
      <c r="G2658" s="21" t="s">
        <v>25</v>
      </c>
      <c r="H2658" s="21" t="s">
        <v>104</v>
      </c>
      <c r="I2658" s="21" t="s">
        <v>657</v>
      </c>
    </row>
    <row r="2659" spans="1:9" x14ac:dyDescent="0.25">
      <c r="A2659" s="21" t="s">
        <v>707</v>
      </c>
      <c r="B2659">
        <v>60</v>
      </c>
      <c r="C2659" s="21" t="s">
        <v>184</v>
      </c>
      <c r="D2659" s="21" t="s">
        <v>44</v>
      </c>
      <c r="E2659">
        <v>308</v>
      </c>
      <c r="F2659">
        <v>33</v>
      </c>
      <c r="G2659" s="21" t="s">
        <v>254</v>
      </c>
      <c r="H2659" s="21" t="s">
        <v>196</v>
      </c>
      <c r="I2659" s="21" t="s">
        <v>657</v>
      </c>
    </row>
    <row r="2660" spans="1:9" x14ac:dyDescent="0.25">
      <c r="A2660" s="21" t="s">
        <v>708</v>
      </c>
      <c r="B2660">
        <v>73</v>
      </c>
      <c r="C2660" s="21" t="s">
        <v>28</v>
      </c>
      <c r="D2660" s="21" t="s">
        <v>35</v>
      </c>
      <c r="E2660">
        <v>293</v>
      </c>
      <c r="F2660">
        <v>26</v>
      </c>
      <c r="G2660" s="21" t="s">
        <v>45</v>
      </c>
      <c r="H2660" s="21" t="s">
        <v>36</v>
      </c>
      <c r="I2660" s="21" t="s">
        <v>657</v>
      </c>
    </row>
    <row r="2661" spans="1:9" x14ac:dyDescent="0.25">
      <c r="A2661" s="21" t="s">
        <v>709</v>
      </c>
      <c r="B2661">
        <v>42</v>
      </c>
      <c r="C2661" s="21" t="s">
        <v>15</v>
      </c>
      <c r="D2661" s="21" t="s">
        <v>11</v>
      </c>
      <c r="E2661">
        <v>240</v>
      </c>
      <c r="F2661">
        <v>28</v>
      </c>
      <c r="G2661" s="21" t="s">
        <v>38</v>
      </c>
      <c r="H2661" s="21" t="s">
        <v>302</v>
      </c>
      <c r="I2661" s="21" t="s">
        <v>657</v>
      </c>
    </row>
    <row r="2662" spans="1:9" x14ac:dyDescent="0.25">
      <c r="A2662" s="21" t="s">
        <v>710</v>
      </c>
      <c r="B2662">
        <v>90</v>
      </c>
      <c r="C2662" s="21" t="s">
        <v>114</v>
      </c>
      <c r="D2662" s="21" t="s">
        <v>44</v>
      </c>
      <c r="E2662">
        <v>313</v>
      </c>
      <c r="F2662">
        <v>27</v>
      </c>
      <c r="G2662" s="21" t="s">
        <v>30</v>
      </c>
      <c r="H2662" s="21" t="s">
        <v>55</v>
      </c>
      <c r="I2662" s="21" t="s">
        <v>657</v>
      </c>
    </row>
    <row r="2663" spans="1:9" x14ac:dyDescent="0.25">
      <c r="A2663" s="21" t="s">
        <v>711</v>
      </c>
      <c r="B2663">
        <v>6</v>
      </c>
      <c r="C2663" s="21" t="s">
        <v>193</v>
      </c>
      <c r="D2663" s="21" t="s">
        <v>24</v>
      </c>
      <c r="E2663">
        <v>214</v>
      </c>
      <c r="F2663">
        <v>36</v>
      </c>
      <c r="G2663" s="21" t="s">
        <v>712</v>
      </c>
      <c r="H2663" s="21" t="s">
        <v>93</v>
      </c>
      <c r="I2663" s="21" t="s">
        <v>657</v>
      </c>
    </row>
    <row r="2664" spans="1:9" x14ac:dyDescent="0.25">
      <c r="A2664" s="21" t="s">
        <v>713</v>
      </c>
      <c r="B2664">
        <v>12</v>
      </c>
      <c r="C2664" s="21" t="s">
        <v>10</v>
      </c>
      <c r="D2664" s="21" t="s">
        <v>125</v>
      </c>
      <c r="E2664">
        <v>203</v>
      </c>
      <c r="F2664">
        <v>23</v>
      </c>
      <c r="G2664" s="21" t="s">
        <v>83</v>
      </c>
      <c r="H2664" s="21" t="s">
        <v>714</v>
      </c>
      <c r="I2664" s="21" t="s">
        <v>657</v>
      </c>
    </row>
    <row r="2665" spans="1:9" x14ac:dyDescent="0.25">
      <c r="A2665" s="21" t="s">
        <v>715</v>
      </c>
      <c r="B2665">
        <v>58</v>
      </c>
      <c r="C2665" s="21" t="s">
        <v>213</v>
      </c>
      <c r="D2665" s="21" t="s">
        <v>24</v>
      </c>
      <c r="E2665">
        <v>252</v>
      </c>
      <c r="F2665">
        <v>26</v>
      </c>
      <c r="G2665" s="21" t="s">
        <v>45</v>
      </c>
      <c r="H2665" s="21" t="s">
        <v>278</v>
      </c>
      <c r="I2665" s="21" t="s">
        <v>657</v>
      </c>
    </row>
    <row r="2666" spans="1:9" x14ac:dyDescent="0.25">
      <c r="A2666" s="21" t="s">
        <v>716</v>
      </c>
      <c r="B2666">
        <v>57</v>
      </c>
      <c r="C2666" s="21" t="s">
        <v>213</v>
      </c>
      <c r="D2666" s="21" t="s">
        <v>35</v>
      </c>
      <c r="E2666">
        <v>265</v>
      </c>
      <c r="F2666">
        <v>27</v>
      </c>
      <c r="G2666" s="21" t="s">
        <v>16</v>
      </c>
      <c r="H2666" s="21" t="s">
        <v>674</v>
      </c>
      <c r="I2666" s="21" t="s">
        <v>657</v>
      </c>
    </row>
    <row r="2667" spans="1:9" x14ac:dyDescent="0.25">
      <c r="A2667" s="21" t="s">
        <v>717</v>
      </c>
      <c r="B2667">
        <v>62</v>
      </c>
      <c r="C2667" s="21" t="s">
        <v>28</v>
      </c>
      <c r="D2667" s="21" t="s">
        <v>35</v>
      </c>
      <c r="E2667">
        <v>307</v>
      </c>
      <c r="F2667">
        <v>27</v>
      </c>
      <c r="G2667" s="21" t="s">
        <v>16</v>
      </c>
      <c r="H2667" s="21" t="s">
        <v>718</v>
      </c>
      <c r="I2667" s="21" t="s">
        <v>657</v>
      </c>
    </row>
    <row r="2668" spans="1:9" x14ac:dyDescent="0.25">
      <c r="A2668" s="21" t="s">
        <v>719</v>
      </c>
      <c r="B2668">
        <v>77</v>
      </c>
      <c r="C2668" s="21" t="s">
        <v>140</v>
      </c>
      <c r="D2668" s="21" t="s">
        <v>20</v>
      </c>
      <c r="E2668">
        <v>309</v>
      </c>
      <c r="F2668">
        <v>31</v>
      </c>
      <c r="G2668" s="21" t="s">
        <v>64</v>
      </c>
      <c r="H2668" s="21" t="s">
        <v>98</v>
      </c>
      <c r="I2668" s="21" t="s">
        <v>657</v>
      </c>
    </row>
    <row r="2669" spans="1:9" x14ac:dyDescent="0.25">
      <c r="A2669" s="21" t="s">
        <v>720</v>
      </c>
      <c r="B2669">
        <v>84</v>
      </c>
      <c r="C2669" s="21" t="s">
        <v>10</v>
      </c>
      <c r="D2669" s="21" t="s">
        <v>135</v>
      </c>
      <c r="E2669">
        <v>175</v>
      </c>
      <c r="F2669">
        <v>23</v>
      </c>
      <c r="G2669" s="21" t="s">
        <v>25</v>
      </c>
      <c r="H2669" s="21" t="s">
        <v>721</v>
      </c>
      <c r="I2669" s="21" t="s">
        <v>657</v>
      </c>
    </row>
    <row r="2670" spans="1:9" x14ac:dyDescent="0.25">
      <c r="A2670" s="21" t="s">
        <v>2080</v>
      </c>
      <c r="B2670">
        <v>51</v>
      </c>
      <c r="C2670" s="21" t="s">
        <v>15</v>
      </c>
      <c r="D2670" s="21" t="s">
        <v>54</v>
      </c>
      <c r="E2670">
        <v>227</v>
      </c>
      <c r="F2670">
        <v>25</v>
      </c>
      <c r="G2670" s="21" t="s">
        <v>16</v>
      </c>
      <c r="H2670" s="21" t="s">
        <v>143</v>
      </c>
      <c r="I2670" s="21" t="s">
        <v>657</v>
      </c>
    </row>
    <row r="2671" spans="1:9" x14ac:dyDescent="0.25">
      <c r="A2671" s="21" t="s">
        <v>722</v>
      </c>
      <c r="B2671">
        <v>30</v>
      </c>
      <c r="C2671" s="21" t="s">
        <v>48</v>
      </c>
      <c r="D2671" s="21" t="s">
        <v>24</v>
      </c>
      <c r="E2671">
        <v>200</v>
      </c>
      <c r="F2671">
        <v>28</v>
      </c>
      <c r="G2671" s="21" t="s">
        <v>38</v>
      </c>
      <c r="H2671" s="21" t="s">
        <v>117</v>
      </c>
      <c r="I2671" s="21" t="s">
        <v>657</v>
      </c>
    </row>
    <row r="2672" spans="1:9" x14ac:dyDescent="0.25">
      <c r="A2672" s="21" t="s">
        <v>723</v>
      </c>
      <c r="B2672">
        <v>86</v>
      </c>
      <c r="C2672" s="21" t="s">
        <v>10</v>
      </c>
      <c r="D2672" s="21" t="s">
        <v>44</v>
      </c>
      <c r="E2672">
        <v>205</v>
      </c>
      <c r="F2672">
        <v>26</v>
      </c>
      <c r="G2672" s="21" t="s">
        <v>12</v>
      </c>
      <c r="H2672" s="21" t="s">
        <v>104</v>
      </c>
      <c r="I2672" s="21" t="s">
        <v>657</v>
      </c>
    </row>
    <row r="2673" spans="1:9" x14ac:dyDescent="0.25">
      <c r="A2673" s="21" t="s">
        <v>724</v>
      </c>
      <c r="B2673">
        <v>21</v>
      </c>
      <c r="C2673" s="21" t="s">
        <v>48</v>
      </c>
      <c r="D2673" s="21" t="s">
        <v>54</v>
      </c>
      <c r="E2673">
        <v>190</v>
      </c>
      <c r="F2673">
        <v>22</v>
      </c>
      <c r="G2673" s="21" t="s">
        <v>25</v>
      </c>
      <c r="H2673" s="21" t="s">
        <v>65</v>
      </c>
      <c r="I2673" s="21" t="s">
        <v>657</v>
      </c>
    </row>
    <row r="2674" spans="1:9" x14ac:dyDescent="0.25">
      <c r="A2674" s="21" t="s">
        <v>725</v>
      </c>
      <c r="B2674">
        <v>71</v>
      </c>
      <c r="C2674" s="21" t="s">
        <v>140</v>
      </c>
      <c r="D2674" s="21" t="s">
        <v>29</v>
      </c>
      <c r="E2674">
        <v>310</v>
      </c>
      <c r="F2674">
        <v>23</v>
      </c>
      <c r="G2674" s="21" t="s">
        <v>25</v>
      </c>
      <c r="H2674" s="21" t="s">
        <v>280</v>
      </c>
      <c r="I2674" s="21" t="s">
        <v>657</v>
      </c>
    </row>
    <row r="2675" spans="1:9" x14ac:dyDescent="0.25">
      <c r="A2675" s="21" t="s">
        <v>726</v>
      </c>
      <c r="B2675">
        <v>13</v>
      </c>
      <c r="C2675" s="21" t="s">
        <v>10</v>
      </c>
      <c r="D2675" s="21" t="s">
        <v>44</v>
      </c>
      <c r="E2675">
        <v>217</v>
      </c>
      <c r="F2675">
        <v>23</v>
      </c>
      <c r="G2675" s="21" t="s">
        <v>30</v>
      </c>
      <c r="H2675" s="21" t="s">
        <v>267</v>
      </c>
      <c r="I2675" s="21" t="s">
        <v>657</v>
      </c>
    </row>
    <row r="2676" spans="1:9" x14ac:dyDescent="0.25">
      <c r="A2676" s="21" t="s">
        <v>727</v>
      </c>
      <c r="B2676">
        <v>24</v>
      </c>
      <c r="C2676" s="21" t="s">
        <v>48</v>
      </c>
      <c r="D2676" s="21" t="s">
        <v>125</v>
      </c>
      <c r="E2676">
        <v>192</v>
      </c>
      <c r="F2676">
        <v>23</v>
      </c>
      <c r="G2676" s="21" t="s">
        <v>30</v>
      </c>
      <c r="H2676" s="21" t="s">
        <v>274</v>
      </c>
      <c r="I2676" s="21" t="s">
        <v>657</v>
      </c>
    </row>
    <row r="2677" spans="1:9" x14ac:dyDescent="0.25">
      <c r="A2677" s="21" t="s">
        <v>729</v>
      </c>
      <c r="B2677">
        <v>82</v>
      </c>
      <c r="C2677" s="21" t="s">
        <v>57</v>
      </c>
      <c r="D2677" s="21" t="s">
        <v>35</v>
      </c>
      <c r="E2677">
        <v>240</v>
      </c>
      <c r="F2677">
        <v>24</v>
      </c>
      <c r="G2677" s="21" t="s">
        <v>30</v>
      </c>
      <c r="H2677" s="21" t="s">
        <v>189</v>
      </c>
      <c r="I2677" s="21" t="s">
        <v>657</v>
      </c>
    </row>
    <row r="2678" spans="1:9" x14ac:dyDescent="0.25">
      <c r="A2678" s="21" t="s">
        <v>728</v>
      </c>
      <c r="B2678">
        <v>33</v>
      </c>
      <c r="C2678" s="21" t="s">
        <v>89</v>
      </c>
      <c r="D2678" s="21" t="s">
        <v>54</v>
      </c>
      <c r="E2678">
        <v>202</v>
      </c>
      <c r="F2678">
        <v>26</v>
      </c>
      <c r="G2678" s="21" t="s">
        <v>45</v>
      </c>
      <c r="H2678" s="21" t="s">
        <v>516</v>
      </c>
      <c r="I2678" s="21" t="s">
        <v>657</v>
      </c>
    </row>
    <row r="2679" spans="1:9" x14ac:dyDescent="0.25">
      <c r="A2679" s="21" t="s">
        <v>730</v>
      </c>
      <c r="B2679">
        <v>52</v>
      </c>
      <c r="C2679" s="21" t="s">
        <v>184</v>
      </c>
      <c r="D2679" s="21" t="s">
        <v>52</v>
      </c>
      <c r="E2679">
        <v>305</v>
      </c>
      <c r="F2679">
        <v>30</v>
      </c>
      <c r="G2679" s="21" t="s">
        <v>45</v>
      </c>
      <c r="H2679" s="21" t="s">
        <v>272</v>
      </c>
      <c r="I2679" s="21" t="s">
        <v>657</v>
      </c>
    </row>
    <row r="2680" spans="1:9" x14ac:dyDescent="0.25">
      <c r="A2680" s="21" t="s">
        <v>731</v>
      </c>
      <c r="B2680">
        <v>91</v>
      </c>
      <c r="C2680" s="21" t="s">
        <v>19</v>
      </c>
      <c r="D2680" s="21" t="s">
        <v>24</v>
      </c>
      <c r="E2680">
        <v>297</v>
      </c>
      <c r="F2680">
        <v>25</v>
      </c>
      <c r="G2680" s="21" t="s">
        <v>12</v>
      </c>
      <c r="H2680" s="21" t="s">
        <v>106</v>
      </c>
      <c r="I2680" s="21" t="s">
        <v>657</v>
      </c>
    </row>
    <row r="2681" spans="1:9" x14ac:dyDescent="0.25">
      <c r="A2681" s="21" t="s">
        <v>732</v>
      </c>
      <c r="B2681">
        <v>67</v>
      </c>
      <c r="C2681" s="21" t="s">
        <v>28</v>
      </c>
      <c r="D2681" s="21" t="s">
        <v>24</v>
      </c>
      <c r="E2681">
        <v>297</v>
      </c>
      <c r="F2681">
        <v>22</v>
      </c>
      <c r="G2681" s="21" t="s">
        <v>25</v>
      </c>
      <c r="H2681" s="21" t="s">
        <v>87</v>
      </c>
      <c r="I2681" s="21" t="s">
        <v>657</v>
      </c>
    </row>
    <row r="2682" spans="1:9" x14ac:dyDescent="0.25">
      <c r="A2682" s="21" t="s">
        <v>733</v>
      </c>
      <c r="B2682">
        <v>49</v>
      </c>
      <c r="C2682" s="21" t="s">
        <v>57</v>
      </c>
      <c r="D2682" s="21" t="s">
        <v>67</v>
      </c>
      <c r="E2682">
        <v>253</v>
      </c>
      <c r="F2682">
        <v>25</v>
      </c>
      <c r="G2682" s="21" t="s">
        <v>25</v>
      </c>
      <c r="H2682" s="21" t="s">
        <v>582</v>
      </c>
      <c r="I2682" s="21" t="s">
        <v>657</v>
      </c>
    </row>
    <row r="2683" spans="1:9" x14ac:dyDescent="0.25">
      <c r="A2683" s="21" t="s">
        <v>734</v>
      </c>
      <c r="B2683">
        <v>85</v>
      </c>
      <c r="C2683" s="21" t="s">
        <v>57</v>
      </c>
      <c r="D2683" s="21" t="s">
        <v>44</v>
      </c>
      <c r="E2683">
        <v>238</v>
      </c>
      <c r="F2683">
        <v>22</v>
      </c>
      <c r="G2683" s="21" t="s">
        <v>25</v>
      </c>
      <c r="H2683" s="21" t="s">
        <v>481</v>
      </c>
      <c r="I2683" s="21" t="s">
        <v>657</v>
      </c>
    </row>
    <row r="2684" spans="1:9" x14ac:dyDescent="0.25">
      <c r="A2684" s="21" t="s">
        <v>735</v>
      </c>
      <c r="B2684">
        <v>68</v>
      </c>
      <c r="C2684" s="21" t="s">
        <v>114</v>
      </c>
      <c r="D2684" s="21" t="s">
        <v>52</v>
      </c>
      <c r="E2684">
        <v>269</v>
      </c>
      <c r="F2684">
        <v>24</v>
      </c>
      <c r="G2684" s="21" t="s">
        <v>25</v>
      </c>
      <c r="H2684" s="21" t="s">
        <v>481</v>
      </c>
      <c r="I2684" s="21" t="s">
        <v>657</v>
      </c>
    </row>
    <row r="2685" spans="1:9" x14ac:dyDescent="0.25">
      <c r="A2685" s="21" t="s">
        <v>736</v>
      </c>
      <c r="B2685">
        <v>72</v>
      </c>
      <c r="C2685" s="21" t="s">
        <v>319</v>
      </c>
      <c r="D2685" s="21" t="s">
        <v>29</v>
      </c>
      <c r="E2685">
        <v>308</v>
      </c>
      <c r="F2685">
        <v>22</v>
      </c>
      <c r="G2685" s="21" t="s">
        <v>25</v>
      </c>
      <c r="H2685" s="21" t="s">
        <v>152</v>
      </c>
      <c r="I2685" s="21" t="s">
        <v>657</v>
      </c>
    </row>
    <row r="2686" spans="1:9" x14ac:dyDescent="0.25">
      <c r="A2686" s="21" t="s">
        <v>737</v>
      </c>
      <c r="B2686">
        <v>78</v>
      </c>
      <c r="C2686" s="21" t="s">
        <v>28</v>
      </c>
      <c r="D2686" s="21" t="s">
        <v>29</v>
      </c>
      <c r="E2686">
        <v>316</v>
      </c>
      <c r="F2686">
        <v>22</v>
      </c>
      <c r="G2686" s="21" t="s">
        <v>25</v>
      </c>
      <c r="H2686" s="21" t="s">
        <v>36</v>
      </c>
      <c r="I2686" s="21" t="s">
        <v>657</v>
      </c>
    </row>
    <row r="2687" spans="1:9" x14ac:dyDescent="0.25">
      <c r="A2687" s="21" t="s">
        <v>738</v>
      </c>
      <c r="B2687">
        <v>18</v>
      </c>
      <c r="C2687" s="21" t="s">
        <v>10</v>
      </c>
      <c r="D2687" s="21" t="s">
        <v>54</v>
      </c>
      <c r="E2687">
        <v>189</v>
      </c>
      <c r="F2687">
        <v>23</v>
      </c>
      <c r="G2687" s="21" t="s">
        <v>25</v>
      </c>
      <c r="H2687" s="21" t="s">
        <v>39</v>
      </c>
      <c r="I2687" s="21" t="s">
        <v>657</v>
      </c>
    </row>
    <row r="2688" spans="1:9" x14ac:dyDescent="0.25">
      <c r="A2688" s="21" t="s">
        <v>739</v>
      </c>
      <c r="B2688">
        <v>75</v>
      </c>
      <c r="C2688" s="21" t="s">
        <v>28</v>
      </c>
      <c r="D2688" s="21" t="s">
        <v>67</v>
      </c>
      <c r="E2688">
        <v>301</v>
      </c>
      <c r="F2688">
        <v>24</v>
      </c>
      <c r="G2688" s="21" t="s">
        <v>30</v>
      </c>
      <c r="H2688" s="21" t="s">
        <v>122</v>
      </c>
      <c r="I2688" s="21" t="s">
        <v>657</v>
      </c>
    </row>
    <row r="2689" spans="1:9" x14ac:dyDescent="0.25">
      <c r="A2689" s="21" t="s">
        <v>740</v>
      </c>
      <c r="B2689">
        <v>56</v>
      </c>
      <c r="C2689" s="21" t="s">
        <v>15</v>
      </c>
      <c r="D2689" s="21" t="s">
        <v>11</v>
      </c>
      <c r="E2689">
        <v>233</v>
      </c>
      <c r="F2689">
        <v>23</v>
      </c>
      <c r="G2689" s="21" t="s">
        <v>30</v>
      </c>
      <c r="H2689" s="21" t="s">
        <v>196</v>
      </c>
      <c r="I2689" s="21" t="s">
        <v>657</v>
      </c>
    </row>
    <row r="2690" spans="1:9" x14ac:dyDescent="0.25">
      <c r="A2690" s="21" t="s">
        <v>741</v>
      </c>
      <c r="B2690">
        <v>88</v>
      </c>
      <c r="C2690" s="21" t="s">
        <v>10</v>
      </c>
      <c r="D2690" s="21" t="s">
        <v>54</v>
      </c>
      <c r="E2690">
        <v>193</v>
      </c>
      <c r="F2690">
        <v>23</v>
      </c>
      <c r="G2690" s="21" t="s">
        <v>25</v>
      </c>
      <c r="H2690" s="21" t="s">
        <v>674</v>
      </c>
      <c r="I2690" s="21" t="s">
        <v>657</v>
      </c>
    </row>
    <row r="2691" spans="1:9" x14ac:dyDescent="0.25">
      <c r="A2691" s="21" t="s">
        <v>742</v>
      </c>
      <c r="B2691">
        <v>70</v>
      </c>
      <c r="C2691" s="21" t="s">
        <v>277</v>
      </c>
      <c r="D2691" s="21" t="s">
        <v>44</v>
      </c>
      <c r="E2691">
        <v>302</v>
      </c>
      <c r="F2691">
        <v>29</v>
      </c>
      <c r="G2691" s="21" t="s">
        <v>12</v>
      </c>
      <c r="H2691" s="21" t="s">
        <v>400</v>
      </c>
      <c r="I2691" s="21" t="s">
        <v>657</v>
      </c>
    </row>
    <row r="2692" spans="1:9" x14ac:dyDescent="0.25">
      <c r="A2692" s="21" t="s">
        <v>743</v>
      </c>
      <c r="B2692">
        <v>76</v>
      </c>
      <c r="C2692" s="21" t="s">
        <v>140</v>
      </c>
      <c r="D2692" s="21" t="s">
        <v>67</v>
      </c>
      <c r="E2692">
        <v>318</v>
      </c>
      <c r="F2692">
        <v>23</v>
      </c>
      <c r="G2692" s="21" t="s">
        <v>25</v>
      </c>
      <c r="H2692" s="21" t="s">
        <v>744</v>
      </c>
      <c r="I2692" s="21" t="s">
        <v>657</v>
      </c>
    </row>
    <row r="2693" spans="1:9" x14ac:dyDescent="0.25">
      <c r="A2693" s="21" t="s">
        <v>745</v>
      </c>
      <c r="B2693">
        <v>11</v>
      </c>
      <c r="C2693" s="21" t="s">
        <v>76</v>
      </c>
      <c r="D2693" s="21" t="s">
        <v>362</v>
      </c>
      <c r="E2693">
        <v>177</v>
      </c>
      <c r="F2693">
        <v>24</v>
      </c>
      <c r="G2693" s="21" t="s">
        <v>25</v>
      </c>
      <c r="H2693" s="21" t="s">
        <v>117</v>
      </c>
      <c r="I2693" s="21" t="s">
        <v>657</v>
      </c>
    </row>
    <row r="2694" spans="1:9" x14ac:dyDescent="0.25">
      <c r="A2694" s="21" t="s">
        <v>746</v>
      </c>
      <c r="B2694">
        <v>98</v>
      </c>
      <c r="C2694" s="21" t="s">
        <v>114</v>
      </c>
      <c r="D2694" s="21" t="s">
        <v>35</v>
      </c>
      <c r="E2694">
        <v>305</v>
      </c>
      <c r="F2694">
        <v>25</v>
      </c>
      <c r="G2694" s="21" t="s">
        <v>16</v>
      </c>
      <c r="H2694" s="21" t="s">
        <v>558</v>
      </c>
      <c r="I2694" s="21" t="s">
        <v>657</v>
      </c>
    </row>
    <row r="2695" spans="1:9" x14ac:dyDescent="0.25">
      <c r="A2695" s="21" t="s">
        <v>747</v>
      </c>
      <c r="B2695">
        <v>38</v>
      </c>
      <c r="C2695" s="21" t="s">
        <v>48</v>
      </c>
      <c r="D2695" s="21" t="s">
        <v>135</v>
      </c>
      <c r="E2695">
        <v>187</v>
      </c>
      <c r="F2695">
        <v>33</v>
      </c>
      <c r="G2695" s="21" t="s">
        <v>186</v>
      </c>
      <c r="H2695" s="21" t="s">
        <v>718</v>
      </c>
      <c r="I2695" s="21" t="s">
        <v>657</v>
      </c>
    </row>
    <row r="2696" spans="1:9" x14ac:dyDescent="0.25">
      <c r="A2696" s="21" t="s">
        <v>748</v>
      </c>
      <c r="B2696">
        <v>4</v>
      </c>
      <c r="C2696" s="21" t="s">
        <v>193</v>
      </c>
      <c r="D2696" s="21" t="s">
        <v>125</v>
      </c>
      <c r="E2696">
        <v>193</v>
      </c>
      <c r="F2696">
        <v>23</v>
      </c>
      <c r="G2696" s="21" t="s">
        <v>25</v>
      </c>
      <c r="H2696" s="21" t="s">
        <v>389</v>
      </c>
      <c r="I2696" s="21" t="s">
        <v>657</v>
      </c>
    </row>
    <row r="2697" spans="1:9" x14ac:dyDescent="0.25">
      <c r="A2697" s="21" t="s">
        <v>749</v>
      </c>
      <c r="B2697">
        <v>97</v>
      </c>
      <c r="C2697" s="21" t="s">
        <v>319</v>
      </c>
      <c r="D2697" s="21" t="s">
        <v>35</v>
      </c>
      <c r="E2697">
        <v>295</v>
      </c>
      <c r="F2697">
        <v>25</v>
      </c>
      <c r="G2697" s="21" t="s">
        <v>16</v>
      </c>
      <c r="H2697" s="21" t="s">
        <v>42</v>
      </c>
      <c r="I2697" s="21" t="s">
        <v>657</v>
      </c>
    </row>
    <row r="2698" spans="1:9" x14ac:dyDescent="0.25">
      <c r="A2698" s="21" t="s">
        <v>750</v>
      </c>
      <c r="B2698">
        <v>87</v>
      </c>
      <c r="C2698" s="21" t="s">
        <v>57</v>
      </c>
      <c r="D2698" s="21" t="s">
        <v>35</v>
      </c>
      <c r="E2698">
        <v>260</v>
      </c>
      <c r="F2698">
        <v>28</v>
      </c>
      <c r="G2698" s="21" t="s">
        <v>21</v>
      </c>
      <c r="H2698" s="21" t="s">
        <v>109</v>
      </c>
      <c r="I2698" s="21" t="s">
        <v>657</v>
      </c>
    </row>
    <row r="2699" spans="1:9" x14ac:dyDescent="0.25">
      <c r="A2699" s="21" t="s">
        <v>751</v>
      </c>
      <c r="B2699">
        <v>20</v>
      </c>
      <c r="C2699" s="21" t="s">
        <v>48</v>
      </c>
      <c r="D2699" s="21" t="s">
        <v>52</v>
      </c>
      <c r="E2699">
        <v>196</v>
      </c>
      <c r="F2699">
        <v>23</v>
      </c>
      <c r="G2699" s="21" t="s">
        <v>25</v>
      </c>
      <c r="H2699" s="21" t="s">
        <v>132</v>
      </c>
      <c r="I2699" s="21" t="s">
        <v>657</v>
      </c>
    </row>
    <row r="2700" spans="1:9" x14ac:dyDescent="0.25">
      <c r="A2700" s="21" t="s">
        <v>752</v>
      </c>
      <c r="B2700">
        <v>17</v>
      </c>
      <c r="C2700" s="21" t="s">
        <v>70</v>
      </c>
      <c r="D2700" s="21" t="s">
        <v>35</v>
      </c>
      <c r="E2700">
        <v>217</v>
      </c>
      <c r="F2700">
        <v>34</v>
      </c>
      <c r="G2700" s="21" t="s">
        <v>254</v>
      </c>
      <c r="H2700" s="21" t="s">
        <v>152</v>
      </c>
      <c r="I2700" s="21" t="s">
        <v>657</v>
      </c>
    </row>
    <row r="2701" spans="1:9" x14ac:dyDescent="0.25">
      <c r="A2701" s="21" t="s">
        <v>753</v>
      </c>
      <c r="B2701">
        <v>93</v>
      </c>
      <c r="C2701" s="21" t="s">
        <v>114</v>
      </c>
      <c r="D2701" s="21" t="s">
        <v>24</v>
      </c>
      <c r="E2701">
        <v>304</v>
      </c>
      <c r="F2701">
        <v>25</v>
      </c>
      <c r="G2701" s="21" t="s">
        <v>12</v>
      </c>
      <c r="H2701" s="21" t="s">
        <v>754</v>
      </c>
      <c r="I2701" s="21" t="s">
        <v>657</v>
      </c>
    </row>
    <row r="2702" spans="1:9" x14ac:dyDescent="0.25">
      <c r="A2702" s="21" t="s">
        <v>755</v>
      </c>
      <c r="B2702">
        <v>95</v>
      </c>
      <c r="C2702" s="21" t="s">
        <v>19</v>
      </c>
      <c r="D2702" s="21" t="s">
        <v>35</v>
      </c>
      <c r="E2702">
        <v>280</v>
      </c>
      <c r="F2702">
        <v>27</v>
      </c>
      <c r="G2702" s="21" t="s">
        <v>38</v>
      </c>
      <c r="H2702" s="21" t="s">
        <v>241</v>
      </c>
      <c r="I2702" s="21" t="s">
        <v>657</v>
      </c>
    </row>
    <row r="2703" spans="1:9" x14ac:dyDescent="0.25">
      <c r="A2703" s="21" t="s">
        <v>756</v>
      </c>
      <c r="B2703">
        <v>99</v>
      </c>
      <c r="C2703" s="21" t="s">
        <v>213</v>
      </c>
      <c r="D2703" s="21" t="s">
        <v>35</v>
      </c>
      <c r="E2703">
        <v>259</v>
      </c>
      <c r="F2703">
        <v>24</v>
      </c>
      <c r="G2703" s="21" t="s">
        <v>30</v>
      </c>
      <c r="H2703" s="21" t="s">
        <v>128</v>
      </c>
      <c r="I2703" s="21" t="s">
        <v>657</v>
      </c>
    </row>
    <row r="2704" spans="1:9" x14ac:dyDescent="0.25">
      <c r="A2704" s="21" t="s">
        <v>757</v>
      </c>
      <c r="B2704">
        <v>15</v>
      </c>
      <c r="C2704" s="21" t="s">
        <v>10</v>
      </c>
      <c r="D2704" s="21" t="s">
        <v>24</v>
      </c>
      <c r="E2704">
        <v>211</v>
      </c>
      <c r="F2704">
        <v>25</v>
      </c>
      <c r="G2704" s="21" t="s">
        <v>12</v>
      </c>
      <c r="H2704" s="21" t="s">
        <v>138</v>
      </c>
      <c r="I2704" s="21" t="s">
        <v>657</v>
      </c>
    </row>
    <row r="2705" spans="1:9" x14ac:dyDescent="0.25">
      <c r="A2705" s="21" t="s">
        <v>758</v>
      </c>
      <c r="B2705">
        <v>20</v>
      </c>
      <c r="C2705" s="21" t="s">
        <v>51</v>
      </c>
      <c r="D2705" s="21" t="s">
        <v>52</v>
      </c>
      <c r="E2705">
        <v>212</v>
      </c>
      <c r="F2705">
        <v>28</v>
      </c>
      <c r="G2705" s="21" t="s">
        <v>45</v>
      </c>
      <c r="H2705" s="21" t="s">
        <v>516</v>
      </c>
      <c r="I2705" s="21" t="s">
        <v>657</v>
      </c>
    </row>
    <row r="2706" spans="1:9" x14ac:dyDescent="0.25">
      <c r="A2706" s="21" t="s">
        <v>759</v>
      </c>
      <c r="B2706">
        <v>39</v>
      </c>
      <c r="C2706" s="21" t="s">
        <v>48</v>
      </c>
      <c r="D2706" s="21" t="s">
        <v>11</v>
      </c>
      <c r="E2706">
        <v>205</v>
      </c>
      <c r="F2706">
        <v>25</v>
      </c>
      <c r="G2706" s="21" t="s">
        <v>83</v>
      </c>
      <c r="H2706" s="21" t="s">
        <v>168</v>
      </c>
      <c r="I2706" s="21" t="s">
        <v>657</v>
      </c>
    </row>
    <row r="2707" spans="1:9" x14ac:dyDescent="0.25">
      <c r="A2707" s="21" t="s">
        <v>760</v>
      </c>
      <c r="B2707">
        <v>7</v>
      </c>
      <c r="C2707" s="21" t="s">
        <v>70</v>
      </c>
      <c r="D2707" s="21" t="s">
        <v>52</v>
      </c>
      <c r="E2707">
        <v>219</v>
      </c>
      <c r="F2707">
        <v>23</v>
      </c>
      <c r="G2707" s="21" t="s">
        <v>25</v>
      </c>
      <c r="H2707" s="21" t="s">
        <v>398</v>
      </c>
      <c r="I2707" s="21" t="s">
        <v>657</v>
      </c>
    </row>
    <row r="2708" spans="1:9" x14ac:dyDescent="0.25">
      <c r="A2708" s="21" t="s">
        <v>761</v>
      </c>
      <c r="B2708">
        <v>2</v>
      </c>
      <c r="C2708" s="21" t="s">
        <v>10</v>
      </c>
      <c r="D2708" s="21" t="s">
        <v>11</v>
      </c>
      <c r="E2708">
        <v>195</v>
      </c>
      <c r="F2708">
        <v>30</v>
      </c>
      <c r="G2708" s="21" t="s">
        <v>111</v>
      </c>
      <c r="H2708" s="21" t="s">
        <v>280</v>
      </c>
      <c r="I2708" s="21" t="s">
        <v>657</v>
      </c>
    </row>
    <row r="2709" spans="1:9" x14ac:dyDescent="0.25">
      <c r="A2709" s="21" t="s">
        <v>762</v>
      </c>
      <c r="B2709">
        <v>5</v>
      </c>
      <c r="C2709" s="21" t="s">
        <v>70</v>
      </c>
      <c r="D2709" s="21" t="s">
        <v>52</v>
      </c>
      <c r="E2709">
        <v>213</v>
      </c>
      <c r="F2709">
        <v>27</v>
      </c>
      <c r="G2709" s="21" t="s">
        <v>12</v>
      </c>
      <c r="H2709" s="21" t="s">
        <v>93</v>
      </c>
      <c r="I2709" s="21" t="s">
        <v>657</v>
      </c>
    </row>
    <row r="2710" spans="1:9" x14ac:dyDescent="0.25">
      <c r="A2710" s="21" t="s">
        <v>2036</v>
      </c>
      <c r="B2710">
        <v>3</v>
      </c>
      <c r="C2710" s="21" t="s">
        <v>51</v>
      </c>
      <c r="D2710" s="21" t="s">
        <v>125</v>
      </c>
      <c r="E2710">
        <v>217</v>
      </c>
      <c r="F2710">
        <v>23</v>
      </c>
      <c r="G2710" s="21" t="s">
        <v>30</v>
      </c>
      <c r="H2710" s="21" t="s">
        <v>241</v>
      </c>
      <c r="I2710" s="21" t="s">
        <v>2035</v>
      </c>
    </row>
    <row r="2711" spans="1:9" x14ac:dyDescent="0.25">
      <c r="A2711" s="21" t="s">
        <v>2037</v>
      </c>
      <c r="B2711">
        <v>55</v>
      </c>
      <c r="C2711" s="21" t="s">
        <v>184</v>
      </c>
      <c r="D2711" s="21" t="s">
        <v>24</v>
      </c>
      <c r="E2711">
        <v>303</v>
      </c>
      <c r="F2711">
        <v>26</v>
      </c>
      <c r="G2711" s="21" t="s">
        <v>45</v>
      </c>
      <c r="H2711" s="21" t="s">
        <v>55</v>
      </c>
      <c r="I2711" s="21" t="s">
        <v>2035</v>
      </c>
    </row>
    <row r="2712" spans="1:9" x14ac:dyDescent="0.25">
      <c r="A2712" s="21" t="s">
        <v>2038</v>
      </c>
      <c r="B2712">
        <v>72</v>
      </c>
      <c r="C2712" s="21" t="s">
        <v>140</v>
      </c>
      <c r="D2712" s="21" t="s">
        <v>24</v>
      </c>
      <c r="E2712">
        <v>314</v>
      </c>
      <c r="F2712">
        <v>24</v>
      </c>
      <c r="G2712" s="21" t="s">
        <v>12</v>
      </c>
      <c r="H2712" s="21" t="s">
        <v>136</v>
      </c>
      <c r="I2712" s="21" t="s">
        <v>2035</v>
      </c>
    </row>
    <row r="2713" spans="1:9" x14ac:dyDescent="0.25">
      <c r="A2713" s="21" t="s">
        <v>2039</v>
      </c>
      <c r="B2713">
        <v>61</v>
      </c>
      <c r="C2713" s="21" t="s">
        <v>140</v>
      </c>
      <c r="D2713" s="21" t="s">
        <v>20</v>
      </c>
      <c r="E2713">
        <v>320</v>
      </c>
      <c r="F2713">
        <v>24</v>
      </c>
      <c r="G2713" s="21" t="s">
        <v>25</v>
      </c>
      <c r="H2713" s="21" t="s">
        <v>55</v>
      </c>
      <c r="I2713" s="21" t="s">
        <v>2035</v>
      </c>
    </row>
    <row r="2714" spans="1:9" x14ac:dyDescent="0.25">
      <c r="A2714" s="21" t="s">
        <v>2040</v>
      </c>
      <c r="B2714">
        <v>86</v>
      </c>
      <c r="C2714" s="21" t="s">
        <v>57</v>
      </c>
      <c r="D2714" s="21" t="s">
        <v>67</v>
      </c>
      <c r="E2714">
        <v>262</v>
      </c>
      <c r="F2714">
        <v>26</v>
      </c>
      <c r="G2714" s="21" t="s">
        <v>30</v>
      </c>
      <c r="H2714" s="21" t="s">
        <v>335</v>
      </c>
      <c r="I2714" s="21" t="s">
        <v>2035</v>
      </c>
    </row>
    <row r="2715" spans="1:9" x14ac:dyDescent="0.25">
      <c r="A2715" s="21" t="s">
        <v>2041</v>
      </c>
      <c r="B2715">
        <v>95</v>
      </c>
      <c r="C2715" s="21" t="s">
        <v>114</v>
      </c>
      <c r="D2715" s="21" t="s">
        <v>35</v>
      </c>
      <c r="E2715">
        <v>324</v>
      </c>
      <c r="F2715">
        <v>21</v>
      </c>
      <c r="G2715" s="21" t="s">
        <v>30</v>
      </c>
      <c r="H2715" s="21" t="s">
        <v>152</v>
      </c>
      <c r="I2715" s="21" t="s">
        <v>2035</v>
      </c>
    </row>
    <row r="2716" spans="1:9" x14ac:dyDescent="0.25">
      <c r="A2716" s="21" t="s">
        <v>2042</v>
      </c>
      <c r="B2716">
        <v>60</v>
      </c>
      <c r="C2716" s="21" t="s">
        <v>277</v>
      </c>
      <c r="D2716" s="21" t="s">
        <v>29</v>
      </c>
      <c r="E2716">
        <v>309</v>
      </c>
      <c r="F2716">
        <v>22</v>
      </c>
      <c r="G2716" s="21" t="s">
        <v>25</v>
      </c>
      <c r="H2716" s="21" t="s">
        <v>68</v>
      </c>
      <c r="I2716" s="21" t="s">
        <v>2035</v>
      </c>
    </row>
    <row r="2717" spans="1:9" x14ac:dyDescent="0.25">
      <c r="A2717" s="21" t="s">
        <v>2043</v>
      </c>
      <c r="B2717">
        <v>26</v>
      </c>
      <c r="C2717" s="21" t="s">
        <v>89</v>
      </c>
      <c r="D2717" s="21" t="s">
        <v>54</v>
      </c>
      <c r="E2717">
        <v>202</v>
      </c>
      <c r="F2717">
        <v>24</v>
      </c>
      <c r="G2717" s="21" t="s">
        <v>12</v>
      </c>
      <c r="H2717" s="21" t="s">
        <v>194</v>
      </c>
      <c r="I2717" s="21" t="s">
        <v>2035</v>
      </c>
    </row>
    <row r="2718" spans="1:9" x14ac:dyDescent="0.25">
      <c r="A2718" s="21" t="s">
        <v>4801</v>
      </c>
      <c r="B2718">
        <v>49</v>
      </c>
      <c r="C2718" s="21" t="s">
        <v>57</v>
      </c>
      <c r="D2718" s="21" t="s">
        <v>24</v>
      </c>
      <c r="E2718">
        <v>250</v>
      </c>
      <c r="F2718">
        <v>23</v>
      </c>
      <c r="G2718" s="21" t="s">
        <v>25</v>
      </c>
      <c r="H2718" s="21" t="s">
        <v>2044</v>
      </c>
      <c r="I2718" s="21" t="s">
        <v>2035</v>
      </c>
    </row>
    <row r="2719" spans="1:9" x14ac:dyDescent="0.25">
      <c r="A2719" s="21" t="s">
        <v>2045</v>
      </c>
      <c r="B2719">
        <v>20</v>
      </c>
      <c r="C2719" s="21" t="s">
        <v>48</v>
      </c>
      <c r="D2719" s="21" t="s">
        <v>54</v>
      </c>
      <c r="E2719">
        <v>193</v>
      </c>
      <c r="G2719" s="21" t="s">
        <v>25</v>
      </c>
      <c r="H2719" s="21" t="s">
        <v>618</v>
      </c>
      <c r="I2719" s="21" t="s">
        <v>2035</v>
      </c>
    </row>
    <row r="2720" spans="1:9" x14ac:dyDescent="0.25">
      <c r="A2720" s="21" t="s">
        <v>2046</v>
      </c>
      <c r="B2720">
        <v>93</v>
      </c>
      <c r="C2720" s="21" t="s">
        <v>114</v>
      </c>
      <c r="D2720" s="21" t="s">
        <v>24</v>
      </c>
      <c r="E2720">
        <v>287</v>
      </c>
      <c r="F2720">
        <v>25</v>
      </c>
      <c r="G2720" s="21" t="s">
        <v>30</v>
      </c>
      <c r="H2720" s="21" t="s">
        <v>304</v>
      </c>
      <c r="I2720" s="21" t="s">
        <v>2035</v>
      </c>
    </row>
    <row r="2721" spans="1:9" x14ac:dyDescent="0.25">
      <c r="A2721" s="21" t="s">
        <v>2047</v>
      </c>
      <c r="B2721">
        <v>46</v>
      </c>
      <c r="C2721" s="21" t="s">
        <v>48</v>
      </c>
      <c r="D2721" s="21" t="s">
        <v>11</v>
      </c>
      <c r="E2721">
        <v>188</v>
      </c>
      <c r="G2721" s="21" t="s">
        <v>25</v>
      </c>
      <c r="H2721" s="21" t="s">
        <v>68</v>
      </c>
      <c r="I2721" s="21" t="s">
        <v>2035</v>
      </c>
    </row>
    <row r="2722" spans="1:9" x14ac:dyDescent="0.25">
      <c r="A2722" s="21" t="s">
        <v>2048</v>
      </c>
      <c r="B2722">
        <v>16</v>
      </c>
      <c r="C2722" s="21" t="s">
        <v>193</v>
      </c>
      <c r="D2722" s="21" t="s">
        <v>52</v>
      </c>
      <c r="E2722">
        <v>216</v>
      </c>
      <c r="F2722">
        <v>22</v>
      </c>
      <c r="G2722" s="21" t="s">
        <v>25</v>
      </c>
      <c r="H2722" s="21" t="s">
        <v>109</v>
      </c>
      <c r="I2722" s="21" t="s">
        <v>2035</v>
      </c>
    </row>
    <row r="2723" spans="1:9" x14ac:dyDescent="0.25">
      <c r="A2723" s="21" t="s">
        <v>2049</v>
      </c>
      <c r="B2723">
        <v>11</v>
      </c>
      <c r="C2723" s="21" t="s">
        <v>193</v>
      </c>
      <c r="D2723" s="21" t="s">
        <v>35</v>
      </c>
      <c r="E2723">
        <v>221</v>
      </c>
      <c r="F2723">
        <v>28</v>
      </c>
      <c r="G2723" s="21" t="s">
        <v>100</v>
      </c>
      <c r="H2723" s="21" t="s">
        <v>355</v>
      </c>
      <c r="I2723" s="21" t="s">
        <v>2035</v>
      </c>
    </row>
    <row r="2724" spans="1:9" x14ac:dyDescent="0.25">
      <c r="A2724" s="21" t="s">
        <v>2050</v>
      </c>
      <c r="B2724">
        <v>99</v>
      </c>
      <c r="C2724" s="21" t="s">
        <v>19</v>
      </c>
      <c r="D2724" s="21" t="s">
        <v>52</v>
      </c>
      <c r="E2724">
        <v>280</v>
      </c>
      <c r="F2724">
        <v>31</v>
      </c>
      <c r="G2724" s="21" t="s">
        <v>64</v>
      </c>
      <c r="H2724" s="21" t="s">
        <v>128</v>
      </c>
      <c r="I2724" s="21" t="s">
        <v>2035</v>
      </c>
    </row>
    <row r="2725" spans="1:9" x14ac:dyDescent="0.25">
      <c r="A2725" s="21" t="s">
        <v>2051</v>
      </c>
      <c r="B2725">
        <v>14</v>
      </c>
      <c r="C2725" s="21" t="s">
        <v>124</v>
      </c>
      <c r="D2725" s="21" t="s">
        <v>54</v>
      </c>
      <c r="E2725">
        <v>180</v>
      </c>
      <c r="F2725">
        <v>24</v>
      </c>
      <c r="G2725" s="21" t="s">
        <v>25</v>
      </c>
      <c r="H2725" s="21" t="s">
        <v>372</v>
      </c>
      <c r="I2725" s="21" t="s">
        <v>2035</v>
      </c>
    </row>
    <row r="2726" spans="1:9" x14ac:dyDescent="0.25">
      <c r="A2726" s="21" t="s">
        <v>2052</v>
      </c>
      <c r="B2726">
        <v>73</v>
      </c>
      <c r="C2726" s="21" t="s">
        <v>277</v>
      </c>
      <c r="D2726" s="21" t="s">
        <v>67</v>
      </c>
      <c r="E2726">
        <v>308</v>
      </c>
      <c r="F2726">
        <v>25</v>
      </c>
      <c r="G2726" s="21" t="s">
        <v>16</v>
      </c>
      <c r="H2726" s="21" t="s">
        <v>68</v>
      </c>
      <c r="I2726" s="21" t="s">
        <v>2035</v>
      </c>
    </row>
    <row r="2727" spans="1:9" x14ac:dyDescent="0.25">
      <c r="A2727" s="21" t="s">
        <v>2053</v>
      </c>
      <c r="B2727">
        <v>71</v>
      </c>
      <c r="C2727" s="21" t="s">
        <v>140</v>
      </c>
      <c r="D2727" s="21" t="s">
        <v>35</v>
      </c>
      <c r="E2727">
        <v>312</v>
      </c>
      <c r="F2727">
        <v>25</v>
      </c>
      <c r="G2727" s="21" t="s">
        <v>16</v>
      </c>
      <c r="H2727" s="21" t="s">
        <v>187</v>
      </c>
      <c r="I2727" s="21" t="s">
        <v>2035</v>
      </c>
    </row>
    <row r="2728" spans="1:9" x14ac:dyDescent="0.25">
      <c r="A2728" s="21" t="s">
        <v>2054</v>
      </c>
      <c r="B2728">
        <v>54</v>
      </c>
      <c r="C2728" s="21" t="s">
        <v>15</v>
      </c>
      <c r="D2728" s="21" t="s">
        <v>29</v>
      </c>
      <c r="E2728">
        <v>240</v>
      </c>
      <c r="F2728">
        <v>29</v>
      </c>
      <c r="G2728" s="21" t="s">
        <v>100</v>
      </c>
      <c r="H2728" s="21" t="s">
        <v>196</v>
      </c>
      <c r="I2728" s="21" t="s">
        <v>2035</v>
      </c>
    </row>
    <row r="2729" spans="1:9" x14ac:dyDescent="0.25">
      <c r="A2729" s="21" t="s">
        <v>2055</v>
      </c>
      <c r="B2729">
        <v>34</v>
      </c>
      <c r="C2729" s="21" t="s">
        <v>51</v>
      </c>
      <c r="D2729" s="21" t="s">
        <v>125</v>
      </c>
      <c r="E2729">
        <v>205</v>
      </c>
      <c r="F2729">
        <v>24</v>
      </c>
      <c r="G2729" s="21" t="s">
        <v>30</v>
      </c>
      <c r="H2729" s="21" t="s">
        <v>481</v>
      </c>
      <c r="I2729" s="21" t="s">
        <v>2035</v>
      </c>
    </row>
    <row r="2730" spans="1:9" x14ac:dyDescent="0.25">
      <c r="A2730" s="21" t="s">
        <v>2056</v>
      </c>
      <c r="B2730">
        <v>91</v>
      </c>
      <c r="C2730" s="21" t="s">
        <v>114</v>
      </c>
      <c r="D2730" s="21" t="s">
        <v>52</v>
      </c>
      <c r="E2730">
        <v>312</v>
      </c>
      <c r="F2730">
        <v>26</v>
      </c>
      <c r="G2730" s="21" t="s">
        <v>16</v>
      </c>
      <c r="H2730" s="21" t="s">
        <v>274</v>
      </c>
      <c r="I2730" s="21" t="s">
        <v>2035</v>
      </c>
    </row>
    <row r="2731" spans="1:9" x14ac:dyDescent="0.25">
      <c r="A2731" s="21" t="s">
        <v>2057</v>
      </c>
      <c r="B2731">
        <v>69</v>
      </c>
      <c r="C2731" s="21" t="s">
        <v>19</v>
      </c>
      <c r="D2731" s="21" t="s">
        <v>29</v>
      </c>
      <c r="E2731">
        <v>302</v>
      </c>
      <c r="F2731">
        <v>24</v>
      </c>
      <c r="G2731" s="21" t="s">
        <v>25</v>
      </c>
      <c r="H2731" s="21" t="s">
        <v>978</v>
      </c>
      <c r="I2731" s="21" t="s">
        <v>2035</v>
      </c>
    </row>
    <row r="2732" spans="1:9" x14ac:dyDescent="0.25">
      <c r="A2732" s="21" t="s">
        <v>2058</v>
      </c>
      <c r="B2732">
        <v>48</v>
      </c>
      <c r="C2732" s="21" t="s">
        <v>15</v>
      </c>
      <c r="D2732" s="21" t="s">
        <v>35</v>
      </c>
      <c r="E2732">
        <v>245</v>
      </c>
      <c r="F2732">
        <v>24</v>
      </c>
      <c r="G2732" s="21" t="s">
        <v>30</v>
      </c>
      <c r="H2732" s="21" t="s">
        <v>2059</v>
      </c>
      <c r="I2732" s="21" t="s">
        <v>2035</v>
      </c>
    </row>
    <row r="2733" spans="1:9" x14ac:dyDescent="0.25">
      <c r="A2733" s="21" t="s">
        <v>2060</v>
      </c>
      <c r="B2733">
        <v>8</v>
      </c>
      <c r="C2733" s="21" t="s">
        <v>76</v>
      </c>
      <c r="D2733" s="21" t="s">
        <v>11</v>
      </c>
      <c r="E2733">
        <v>232</v>
      </c>
      <c r="F2733">
        <v>28</v>
      </c>
      <c r="G2733" s="21" t="s">
        <v>16</v>
      </c>
      <c r="H2733" s="21" t="s">
        <v>194</v>
      </c>
      <c r="I2733" s="21" t="s">
        <v>2035</v>
      </c>
    </row>
    <row r="2734" spans="1:9" x14ac:dyDescent="0.25">
      <c r="A2734" s="21" t="s">
        <v>2061</v>
      </c>
      <c r="B2734">
        <v>39</v>
      </c>
      <c r="C2734" s="21" t="s">
        <v>15</v>
      </c>
      <c r="D2734" s="21" t="s">
        <v>52</v>
      </c>
      <c r="E2734">
        <v>212</v>
      </c>
      <c r="F2734">
        <v>26</v>
      </c>
      <c r="G2734" s="21" t="s">
        <v>30</v>
      </c>
      <c r="H2734" s="21" t="s">
        <v>117</v>
      </c>
      <c r="I2734" s="21" t="s">
        <v>2035</v>
      </c>
    </row>
    <row r="2735" spans="1:9" x14ac:dyDescent="0.25">
      <c r="A2735" s="21" t="s">
        <v>2062</v>
      </c>
      <c r="B2735">
        <v>36</v>
      </c>
      <c r="C2735" s="21" t="s">
        <v>124</v>
      </c>
      <c r="D2735" s="21" t="s">
        <v>135</v>
      </c>
      <c r="E2735">
        <v>190</v>
      </c>
      <c r="F2735">
        <v>26</v>
      </c>
      <c r="G2735" s="21" t="s">
        <v>12</v>
      </c>
      <c r="H2735" s="21" t="s">
        <v>3251</v>
      </c>
      <c r="I2735" s="21" t="s">
        <v>2035</v>
      </c>
    </row>
    <row r="2736" spans="1:9" x14ac:dyDescent="0.25">
      <c r="A2736" s="21" t="s">
        <v>2063</v>
      </c>
      <c r="B2736">
        <v>44</v>
      </c>
      <c r="C2736" s="21" t="s">
        <v>213</v>
      </c>
      <c r="D2736" s="21" t="s">
        <v>44</v>
      </c>
      <c r="E2736">
        <v>240</v>
      </c>
      <c r="G2736" s="21" t="s">
        <v>25</v>
      </c>
      <c r="H2736" s="21" t="s">
        <v>207</v>
      </c>
      <c r="I2736" s="21" t="s">
        <v>2035</v>
      </c>
    </row>
    <row r="2737" spans="1:9" x14ac:dyDescent="0.25">
      <c r="A2737" s="21" t="s">
        <v>2064</v>
      </c>
      <c r="B2737">
        <v>79</v>
      </c>
      <c r="C2737" s="21" t="s">
        <v>140</v>
      </c>
      <c r="D2737" s="21" t="s">
        <v>141</v>
      </c>
      <c r="E2737">
        <v>330</v>
      </c>
      <c r="F2737">
        <v>30</v>
      </c>
      <c r="G2737" s="21" t="s">
        <v>21</v>
      </c>
      <c r="H2737" s="21" t="s">
        <v>68</v>
      </c>
      <c r="I2737" s="21" t="s">
        <v>2035</v>
      </c>
    </row>
    <row r="2738" spans="1:9" x14ac:dyDescent="0.25">
      <c r="A2738" s="21" t="s">
        <v>2065</v>
      </c>
      <c r="B2738">
        <v>27</v>
      </c>
      <c r="C2738" s="21" t="s">
        <v>51</v>
      </c>
      <c r="D2738" s="21" t="s">
        <v>86</v>
      </c>
      <c r="E2738">
        <v>208</v>
      </c>
      <c r="F2738">
        <v>24</v>
      </c>
      <c r="G2738" s="21" t="s">
        <v>16</v>
      </c>
      <c r="H2738" s="21" t="s">
        <v>627</v>
      </c>
      <c r="I2738" s="21" t="s">
        <v>2035</v>
      </c>
    </row>
    <row r="2739" spans="1:9" x14ac:dyDescent="0.25">
      <c r="A2739" s="21" t="s">
        <v>2066</v>
      </c>
      <c r="B2739">
        <v>2</v>
      </c>
      <c r="C2739" s="21" t="s">
        <v>48</v>
      </c>
      <c r="D2739" s="21" t="s">
        <v>54</v>
      </c>
      <c r="E2739">
        <v>180</v>
      </c>
      <c r="F2739">
        <v>30</v>
      </c>
      <c r="G2739" s="21" t="s">
        <v>100</v>
      </c>
      <c r="H2739" s="21" t="s">
        <v>22</v>
      </c>
      <c r="I2739" s="21" t="s">
        <v>2035</v>
      </c>
    </row>
    <row r="2740" spans="1:9" x14ac:dyDescent="0.25">
      <c r="A2740" s="21" t="s">
        <v>2067</v>
      </c>
      <c r="B2740">
        <v>96</v>
      </c>
      <c r="C2740" s="21" t="s">
        <v>114</v>
      </c>
      <c r="D2740" s="21" t="s">
        <v>35</v>
      </c>
      <c r="E2740">
        <v>310</v>
      </c>
      <c r="F2740">
        <v>24</v>
      </c>
      <c r="G2740" s="21" t="s">
        <v>30</v>
      </c>
      <c r="H2740" s="21" t="s">
        <v>841</v>
      </c>
      <c r="I2740" s="21" t="s">
        <v>2035</v>
      </c>
    </row>
    <row r="2741" spans="1:9" x14ac:dyDescent="0.25">
      <c r="A2741" s="21" t="s">
        <v>2068</v>
      </c>
      <c r="B2741">
        <v>58</v>
      </c>
      <c r="C2741" s="21" t="s">
        <v>15</v>
      </c>
      <c r="D2741" s="21" t="s">
        <v>29</v>
      </c>
      <c r="E2741">
        <v>248</v>
      </c>
      <c r="F2741">
        <v>26</v>
      </c>
      <c r="G2741" s="21" t="s">
        <v>16</v>
      </c>
      <c r="H2741" s="21" t="s">
        <v>22</v>
      </c>
      <c r="I2741" s="21" t="s">
        <v>2035</v>
      </c>
    </row>
    <row r="2742" spans="1:9" x14ac:dyDescent="0.25">
      <c r="A2742" s="21" t="s">
        <v>2069</v>
      </c>
      <c r="B2742">
        <v>88</v>
      </c>
      <c r="C2742" s="21" t="s">
        <v>57</v>
      </c>
      <c r="D2742" s="21" t="s">
        <v>35</v>
      </c>
      <c r="E2742">
        <v>245</v>
      </c>
      <c r="F2742">
        <v>25</v>
      </c>
      <c r="G2742" s="21" t="s">
        <v>12</v>
      </c>
      <c r="H2742" s="21" t="s">
        <v>400</v>
      </c>
      <c r="I2742" s="21" t="s">
        <v>2035</v>
      </c>
    </row>
    <row r="2743" spans="1:9" x14ac:dyDescent="0.25">
      <c r="A2743" s="21" t="s">
        <v>2070</v>
      </c>
      <c r="B2743">
        <v>32</v>
      </c>
      <c r="C2743" s="21" t="s">
        <v>230</v>
      </c>
      <c r="D2743" s="21" t="s">
        <v>52</v>
      </c>
      <c r="E2743">
        <v>219</v>
      </c>
      <c r="F2743">
        <v>26</v>
      </c>
      <c r="G2743" s="21" t="s">
        <v>16</v>
      </c>
      <c r="H2743" s="21" t="s">
        <v>618</v>
      </c>
      <c r="I2743" s="21" t="s">
        <v>2035</v>
      </c>
    </row>
    <row r="2744" spans="1:9" x14ac:dyDescent="0.25">
      <c r="A2744" s="21" t="s">
        <v>2071</v>
      </c>
      <c r="B2744">
        <v>59</v>
      </c>
      <c r="C2744" s="21" t="s">
        <v>230</v>
      </c>
      <c r="D2744" s="21" t="s">
        <v>52</v>
      </c>
      <c r="E2744">
        <v>235</v>
      </c>
      <c r="F2744">
        <v>23</v>
      </c>
      <c r="G2744" s="21" t="s">
        <v>25</v>
      </c>
      <c r="H2744" s="21" t="s">
        <v>162</v>
      </c>
      <c r="I2744" s="21" t="s">
        <v>2035</v>
      </c>
    </row>
    <row r="2745" spans="1:9" x14ac:dyDescent="0.25">
      <c r="A2745" s="21" t="s">
        <v>2072</v>
      </c>
      <c r="B2745">
        <v>41</v>
      </c>
      <c r="C2745" s="21" t="s">
        <v>89</v>
      </c>
      <c r="D2745" s="21" t="s">
        <v>11</v>
      </c>
      <c r="E2745">
        <v>194</v>
      </c>
      <c r="G2745" s="21" t="s">
        <v>25</v>
      </c>
      <c r="H2745" s="21" t="s">
        <v>370</v>
      </c>
      <c r="I2745" s="21" t="s">
        <v>2035</v>
      </c>
    </row>
    <row r="2746" spans="1:9" x14ac:dyDescent="0.25">
      <c r="A2746" s="21" t="s">
        <v>2073</v>
      </c>
      <c r="B2746">
        <v>77</v>
      </c>
      <c r="C2746" s="21" t="s">
        <v>28</v>
      </c>
      <c r="D2746" s="21" t="s">
        <v>20</v>
      </c>
      <c r="E2746">
        <v>285</v>
      </c>
      <c r="F2746">
        <v>24</v>
      </c>
      <c r="G2746" s="21" t="s">
        <v>30</v>
      </c>
      <c r="H2746" s="21" t="s">
        <v>117</v>
      </c>
      <c r="I2746" s="21" t="s">
        <v>2035</v>
      </c>
    </row>
    <row r="2747" spans="1:9" x14ac:dyDescent="0.25">
      <c r="A2747" s="21" t="s">
        <v>2074</v>
      </c>
      <c r="B2747">
        <v>12</v>
      </c>
      <c r="C2747" s="21" t="s">
        <v>10</v>
      </c>
      <c r="D2747" s="21" t="s">
        <v>52</v>
      </c>
      <c r="E2747">
        <v>200</v>
      </c>
      <c r="F2747">
        <v>26</v>
      </c>
      <c r="G2747" s="21" t="s">
        <v>12</v>
      </c>
      <c r="H2747" s="21" t="s">
        <v>251</v>
      </c>
      <c r="I2747" s="21" t="s">
        <v>2035</v>
      </c>
    </row>
    <row r="2748" spans="1:9" x14ac:dyDescent="0.25">
      <c r="A2748" s="21" t="s">
        <v>2075</v>
      </c>
      <c r="B2748">
        <v>53</v>
      </c>
      <c r="C2748" s="21" t="s">
        <v>15</v>
      </c>
      <c r="D2748" s="21" t="s">
        <v>24</v>
      </c>
      <c r="E2748">
        <v>230</v>
      </c>
      <c r="F2748">
        <v>22</v>
      </c>
      <c r="G2748" s="21" t="s">
        <v>30</v>
      </c>
      <c r="H2748" s="21" t="s">
        <v>115</v>
      </c>
      <c r="I2748" s="21" t="s">
        <v>2035</v>
      </c>
    </row>
    <row r="2749" spans="1:9" x14ac:dyDescent="0.25">
      <c r="A2749" s="21" t="s">
        <v>2076</v>
      </c>
      <c r="B2749">
        <v>6</v>
      </c>
      <c r="C2749" s="21" t="s">
        <v>48</v>
      </c>
      <c r="D2749" s="21" t="s">
        <v>11</v>
      </c>
      <c r="E2749">
        <v>190</v>
      </c>
      <c r="F2749">
        <v>21</v>
      </c>
      <c r="G2749" s="21" t="s">
        <v>25</v>
      </c>
      <c r="H2749" s="21" t="s">
        <v>196</v>
      </c>
      <c r="I2749" s="21" t="s">
        <v>2035</v>
      </c>
    </row>
    <row r="2750" spans="1:9" x14ac:dyDescent="0.25">
      <c r="A2750" s="21" t="s">
        <v>2077</v>
      </c>
      <c r="B2750">
        <v>10</v>
      </c>
      <c r="C2750" s="21" t="s">
        <v>10</v>
      </c>
      <c r="D2750" s="21" t="s">
        <v>24</v>
      </c>
      <c r="E2750">
        <v>208</v>
      </c>
      <c r="F2750">
        <v>29</v>
      </c>
      <c r="G2750" s="21" t="s">
        <v>38</v>
      </c>
      <c r="H2750" s="21" t="s">
        <v>60</v>
      </c>
      <c r="I2750" s="21" t="s">
        <v>2035</v>
      </c>
    </row>
    <row r="2751" spans="1:9" x14ac:dyDescent="0.25">
      <c r="A2751" s="21" t="s">
        <v>2078</v>
      </c>
      <c r="B2751">
        <v>37</v>
      </c>
      <c r="C2751" s="21" t="s">
        <v>89</v>
      </c>
      <c r="D2751" s="21" t="s">
        <v>52</v>
      </c>
      <c r="E2751">
        <v>201</v>
      </c>
      <c r="F2751">
        <v>23</v>
      </c>
      <c r="G2751" s="21" t="s">
        <v>25</v>
      </c>
      <c r="H2751" s="21" t="s">
        <v>39</v>
      </c>
      <c r="I2751" s="21" t="s">
        <v>2035</v>
      </c>
    </row>
    <row r="2752" spans="1:9" x14ac:dyDescent="0.25">
      <c r="A2752" s="21" t="s">
        <v>2079</v>
      </c>
      <c r="B2752">
        <v>52</v>
      </c>
      <c r="C2752" s="21" t="s">
        <v>15</v>
      </c>
      <c r="D2752" s="21" t="s">
        <v>29</v>
      </c>
      <c r="E2752">
        <v>262</v>
      </c>
      <c r="F2752">
        <v>23</v>
      </c>
      <c r="G2752" s="21" t="s">
        <v>12</v>
      </c>
      <c r="H2752" s="21" t="s">
        <v>233</v>
      </c>
      <c r="I2752" s="21" t="s">
        <v>2035</v>
      </c>
    </row>
    <row r="2753" spans="1:9" x14ac:dyDescent="0.25">
      <c r="A2753" s="21" t="s">
        <v>2080</v>
      </c>
      <c r="B2753">
        <v>22</v>
      </c>
      <c r="C2753" s="21" t="s">
        <v>124</v>
      </c>
      <c r="D2753" s="21" t="s">
        <v>54</v>
      </c>
      <c r="E2753">
        <v>196</v>
      </c>
      <c r="F2753">
        <v>24</v>
      </c>
      <c r="G2753" s="21" t="s">
        <v>16</v>
      </c>
      <c r="H2753" s="21" t="s">
        <v>98</v>
      </c>
      <c r="I2753" s="21" t="s">
        <v>2035</v>
      </c>
    </row>
    <row r="2754" spans="1:9" x14ac:dyDescent="0.25">
      <c r="A2754" s="21" t="s">
        <v>2081</v>
      </c>
      <c r="B2754">
        <v>38</v>
      </c>
      <c r="C2754" s="21" t="s">
        <v>48</v>
      </c>
      <c r="D2754" s="21" t="s">
        <v>125</v>
      </c>
      <c r="E2754">
        <v>190</v>
      </c>
      <c r="G2754" s="21" t="s">
        <v>25</v>
      </c>
      <c r="H2754" s="21" t="s">
        <v>398</v>
      </c>
      <c r="I2754" s="21" t="s">
        <v>2035</v>
      </c>
    </row>
    <row r="2755" spans="1:9" x14ac:dyDescent="0.25">
      <c r="A2755" s="21" t="s">
        <v>2082</v>
      </c>
      <c r="B2755">
        <v>82</v>
      </c>
      <c r="C2755" s="21" t="s">
        <v>10</v>
      </c>
      <c r="D2755" s="21" t="s">
        <v>44</v>
      </c>
      <c r="E2755">
        <v>202</v>
      </c>
      <c r="G2755" s="21" t="s">
        <v>25</v>
      </c>
      <c r="H2755" s="21" t="s">
        <v>207</v>
      </c>
      <c r="I2755" s="21" t="s">
        <v>2035</v>
      </c>
    </row>
    <row r="2756" spans="1:9" x14ac:dyDescent="0.25">
      <c r="A2756" s="21" t="s">
        <v>2083</v>
      </c>
      <c r="B2756">
        <v>40</v>
      </c>
      <c r="C2756" s="21" t="s">
        <v>89</v>
      </c>
      <c r="D2756" s="21" t="s">
        <v>135</v>
      </c>
      <c r="E2756">
        <v>185</v>
      </c>
      <c r="G2756" s="21" t="s">
        <v>25</v>
      </c>
      <c r="H2756" s="21" t="s">
        <v>87</v>
      </c>
      <c r="I2756" s="21" t="s">
        <v>2035</v>
      </c>
    </row>
    <row r="2757" spans="1:9" x14ac:dyDescent="0.25">
      <c r="A2757" s="21" t="s">
        <v>2084</v>
      </c>
      <c r="B2757">
        <v>42</v>
      </c>
      <c r="C2757" s="21" t="s">
        <v>158</v>
      </c>
      <c r="D2757" s="21" t="s">
        <v>44</v>
      </c>
      <c r="E2757">
        <v>245</v>
      </c>
      <c r="F2757">
        <v>27</v>
      </c>
      <c r="G2757" s="21" t="s">
        <v>12</v>
      </c>
      <c r="H2757" s="21" t="s">
        <v>2085</v>
      </c>
      <c r="I2757" s="21" t="s">
        <v>2035</v>
      </c>
    </row>
    <row r="2758" spans="1:9" x14ac:dyDescent="0.25">
      <c r="A2758" s="21" t="s">
        <v>2086</v>
      </c>
      <c r="B2758">
        <v>16</v>
      </c>
      <c r="C2758" s="21" t="s">
        <v>70</v>
      </c>
      <c r="D2758" s="21" t="s">
        <v>44</v>
      </c>
      <c r="E2758">
        <v>214</v>
      </c>
      <c r="F2758">
        <v>25</v>
      </c>
      <c r="G2758" s="21" t="s">
        <v>30</v>
      </c>
      <c r="H2758" s="21" t="s">
        <v>333</v>
      </c>
      <c r="I2758" s="21" t="s">
        <v>2035</v>
      </c>
    </row>
    <row r="2759" spans="1:9" x14ac:dyDescent="0.25">
      <c r="A2759" s="21" t="s">
        <v>2087</v>
      </c>
      <c r="B2759">
        <v>81</v>
      </c>
      <c r="C2759" s="21" t="s">
        <v>57</v>
      </c>
      <c r="D2759" s="21" t="s">
        <v>20</v>
      </c>
      <c r="E2759">
        <v>247</v>
      </c>
      <c r="F2759">
        <v>24</v>
      </c>
      <c r="G2759" s="21" t="s">
        <v>25</v>
      </c>
      <c r="H2759" s="21" t="s">
        <v>2088</v>
      </c>
      <c r="I2759" s="21" t="s">
        <v>2035</v>
      </c>
    </row>
    <row r="2760" spans="1:9" x14ac:dyDescent="0.25">
      <c r="A2760" s="21" t="s">
        <v>2089</v>
      </c>
      <c r="C2760" s="21" t="s">
        <v>57</v>
      </c>
      <c r="D2760" s="21" t="s">
        <v>35</v>
      </c>
      <c r="E2760">
        <v>257</v>
      </c>
      <c r="F2760">
        <v>24</v>
      </c>
      <c r="G2760" s="21" t="s">
        <v>83</v>
      </c>
      <c r="H2760" s="21" t="s">
        <v>46</v>
      </c>
      <c r="I2760" s="21" t="s">
        <v>2035</v>
      </c>
    </row>
    <row r="2761" spans="1:9" x14ac:dyDescent="0.25">
      <c r="A2761" s="21" t="s">
        <v>2090</v>
      </c>
      <c r="B2761">
        <v>19</v>
      </c>
      <c r="C2761" s="21" t="s">
        <v>10</v>
      </c>
      <c r="D2761" s="21" t="s">
        <v>86</v>
      </c>
      <c r="E2761">
        <v>181</v>
      </c>
      <c r="F2761">
        <v>26</v>
      </c>
      <c r="G2761" s="21" t="s">
        <v>45</v>
      </c>
      <c r="H2761" s="21" t="s">
        <v>251</v>
      </c>
      <c r="I2761" s="21" t="s">
        <v>2035</v>
      </c>
    </row>
    <row r="2762" spans="1:9" x14ac:dyDescent="0.25">
      <c r="A2762" s="21" t="s">
        <v>2091</v>
      </c>
      <c r="B2762">
        <v>5</v>
      </c>
      <c r="C2762" s="21" t="s">
        <v>124</v>
      </c>
      <c r="D2762" s="21" t="s">
        <v>52</v>
      </c>
      <c r="E2762">
        <v>208</v>
      </c>
      <c r="F2762">
        <v>27</v>
      </c>
      <c r="G2762" s="21" t="s">
        <v>100</v>
      </c>
      <c r="H2762" s="21" t="s">
        <v>241</v>
      </c>
      <c r="I2762" s="21" t="s">
        <v>2035</v>
      </c>
    </row>
    <row r="2763" spans="1:9" x14ac:dyDescent="0.25">
      <c r="A2763" s="21" t="s">
        <v>2092</v>
      </c>
      <c r="B2763">
        <v>24</v>
      </c>
      <c r="C2763" s="21" t="s">
        <v>124</v>
      </c>
      <c r="D2763" s="21" t="s">
        <v>11</v>
      </c>
      <c r="E2763">
        <v>208</v>
      </c>
      <c r="F2763">
        <v>24</v>
      </c>
      <c r="G2763" s="21" t="s">
        <v>16</v>
      </c>
      <c r="H2763" s="21" t="s">
        <v>274</v>
      </c>
      <c r="I2763" s="21" t="s">
        <v>2035</v>
      </c>
    </row>
    <row r="2764" spans="1:9" x14ac:dyDescent="0.25">
      <c r="A2764" s="21" t="s">
        <v>2093</v>
      </c>
      <c r="B2764">
        <v>94</v>
      </c>
      <c r="C2764" s="21" t="s">
        <v>114</v>
      </c>
      <c r="D2764" s="21" t="s">
        <v>35</v>
      </c>
      <c r="E2764">
        <v>330</v>
      </c>
      <c r="F2764">
        <v>27</v>
      </c>
      <c r="G2764" s="21" t="s">
        <v>100</v>
      </c>
      <c r="H2764" s="21" t="s">
        <v>233</v>
      </c>
      <c r="I2764" s="21" t="s">
        <v>2035</v>
      </c>
    </row>
    <row r="2765" spans="1:9" x14ac:dyDescent="0.25">
      <c r="A2765" s="21" t="s">
        <v>2094</v>
      </c>
      <c r="B2765">
        <v>1</v>
      </c>
      <c r="C2765" s="21" t="s">
        <v>10</v>
      </c>
      <c r="D2765" s="21" t="s">
        <v>24</v>
      </c>
      <c r="E2765">
        <v>210</v>
      </c>
      <c r="F2765">
        <v>28</v>
      </c>
      <c r="G2765" s="21" t="s">
        <v>64</v>
      </c>
      <c r="H2765" s="21" t="s">
        <v>3251</v>
      </c>
      <c r="I2765" s="21" t="s">
        <v>2035</v>
      </c>
    </row>
    <row r="2766" spans="1:9" x14ac:dyDescent="0.25">
      <c r="A2766" s="21" t="s">
        <v>2095</v>
      </c>
      <c r="C2766" s="21" t="s">
        <v>51</v>
      </c>
      <c r="D2766" s="21" t="s">
        <v>52</v>
      </c>
      <c r="E2766">
        <v>212</v>
      </c>
      <c r="F2766">
        <v>24</v>
      </c>
      <c r="G2766" s="21" t="s">
        <v>83</v>
      </c>
      <c r="H2766" s="21" t="s">
        <v>683</v>
      </c>
      <c r="I2766" s="21" t="s">
        <v>2035</v>
      </c>
    </row>
    <row r="2767" spans="1:9" x14ac:dyDescent="0.25">
      <c r="A2767" s="21" t="s">
        <v>2096</v>
      </c>
      <c r="B2767">
        <v>56</v>
      </c>
      <c r="C2767" s="21" t="s">
        <v>15</v>
      </c>
      <c r="D2767" s="21" t="s">
        <v>24</v>
      </c>
      <c r="E2767">
        <v>230</v>
      </c>
      <c r="F2767">
        <v>25</v>
      </c>
      <c r="G2767" s="21" t="s">
        <v>30</v>
      </c>
      <c r="H2767" s="21" t="s">
        <v>694</v>
      </c>
      <c r="I2767" s="21" t="s">
        <v>2035</v>
      </c>
    </row>
    <row r="2768" spans="1:9" x14ac:dyDescent="0.25">
      <c r="A2768" s="21" t="s">
        <v>2097</v>
      </c>
      <c r="B2768">
        <v>33</v>
      </c>
      <c r="C2768" s="21" t="s">
        <v>124</v>
      </c>
      <c r="D2768" s="21" t="s">
        <v>54</v>
      </c>
      <c r="E2768">
        <v>201</v>
      </c>
      <c r="F2768">
        <v>27</v>
      </c>
      <c r="G2768" s="21" t="s">
        <v>16</v>
      </c>
      <c r="H2768" s="21" t="s">
        <v>3251</v>
      </c>
      <c r="I2768" s="21" t="s">
        <v>2035</v>
      </c>
    </row>
    <row r="2769" spans="1:9" x14ac:dyDescent="0.25">
      <c r="A2769" s="21" t="s">
        <v>2098</v>
      </c>
      <c r="B2769">
        <v>65</v>
      </c>
      <c r="C2769" s="21" t="s">
        <v>277</v>
      </c>
      <c r="D2769" s="21" t="s">
        <v>35</v>
      </c>
      <c r="E2769">
        <v>299</v>
      </c>
      <c r="F2769">
        <v>27</v>
      </c>
      <c r="G2769" s="21" t="s">
        <v>16</v>
      </c>
      <c r="H2769" s="21" t="s">
        <v>274</v>
      </c>
      <c r="I2769" s="21" t="s">
        <v>2035</v>
      </c>
    </row>
    <row r="2770" spans="1:9" x14ac:dyDescent="0.25">
      <c r="A2770" s="21" t="s">
        <v>2099</v>
      </c>
      <c r="B2770">
        <v>18</v>
      </c>
      <c r="C2770" s="21" t="s">
        <v>10</v>
      </c>
      <c r="D2770" s="21" t="s">
        <v>44</v>
      </c>
      <c r="E2770">
        <v>224</v>
      </c>
      <c r="F2770">
        <v>25</v>
      </c>
      <c r="G2770" s="21" t="s">
        <v>30</v>
      </c>
      <c r="H2770" s="21" t="s">
        <v>31</v>
      </c>
      <c r="I2770" s="21" t="s">
        <v>2035</v>
      </c>
    </row>
    <row r="2771" spans="1:9" x14ac:dyDescent="0.25">
      <c r="A2771" s="21" t="s">
        <v>2100</v>
      </c>
      <c r="B2771">
        <v>64</v>
      </c>
      <c r="C2771" s="21" t="s">
        <v>277</v>
      </c>
      <c r="D2771" s="21" t="s">
        <v>29</v>
      </c>
      <c r="E2771">
        <v>310</v>
      </c>
      <c r="G2771" s="21" t="s">
        <v>25</v>
      </c>
      <c r="H2771" s="21" t="s">
        <v>311</v>
      </c>
      <c r="I2771" s="21" t="s">
        <v>2035</v>
      </c>
    </row>
    <row r="2772" spans="1:9" x14ac:dyDescent="0.25">
      <c r="A2772" s="21" t="s">
        <v>2101</v>
      </c>
      <c r="B2772">
        <v>9</v>
      </c>
      <c r="C2772" s="21" t="s">
        <v>70</v>
      </c>
      <c r="D2772" s="21" t="s">
        <v>44</v>
      </c>
      <c r="E2772">
        <v>220</v>
      </c>
      <c r="F2772">
        <v>34</v>
      </c>
      <c r="G2772" s="21" t="s">
        <v>1199</v>
      </c>
      <c r="H2772" s="21" t="s">
        <v>196</v>
      </c>
      <c r="I2772" s="21" t="s">
        <v>2035</v>
      </c>
    </row>
    <row r="2773" spans="1:9" x14ac:dyDescent="0.25">
      <c r="A2773" s="21" t="s">
        <v>2102</v>
      </c>
      <c r="B2773">
        <v>98</v>
      </c>
      <c r="C2773" s="21" t="s">
        <v>213</v>
      </c>
      <c r="D2773" s="21" t="s">
        <v>44</v>
      </c>
      <c r="E2773">
        <v>260</v>
      </c>
      <c r="G2773" s="21" t="s">
        <v>25</v>
      </c>
      <c r="H2773" s="21" t="s">
        <v>122</v>
      </c>
      <c r="I2773" s="21" t="s">
        <v>2035</v>
      </c>
    </row>
    <row r="2774" spans="1:9" x14ac:dyDescent="0.25">
      <c r="A2774" s="21" t="s">
        <v>2103</v>
      </c>
      <c r="B2774">
        <v>97</v>
      </c>
      <c r="C2774" s="21" t="s">
        <v>213</v>
      </c>
      <c r="D2774" s="21" t="s">
        <v>24</v>
      </c>
      <c r="E2774">
        <v>275</v>
      </c>
      <c r="G2774" s="21" t="s">
        <v>25</v>
      </c>
      <c r="H2774" s="21" t="s">
        <v>241</v>
      </c>
      <c r="I2774" s="21" t="s">
        <v>2035</v>
      </c>
    </row>
    <row r="2775" spans="1:9" x14ac:dyDescent="0.25">
      <c r="A2775" s="21" t="s">
        <v>2104</v>
      </c>
      <c r="B2775">
        <v>45</v>
      </c>
      <c r="C2775" s="21" t="s">
        <v>15</v>
      </c>
      <c r="D2775" s="21" t="s">
        <v>11</v>
      </c>
      <c r="E2775">
        <v>241</v>
      </c>
      <c r="F2775">
        <v>32</v>
      </c>
      <c r="G2775" s="21" t="s">
        <v>254</v>
      </c>
      <c r="H2775" s="21" t="s">
        <v>439</v>
      </c>
      <c r="I2775" s="21" t="s">
        <v>2035</v>
      </c>
    </row>
    <row r="2776" spans="1:9" x14ac:dyDescent="0.25">
      <c r="A2776" s="21" t="s">
        <v>2105</v>
      </c>
      <c r="B2776">
        <v>51</v>
      </c>
      <c r="C2776" s="21" t="s">
        <v>213</v>
      </c>
      <c r="D2776" s="21" t="s">
        <v>35</v>
      </c>
      <c r="E2776">
        <v>260</v>
      </c>
      <c r="G2776" s="21" t="s">
        <v>25</v>
      </c>
      <c r="H2776" s="21" t="s">
        <v>1992</v>
      </c>
      <c r="I2776" s="21" t="s">
        <v>2035</v>
      </c>
    </row>
    <row r="2777" spans="1:9" x14ac:dyDescent="0.25">
      <c r="A2777" s="21" t="s">
        <v>2106</v>
      </c>
      <c r="B2777">
        <v>23</v>
      </c>
      <c r="C2777" s="21" t="s">
        <v>51</v>
      </c>
      <c r="D2777" s="21" t="s">
        <v>135</v>
      </c>
      <c r="E2777">
        <v>194</v>
      </c>
      <c r="F2777">
        <v>21</v>
      </c>
      <c r="G2777" s="21" t="s">
        <v>25</v>
      </c>
      <c r="H2777" s="21" t="s">
        <v>31</v>
      </c>
      <c r="I2777" s="21" t="s">
        <v>2035</v>
      </c>
    </row>
    <row r="2778" spans="1:9" x14ac:dyDescent="0.25">
      <c r="A2778" s="21" t="s">
        <v>2107</v>
      </c>
      <c r="B2778">
        <v>13</v>
      </c>
      <c r="C2778" s="21" t="s">
        <v>70</v>
      </c>
      <c r="D2778" s="21" t="s">
        <v>52</v>
      </c>
      <c r="E2778">
        <v>200</v>
      </c>
      <c r="F2778">
        <v>26</v>
      </c>
      <c r="G2778" s="21" t="s">
        <v>12</v>
      </c>
      <c r="H2778" s="21" t="s">
        <v>282</v>
      </c>
      <c r="I2778" s="21" t="s">
        <v>2035</v>
      </c>
    </row>
    <row r="2779" spans="1:9" x14ac:dyDescent="0.25">
      <c r="A2779" s="21" t="s">
        <v>4802</v>
      </c>
      <c r="B2779">
        <v>43</v>
      </c>
      <c r="C2779" s="21" t="s">
        <v>89</v>
      </c>
      <c r="D2779" s="21" t="s">
        <v>125</v>
      </c>
      <c r="E2779">
        <v>195</v>
      </c>
      <c r="F2779">
        <v>23</v>
      </c>
      <c r="G2779" s="21" t="s">
        <v>25</v>
      </c>
      <c r="H2779" s="21" t="s">
        <v>189</v>
      </c>
      <c r="I2779" s="21" t="s">
        <v>2035</v>
      </c>
    </row>
    <row r="2780" spans="1:9" x14ac:dyDescent="0.25">
      <c r="A2780" s="21" t="s">
        <v>2108</v>
      </c>
      <c r="B2780">
        <v>84</v>
      </c>
      <c r="C2780" s="21" t="s">
        <v>10</v>
      </c>
      <c r="D2780" s="21" t="s">
        <v>11</v>
      </c>
      <c r="E2780">
        <v>191</v>
      </c>
      <c r="F2780">
        <v>25</v>
      </c>
      <c r="G2780" s="21" t="s">
        <v>83</v>
      </c>
      <c r="H2780" s="21" t="s">
        <v>162</v>
      </c>
      <c r="I2780" s="21" t="s">
        <v>2035</v>
      </c>
    </row>
    <row r="2781" spans="1:9" x14ac:dyDescent="0.25">
      <c r="A2781" s="21" t="s">
        <v>2109</v>
      </c>
      <c r="B2781">
        <v>67</v>
      </c>
      <c r="C2781" s="21" t="s">
        <v>140</v>
      </c>
      <c r="D2781" s="21" t="s">
        <v>67</v>
      </c>
      <c r="E2781">
        <v>320</v>
      </c>
      <c r="F2781">
        <v>25</v>
      </c>
      <c r="G2781" s="21" t="s">
        <v>30</v>
      </c>
      <c r="H2781" s="21" t="s">
        <v>179</v>
      </c>
      <c r="I2781" s="21" t="s">
        <v>2035</v>
      </c>
    </row>
    <row r="2782" spans="1:9" x14ac:dyDescent="0.25">
      <c r="A2782" s="21" t="s">
        <v>2110</v>
      </c>
      <c r="B2782">
        <v>90</v>
      </c>
      <c r="C2782" s="21" t="s">
        <v>319</v>
      </c>
      <c r="D2782" s="21" t="s">
        <v>29</v>
      </c>
      <c r="E2782">
        <v>270</v>
      </c>
      <c r="F2782">
        <v>23</v>
      </c>
      <c r="G2782" s="21" t="s">
        <v>83</v>
      </c>
      <c r="H2782" s="21" t="s">
        <v>302</v>
      </c>
      <c r="I2782" s="21" t="s">
        <v>2035</v>
      </c>
    </row>
    <row r="2783" spans="1:9" x14ac:dyDescent="0.25">
      <c r="A2783" s="21" t="s">
        <v>2111</v>
      </c>
      <c r="B2783">
        <v>68</v>
      </c>
      <c r="C2783" s="21" t="s">
        <v>140</v>
      </c>
      <c r="D2783" s="21" t="s">
        <v>67</v>
      </c>
      <c r="E2783">
        <v>321</v>
      </c>
      <c r="F2783">
        <v>22</v>
      </c>
      <c r="G2783" s="21" t="s">
        <v>83</v>
      </c>
      <c r="H2783" s="21" t="s">
        <v>187</v>
      </c>
      <c r="I2783" s="21" t="s">
        <v>2035</v>
      </c>
    </row>
    <row r="2784" spans="1:9" x14ac:dyDescent="0.25">
      <c r="A2784" s="21" t="s">
        <v>2112</v>
      </c>
      <c r="B2784">
        <v>21</v>
      </c>
      <c r="C2784" s="21" t="s">
        <v>124</v>
      </c>
      <c r="D2784" s="21" t="s">
        <v>125</v>
      </c>
      <c r="E2784">
        <v>190</v>
      </c>
      <c r="F2784">
        <v>23</v>
      </c>
      <c r="G2784" s="21" t="s">
        <v>30</v>
      </c>
      <c r="H2784" s="21" t="s">
        <v>456</v>
      </c>
      <c r="I2784" s="21" t="s">
        <v>2035</v>
      </c>
    </row>
    <row r="2785" spans="1:9" x14ac:dyDescent="0.25">
      <c r="A2785" s="21" t="s">
        <v>2113</v>
      </c>
      <c r="B2785">
        <v>57</v>
      </c>
      <c r="C2785" s="21" t="s">
        <v>15</v>
      </c>
      <c r="D2785" s="21" t="s">
        <v>44</v>
      </c>
      <c r="E2785">
        <v>226</v>
      </c>
      <c r="F2785">
        <v>23</v>
      </c>
      <c r="G2785" s="21" t="s">
        <v>83</v>
      </c>
      <c r="H2785" s="21" t="s">
        <v>152</v>
      </c>
      <c r="I2785" s="21" t="s">
        <v>2035</v>
      </c>
    </row>
    <row r="2786" spans="1:9" x14ac:dyDescent="0.25">
      <c r="A2786" s="21" t="s">
        <v>2114</v>
      </c>
      <c r="B2786">
        <v>83</v>
      </c>
      <c r="C2786" s="21" t="s">
        <v>10</v>
      </c>
      <c r="D2786" s="21" t="s">
        <v>67</v>
      </c>
      <c r="E2786">
        <v>219</v>
      </c>
      <c r="F2786">
        <v>23</v>
      </c>
      <c r="G2786" s="21" t="s">
        <v>83</v>
      </c>
      <c r="H2786" s="21" t="s">
        <v>389</v>
      </c>
      <c r="I2786" s="21" t="s">
        <v>2035</v>
      </c>
    </row>
    <row r="2787" spans="1:9" x14ac:dyDescent="0.25">
      <c r="A2787" s="21" t="s">
        <v>2115</v>
      </c>
      <c r="B2787">
        <v>62</v>
      </c>
      <c r="C2787" s="21" t="s">
        <v>277</v>
      </c>
      <c r="D2787" s="21" t="s">
        <v>44</v>
      </c>
      <c r="E2787">
        <v>316</v>
      </c>
      <c r="F2787">
        <v>27</v>
      </c>
      <c r="G2787" s="21" t="s">
        <v>83</v>
      </c>
      <c r="H2787" s="21" t="s">
        <v>311</v>
      </c>
      <c r="I2787" s="21" t="s">
        <v>2035</v>
      </c>
    </row>
    <row r="2788" spans="1:9" x14ac:dyDescent="0.25">
      <c r="A2788" s="21" t="s">
        <v>2116</v>
      </c>
      <c r="B2788">
        <v>17</v>
      </c>
      <c r="C2788" s="21" t="s">
        <v>10</v>
      </c>
      <c r="D2788" s="21" t="s">
        <v>52</v>
      </c>
      <c r="E2788">
        <v>195</v>
      </c>
      <c r="F2788">
        <v>25</v>
      </c>
      <c r="G2788" s="21" t="s">
        <v>83</v>
      </c>
      <c r="H2788" s="21" t="s">
        <v>2117</v>
      </c>
      <c r="I2788" s="21" t="s">
        <v>2035</v>
      </c>
    </row>
    <row r="2789" spans="1:9" x14ac:dyDescent="0.25">
      <c r="A2789" s="21" t="s">
        <v>2118</v>
      </c>
      <c r="B2789">
        <v>47</v>
      </c>
      <c r="C2789" s="21" t="s">
        <v>57</v>
      </c>
      <c r="D2789" s="21" t="s">
        <v>35</v>
      </c>
      <c r="E2789">
        <v>250</v>
      </c>
      <c r="F2789">
        <v>25</v>
      </c>
      <c r="G2789" s="21" t="s">
        <v>83</v>
      </c>
      <c r="H2789" s="21" t="s">
        <v>115</v>
      </c>
      <c r="I2789" s="21" t="s">
        <v>2035</v>
      </c>
    </row>
    <row r="2790" spans="1:9" x14ac:dyDescent="0.25">
      <c r="A2790" s="21" t="s">
        <v>2119</v>
      </c>
      <c r="B2790">
        <v>66</v>
      </c>
      <c r="C2790" s="21" t="s">
        <v>140</v>
      </c>
      <c r="D2790" s="21" t="s">
        <v>20</v>
      </c>
      <c r="E2790">
        <v>300</v>
      </c>
      <c r="F2790">
        <v>22</v>
      </c>
      <c r="G2790" s="21" t="s">
        <v>83</v>
      </c>
      <c r="H2790" s="21" t="s">
        <v>2120</v>
      </c>
      <c r="I2790" s="21" t="s">
        <v>2035</v>
      </c>
    </row>
    <row r="2791" spans="1:9" x14ac:dyDescent="0.25">
      <c r="A2791" s="21" t="s">
        <v>1932</v>
      </c>
      <c r="B2791">
        <v>92</v>
      </c>
      <c r="C2791" s="21" t="s">
        <v>114</v>
      </c>
      <c r="D2791" s="21" t="s">
        <v>29</v>
      </c>
      <c r="E2791">
        <v>275</v>
      </c>
      <c r="F2791">
        <v>26</v>
      </c>
      <c r="G2791" s="21" t="s">
        <v>30</v>
      </c>
      <c r="H2791" s="21" t="s">
        <v>509</v>
      </c>
      <c r="I2791" s="21" t="s">
        <v>2035</v>
      </c>
    </row>
    <row r="2792" spans="1:9" x14ac:dyDescent="0.25">
      <c r="A2792" s="21" t="s">
        <v>2121</v>
      </c>
      <c r="B2792">
        <v>15</v>
      </c>
      <c r="C2792" s="21" t="s">
        <v>10</v>
      </c>
      <c r="D2792" s="21" t="s">
        <v>135</v>
      </c>
      <c r="E2792">
        <v>165</v>
      </c>
      <c r="F2792">
        <v>22</v>
      </c>
      <c r="G2792" s="21" t="s">
        <v>30</v>
      </c>
      <c r="H2792" s="21" t="s">
        <v>231</v>
      </c>
      <c r="I2792" s="21" t="s">
        <v>2035</v>
      </c>
    </row>
    <row r="2793" spans="1:9" x14ac:dyDescent="0.25">
      <c r="A2793" s="21" t="s">
        <v>2122</v>
      </c>
      <c r="B2793">
        <v>30</v>
      </c>
      <c r="C2793" s="21" t="s">
        <v>51</v>
      </c>
      <c r="D2793" s="21" t="s">
        <v>86</v>
      </c>
      <c r="E2793">
        <v>188</v>
      </c>
      <c r="F2793">
        <v>24</v>
      </c>
      <c r="G2793" s="21" t="s">
        <v>12</v>
      </c>
      <c r="H2793" s="21" t="s">
        <v>145</v>
      </c>
      <c r="I2793" s="21" t="s">
        <v>2035</v>
      </c>
    </row>
    <row r="2794" spans="1:9" x14ac:dyDescent="0.25">
      <c r="A2794" s="21" t="s">
        <v>2123</v>
      </c>
      <c r="B2794">
        <v>4</v>
      </c>
      <c r="C2794" s="21" t="s">
        <v>124</v>
      </c>
      <c r="D2794" s="21" t="s">
        <v>24</v>
      </c>
      <c r="E2794">
        <v>203</v>
      </c>
      <c r="F2794">
        <v>24</v>
      </c>
      <c r="G2794" s="21" t="s">
        <v>12</v>
      </c>
      <c r="H2794" s="21" t="s">
        <v>36</v>
      </c>
      <c r="I2794" s="21" t="s">
        <v>2035</v>
      </c>
    </row>
    <row r="2795" spans="1:9" x14ac:dyDescent="0.25">
      <c r="A2795" s="21" t="s">
        <v>2124</v>
      </c>
      <c r="B2795">
        <v>87</v>
      </c>
      <c r="C2795" s="21" t="s">
        <v>57</v>
      </c>
      <c r="D2795" s="21" t="s">
        <v>29</v>
      </c>
      <c r="E2795">
        <v>211</v>
      </c>
      <c r="F2795">
        <v>25</v>
      </c>
      <c r="G2795" s="21" t="s">
        <v>30</v>
      </c>
      <c r="H2795" s="21" t="s">
        <v>3252</v>
      </c>
      <c r="I2795" s="21" t="s">
        <v>2035</v>
      </c>
    </row>
    <row r="2796" spans="1:9" x14ac:dyDescent="0.25">
      <c r="A2796" s="21" t="s">
        <v>2125</v>
      </c>
      <c r="B2796">
        <v>89</v>
      </c>
      <c r="C2796" s="21" t="s">
        <v>57</v>
      </c>
      <c r="D2796" s="21" t="s">
        <v>67</v>
      </c>
      <c r="E2796">
        <v>255</v>
      </c>
      <c r="F2796">
        <v>29</v>
      </c>
      <c r="G2796" s="21" t="s">
        <v>100</v>
      </c>
      <c r="H2796" s="21" t="s">
        <v>284</v>
      </c>
      <c r="I2796" s="21" t="s">
        <v>2035</v>
      </c>
    </row>
    <row r="2797" spans="1:9" x14ac:dyDescent="0.25">
      <c r="A2797" s="21" t="s">
        <v>2126</v>
      </c>
      <c r="B2797">
        <v>25</v>
      </c>
      <c r="C2797" s="21" t="s">
        <v>51</v>
      </c>
      <c r="D2797" s="21" t="s">
        <v>54</v>
      </c>
      <c r="E2797">
        <v>208</v>
      </c>
      <c r="F2797">
        <v>24</v>
      </c>
      <c r="G2797" s="21" t="s">
        <v>12</v>
      </c>
      <c r="H2797" s="21" t="s">
        <v>674</v>
      </c>
      <c r="I2797" s="21" t="s">
        <v>2035</v>
      </c>
    </row>
    <row r="2798" spans="1:9" x14ac:dyDescent="0.25">
      <c r="A2798" s="21" t="s">
        <v>2127</v>
      </c>
      <c r="B2798">
        <v>70</v>
      </c>
      <c r="C2798" s="21" t="s">
        <v>140</v>
      </c>
      <c r="D2798" s="21" t="s">
        <v>29</v>
      </c>
      <c r="E2798">
        <v>321</v>
      </c>
      <c r="F2798">
        <v>27</v>
      </c>
      <c r="G2798" s="21" t="s">
        <v>45</v>
      </c>
      <c r="H2798" s="21" t="s">
        <v>618</v>
      </c>
      <c r="I2798" s="21" t="s">
        <v>2035</v>
      </c>
    </row>
    <row r="2799" spans="1:9" x14ac:dyDescent="0.25">
      <c r="A2799" s="21" t="s">
        <v>2128</v>
      </c>
      <c r="B2799">
        <v>31</v>
      </c>
      <c r="C2799" s="21" t="s">
        <v>124</v>
      </c>
      <c r="D2799" s="21" t="s">
        <v>24</v>
      </c>
      <c r="E2799">
        <v>195</v>
      </c>
      <c r="F2799">
        <v>24</v>
      </c>
      <c r="G2799" s="21" t="s">
        <v>30</v>
      </c>
      <c r="H2799" s="21" t="s">
        <v>154</v>
      </c>
      <c r="I2799" s="21" t="s">
        <v>2035</v>
      </c>
    </row>
    <row r="2800" spans="1:9" x14ac:dyDescent="0.25">
      <c r="A2800" s="21" t="s">
        <v>3157</v>
      </c>
      <c r="B2800">
        <v>33</v>
      </c>
      <c r="C2800" s="21" t="s">
        <v>15</v>
      </c>
      <c r="D2800" s="21" t="s">
        <v>11</v>
      </c>
      <c r="E2800">
        <v>226</v>
      </c>
      <c r="F2800">
        <v>22</v>
      </c>
      <c r="G2800" s="21" t="s">
        <v>25</v>
      </c>
      <c r="H2800" s="21" t="s">
        <v>187</v>
      </c>
      <c r="I2800" s="21" t="s">
        <v>3156</v>
      </c>
    </row>
    <row r="2801" spans="1:9" x14ac:dyDescent="0.25">
      <c r="A2801" s="21" t="s">
        <v>3158</v>
      </c>
      <c r="B2801">
        <v>36</v>
      </c>
      <c r="C2801" s="21" t="s">
        <v>91</v>
      </c>
      <c r="D2801" s="21" t="s">
        <v>24</v>
      </c>
      <c r="E2801">
        <v>245</v>
      </c>
      <c r="F2801">
        <v>25</v>
      </c>
      <c r="G2801" s="21" t="s">
        <v>83</v>
      </c>
      <c r="H2801" s="21" t="s">
        <v>73</v>
      </c>
      <c r="I2801" s="21" t="s">
        <v>3156</v>
      </c>
    </row>
    <row r="2802" spans="1:9" x14ac:dyDescent="0.25">
      <c r="A2802" s="21" t="s">
        <v>3159</v>
      </c>
      <c r="B2802">
        <v>16</v>
      </c>
      <c r="C2802" s="21" t="s">
        <v>193</v>
      </c>
      <c r="D2802" s="21" t="s">
        <v>29</v>
      </c>
      <c r="E2802">
        <v>195</v>
      </c>
      <c r="F2802">
        <v>31</v>
      </c>
      <c r="G2802" s="21" t="s">
        <v>21</v>
      </c>
      <c r="H2802" s="21" t="s">
        <v>1808</v>
      </c>
      <c r="I2802" s="21" t="s">
        <v>3156</v>
      </c>
    </row>
    <row r="2803" spans="1:9" x14ac:dyDescent="0.25">
      <c r="A2803" s="21" t="s">
        <v>3160</v>
      </c>
      <c r="B2803">
        <v>23</v>
      </c>
      <c r="C2803" s="21" t="s">
        <v>48</v>
      </c>
      <c r="D2803" s="21" t="s">
        <v>11</v>
      </c>
      <c r="E2803">
        <v>194</v>
      </c>
      <c r="F2803">
        <v>21</v>
      </c>
      <c r="G2803" s="21" t="s">
        <v>25</v>
      </c>
      <c r="H2803" s="21" t="s">
        <v>136</v>
      </c>
      <c r="I2803" s="21" t="s">
        <v>3156</v>
      </c>
    </row>
    <row r="2804" spans="1:9" x14ac:dyDescent="0.25">
      <c r="A2804" s="21" t="s">
        <v>3161</v>
      </c>
      <c r="B2804">
        <v>29</v>
      </c>
      <c r="C2804" s="21" t="s">
        <v>48</v>
      </c>
      <c r="D2804" s="21" t="s">
        <v>54</v>
      </c>
      <c r="E2804">
        <v>195</v>
      </c>
      <c r="F2804">
        <v>25</v>
      </c>
      <c r="G2804" s="21" t="s">
        <v>16</v>
      </c>
      <c r="H2804" s="21" t="s">
        <v>109</v>
      </c>
      <c r="I2804" s="21" t="s">
        <v>3156</v>
      </c>
    </row>
    <row r="2805" spans="1:9" x14ac:dyDescent="0.25">
      <c r="A2805" s="21" t="s">
        <v>3162</v>
      </c>
      <c r="B2805">
        <v>56</v>
      </c>
      <c r="C2805" s="21" t="s">
        <v>184</v>
      </c>
      <c r="D2805" s="21" t="s">
        <v>44</v>
      </c>
      <c r="E2805">
        <v>300</v>
      </c>
      <c r="F2805">
        <v>27</v>
      </c>
      <c r="G2805" s="21" t="s">
        <v>16</v>
      </c>
      <c r="H2805" s="21" t="s">
        <v>106</v>
      </c>
      <c r="I2805" s="21" t="s">
        <v>3156</v>
      </c>
    </row>
    <row r="2806" spans="1:9" x14ac:dyDescent="0.25">
      <c r="A2806" s="21" t="s">
        <v>3163</v>
      </c>
      <c r="B2806">
        <v>64</v>
      </c>
      <c r="C2806" s="21" t="s">
        <v>140</v>
      </c>
      <c r="D2806" s="21" t="s">
        <v>20</v>
      </c>
      <c r="E2806">
        <v>315</v>
      </c>
      <c r="F2806">
        <v>25</v>
      </c>
      <c r="G2806" s="21" t="s">
        <v>30</v>
      </c>
      <c r="H2806" s="21" t="s">
        <v>374</v>
      </c>
      <c r="I2806" s="21" t="s">
        <v>3156</v>
      </c>
    </row>
    <row r="2807" spans="1:9" x14ac:dyDescent="0.25">
      <c r="A2807" s="21" t="s">
        <v>3164</v>
      </c>
      <c r="B2807">
        <v>37</v>
      </c>
      <c r="C2807" s="21" t="s">
        <v>89</v>
      </c>
      <c r="D2807" s="21" t="s">
        <v>3165</v>
      </c>
      <c r="E2807">
        <v>222</v>
      </c>
      <c r="F2807">
        <v>23</v>
      </c>
      <c r="G2807" s="21" t="s">
        <v>25</v>
      </c>
      <c r="H2807" s="21" t="s">
        <v>484</v>
      </c>
      <c r="I2807" s="21" t="s">
        <v>3156</v>
      </c>
    </row>
    <row r="2808" spans="1:9" x14ac:dyDescent="0.25">
      <c r="A2808" s="21" t="s">
        <v>3166</v>
      </c>
      <c r="B2808">
        <v>79</v>
      </c>
      <c r="C2808" s="21" t="s">
        <v>19</v>
      </c>
      <c r="D2808" s="21" t="s">
        <v>44</v>
      </c>
      <c r="E2808">
        <v>290</v>
      </c>
      <c r="F2808">
        <v>28</v>
      </c>
      <c r="G2808" s="21" t="s">
        <v>100</v>
      </c>
      <c r="H2808" s="21" t="s">
        <v>251</v>
      </c>
      <c r="I2808" s="21" t="s">
        <v>3156</v>
      </c>
    </row>
    <row r="2809" spans="1:9" x14ac:dyDescent="0.25">
      <c r="A2809" s="21" t="s">
        <v>3167</v>
      </c>
      <c r="B2809">
        <v>24</v>
      </c>
      <c r="C2809" s="21" t="s">
        <v>89</v>
      </c>
      <c r="D2809" s="21" t="s">
        <v>11</v>
      </c>
      <c r="E2809">
        <v>200</v>
      </c>
      <c r="F2809">
        <v>24</v>
      </c>
      <c r="G2809" s="21" t="s">
        <v>30</v>
      </c>
      <c r="H2809" s="21" t="s">
        <v>226</v>
      </c>
      <c r="I2809" s="21" t="s">
        <v>3156</v>
      </c>
    </row>
    <row r="2810" spans="1:9" x14ac:dyDescent="0.25">
      <c r="A2810" s="21" t="s">
        <v>3168</v>
      </c>
      <c r="B2810">
        <v>32</v>
      </c>
      <c r="C2810" s="21" t="s">
        <v>51</v>
      </c>
      <c r="D2810" s="21" t="s">
        <v>54</v>
      </c>
      <c r="E2810">
        <v>204</v>
      </c>
      <c r="F2810">
        <v>24</v>
      </c>
      <c r="G2810" s="21" t="s">
        <v>25</v>
      </c>
      <c r="H2810" s="21" t="s">
        <v>73</v>
      </c>
      <c r="I2810" s="21" t="s">
        <v>3156</v>
      </c>
    </row>
    <row r="2811" spans="1:9" x14ac:dyDescent="0.25">
      <c r="A2811" s="21" t="s">
        <v>3169</v>
      </c>
      <c r="B2811">
        <v>85</v>
      </c>
      <c r="C2811" s="21" t="s">
        <v>10</v>
      </c>
      <c r="D2811" s="21" t="s">
        <v>44</v>
      </c>
      <c r="E2811">
        <v>203</v>
      </c>
      <c r="F2811">
        <v>25</v>
      </c>
      <c r="G2811" s="21" t="s">
        <v>12</v>
      </c>
      <c r="H2811" s="21" t="s">
        <v>3251</v>
      </c>
      <c r="I2811" s="21" t="s">
        <v>3156</v>
      </c>
    </row>
    <row r="2812" spans="1:9" x14ac:dyDescent="0.25">
      <c r="A2812" s="21" t="s">
        <v>3170</v>
      </c>
      <c r="B2812">
        <v>6</v>
      </c>
      <c r="C2812" s="21" t="s">
        <v>89</v>
      </c>
      <c r="D2812" s="21" t="s">
        <v>24</v>
      </c>
      <c r="E2812">
        <v>199</v>
      </c>
      <c r="F2812">
        <v>22</v>
      </c>
      <c r="G2812" s="21" t="s">
        <v>25</v>
      </c>
      <c r="H2812" s="21" t="s">
        <v>196</v>
      </c>
      <c r="I2812" s="21" t="s">
        <v>3156</v>
      </c>
    </row>
    <row r="2813" spans="1:9" x14ac:dyDescent="0.25">
      <c r="A2813" s="21" t="s">
        <v>3171</v>
      </c>
      <c r="B2813">
        <v>72</v>
      </c>
      <c r="C2813" s="21" t="s">
        <v>277</v>
      </c>
      <c r="D2813" s="21" t="s">
        <v>67</v>
      </c>
      <c r="E2813">
        <v>312</v>
      </c>
      <c r="F2813">
        <v>24</v>
      </c>
      <c r="G2813" s="21" t="s">
        <v>12</v>
      </c>
      <c r="H2813" s="21" t="s">
        <v>330</v>
      </c>
      <c r="I2813" s="21" t="s">
        <v>3156</v>
      </c>
    </row>
    <row r="2814" spans="1:9" x14ac:dyDescent="0.25">
      <c r="A2814" s="21" t="s">
        <v>3172</v>
      </c>
      <c r="B2814">
        <v>57</v>
      </c>
      <c r="C2814" s="21" t="s">
        <v>15</v>
      </c>
      <c r="D2814" s="21" t="s">
        <v>24</v>
      </c>
      <c r="E2814">
        <v>234</v>
      </c>
      <c r="F2814">
        <v>26</v>
      </c>
      <c r="G2814" s="21" t="s">
        <v>16</v>
      </c>
      <c r="H2814" s="21" t="s">
        <v>68</v>
      </c>
      <c r="I2814" s="21" t="s">
        <v>3156</v>
      </c>
    </row>
    <row r="2815" spans="1:9" x14ac:dyDescent="0.25">
      <c r="A2815" s="21" t="s">
        <v>3173</v>
      </c>
      <c r="B2815">
        <v>4</v>
      </c>
      <c r="C2815" s="21" t="s">
        <v>51</v>
      </c>
      <c r="D2815" s="21" t="s">
        <v>125</v>
      </c>
      <c r="E2815">
        <v>210</v>
      </c>
      <c r="F2815">
        <v>26</v>
      </c>
      <c r="G2815" s="21" t="s">
        <v>38</v>
      </c>
      <c r="H2815" s="21" t="s">
        <v>241</v>
      </c>
      <c r="I2815" s="21" t="s">
        <v>3156</v>
      </c>
    </row>
    <row r="2816" spans="1:9" x14ac:dyDescent="0.25">
      <c r="A2816" s="21" t="s">
        <v>3174</v>
      </c>
      <c r="B2816">
        <v>8</v>
      </c>
      <c r="C2816" s="21" t="s">
        <v>70</v>
      </c>
      <c r="D2816" s="21" t="s">
        <v>44</v>
      </c>
      <c r="E2816">
        <v>205</v>
      </c>
      <c r="F2816">
        <v>33</v>
      </c>
      <c r="G2816" s="21" t="s">
        <v>254</v>
      </c>
      <c r="H2816" s="21" t="s">
        <v>55</v>
      </c>
      <c r="I2816" s="21" t="s">
        <v>3156</v>
      </c>
    </row>
    <row r="2817" spans="1:9" x14ac:dyDescent="0.25">
      <c r="A2817" s="21" t="s">
        <v>3175</v>
      </c>
      <c r="B2817">
        <v>3</v>
      </c>
      <c r="C2817" s="21" t="s">
        <v>48</v>
      </c>
      <c r="D2817" s="21" t="s">
        <v>24</v>
      </c>
      <c r="E2817">
        <v>190</v>
      </c>
      <c r="F2817">
        <v>23</v>
      </c>
      <c r="G2817" s="21" t="s">
        <v>12</v>
      </c>
      <c r="H2817" s="21" t="s">
        <v>558</v>
      </c>
      <c r="I2817" s="21" t="s">
        <v>3156</v>
      </c>
    </row>
    <row r="2818" spans="1:9" x14ac:dyDescent="0.25">
      <c r="A2818" s="21" t="s">
        <v>3176</v>
      </c>
      <c r="B2818">
        <v>71</v>
      </c>
      <c r="C2818" s="21" t="s">
        <v>140</v>
      </c>
      <c r="D2818" s="21" t="s">
        <v>29</v>
      </c>
      <c r="E2818">
        <v>315</v>
      </c>
      <c r="F2818">
        <v>23</v>
      </c>
      <c r="G2818" s="21" t="s">
        <v>30</v>
      </c>
      <c r="H2818" s="21" t="s">
        <v>357</v>
      </c>
      <c r="I2818" s="21" t="s">
        <v>3156</v>
      </c>
    </row>
    <row r="2819" spans="1:9" x14ac:dyDescent="0.25">
      <c r="A2819" s="21" t="s">
        <v>3177</v>
      </c>
      <c r="B2819">
        <v>40</v>
      </c>
      <c r="C2819" s="21" t="s">
        <v>57</v>
      </c>
      <c r="D2819" s="21" t="s">
        <v>20</v>
      </c>
      <c r="E2819">
        <v>251</v>
      </c>
      <c r="F2819">
        <v>24</v>
      </c>
      <c r="G2819" s="21" t="s">
        <v>83</v>
      </c>
      <c r="H2819" s="21" t="s">
        <v>3178</v>
      </c>
      <c r="I2819" s="21" t="s">
        <v>3156</v>
      </c>
    </row>
    <row r="2820" spans="1:9" x14ac:dyDescent="0.25">
      <c r="A2820" s="21" t="s">
        <v>3179</v>
      </c>
      <c r="B2820">
        <v>73</v>
      </c>
      <c r="C2820" s="21" t="s">
        <v>277</v>
      </c>
      <c r="D2820" s="21" t="s">
        <v>67</v>
      </c>
      <c r="E2820">
        <v>318</v>
      </c>
      <c r="F2820">
        <v>30</v>
      </c>
      <c r="G2820" s="21" t="s">
        <v>38</v>
      </c>
      <c r="H2820" s="21" t="s">
        <v>786</v>
      </c>
      <c r="I2820" s="21" t="s">
        <v>3156</v>
      </c>
    </row>
    <row r="2821" spans="1:9" x14ac:dyDescent="0.25">
      <c r="A2821" s="21" t="s">
        <v>3180</v>
      </c>
      <c r="B2821">
        <v>52</v>
      </c>
      <c r="C2821" s="21" t="s">
        <v>277</v>
      </c>
      <c r="D2821" s="21" t="s">
        <v>35</v>
      </c>
      <c r="E2821">
        <v>315</v>
      </c>
      <c r="F2821">
        <v>23</v>
      </c>
      <c r="G2821" s="21" t="s">
        <v>30</v>
      </c>
      <c r="H2821" s="21" t="s">
        <v>36</v>
      </c>
      <c r="I2821" s="21" t="s">
        <v>3156</v>
      </c>
    </row>
    <row r="2822" spans="1:9" x14ac:dyDescent="0.25">
      <c r="A2822" s="21" t="s">
        <v>3181</v>
      </c>
      <c r="B2822">
        <v>42</v>
      </c>
      <c r="C2822" s="21" t="s">
        <v>158</v>
      </c>
      <c r="D2822" s="21" t="s">
        <v>52</v>
      </c>
      <c r="E2822">
        <v>229</v>
      </c>
      <c r="F2822">
        <v>35</v>
      </c>
      <c r="G2822" s="21" t="s">
        <v>21</v>
      </c>
      <c r="H2822" s="21" t="s">
        <v>120</v>
      </c>
      <c r="I2822" s="21" t="s">
        <v>3156</v>
      </c>
    </row>
    <row r="2823" spans="1:9" x14ac:dyDescent="0.25">
      <c r="A2823" s="21" t="s">
        <v>3182</v>
      </c>
      <c r="B2823">
        <v>46</v>
      </c>
      <c r="C2823" s="21" t="s">
        <v>89</v>
      </c>
      <c r="D2823" s="21" t="s">
        <v>24</v>
      </c>
      <c r="E2823">
        <v>210</v>
      </c>
      <c r="F2823">
        <v>24</v>
      </c>
      <c r="G2823" s="21" t="s">
        <v>12</v>
      </c>
      <c r="H2823" s="21" t="s">
        <v>73</v>
      </c>
      <c r="I2823" s="21" t="s">
        <v>3156</v>
      </c>
    </row>
    <row r="2824" spans="1:9" x14ac:dyDescent="0.25">
      <c r="A2824" s="21" t="s">
        <v>3183</v>
      </c>
      <c r="B2824">
        <v>45</v>
      </c>
      <c r="C2824" s="21" t="s">
        <v>15</v>
      </c>
      <c r="D2824" s="21" t="s">
        <v>44</v>
      </c>
      <c r="E2824">
        <v>225</v>
      </c>
      <c r="F2824">
        <v>25</v>
      </c>
      <c r="G2824" s="21" t="s">
        <v>12</v>
      </c>
      <c r="H2824" s="21" t="s">
        <v>22</v>
      </c>
      <c r="I2824" s="21" t="s">
        <v>3156</v>
      </c>
    </row>
    <row r="2825" spans="1:9" x14ac:dyDescent="0.25">
      <c r="A2825" s="21" t="s">
        <v>3184</v>
      </c>
      <c r="B2825">
        <v>82</v>
      </c>
      <c r="C2825" s="21" t="s">
        <v>57</v>
      </c>
      <c r="D2825" s="21" t="s">
        <v>44</v>
      </c>
      <c r="E2825">
        <v>250</v>
      </c>
      <c r="F2825">
        <v>25</v>
      </c>
      <c r="G2825" s="21" t="s">
        <v>12</v>
      </c>
      <c r="H2825" s="21" t="s">
        <v>122</v>
      </c>
      <c r="I2825" s="21" t="s">
        <v>3156</v>
      </c>
    </row>
    <row r="2826" spans="1:9" x14ac:dyDescent="0.25">
      <c r="A2826" s="21" t="s">
        <v>3185</v>
      </c>
      <c r="B2826">
        <v>21</v>
      </c>
      <c r="C2826" s="21" t="s">
        <v>48</v>
      </c>
      <c r="D2826" s="21" t="s">
        <v>24</v>
      </c>
      <c r="E2826">
        <v>198</v>
      </c>
      <c r="F2826">
        <v>23</v>
      </c>
      <c r="G2826" s="21" t="s">
        <v>25</v>
      </c>
      <c r="H2826" s="21" t="s">
        <v>335</v>
      </c>
      <c r="I2826" s="21" t="s">
        <v>3156</v>
      </c>
    </row>
    <row r="2827" spans="1:9" x14ac:dyDescent="0.25">
      <c r="A2827" s="21" t="s">
        <v>3186</v>
      </c>
      <c r="B2827">
        <v>27</v>
      </c>
      <c r="C2827" s="21" t="s">
        <v>48</v>
      </c>
      <c r="D2827" s="21" t="s">
        <v>11</v>
      </c>
      <c r="E2827">
        <v>185</v>
      </c>
      <c r="F2827">
        <v>28</v>
      </c>
      <c r="G2827" s="21" t="s">
        <v>38</v>
      </c>
      <c r="H2827" s="21" t="s">
        <v>256</v>
      </c>
      <c r="I2827" s="21" t="s">
        <v>3156</v>
      </c>
    </row>
    <row r="2828" spans="1:9" x14ac:dyDescent="0.25">
      <c r="A2828" s="21" t="s">
        <v>3187</v>
      </c>
      <c r="B2828">
        <v>30</v>
      </c>
      <c r="C2828" s="21" t="s">
        <v>91</v>
      </c>
      <c r="D2828" s="21" t="s">
        <v>54</v>
      </c>
      <c r="E2828">
        <v>250</v>
      </c>
      <c r="F2828">
        <v>29</v>
      </c>
      <c r="G2828" s="21" t="s">
        <v>38</v>
      </c>
      <c r="H2828" s="21" t="s">
        <v>3188</v>
      </c>
      <c r="I2828" s="21" t="s">
        <v>3156</v>
      </c>
    </row>
    <row r="2829" spans="1:9" x14ac:dyDescent="0.25">
      <c r="A2829" s="21" t="s">
        <v>3189</v>
      </c>
      <c r="B2829">
        <v>20</v>
      </c>
      <c r="C2829" s="21" t="s">
        <v>48</v>
      </c>
      <c r="D2829" s="21" t="s">
        <v>54</v>
      </c>
      <c r="E2829">
        <v>185</v>
      </c>
      <c r="F2829">
        <v>23</v>
      </c>
      <c r="G2829" s="21" t="s">
        <v>12</v>
      </c>
      <c r="H2829" s="21" t="s">
        <v>256</v>
      </c>
      <c r="I2829" s="21" t="s">
        <v>3156</v>
      </c>
    </row>
    <row r="2830" spans="1:9" x14ac:dyDescent="0.25">
      <c r="A2830" s="21" t="s">
        <v>3190</v>
      </c>
      <c r="B2830">
        <v>89</v>
      </c>
      <c r="C2830" s="21" t="s">
        <v>10</v>
      </c>
      <c r="D2830" s="21" t="s">
        <v>52</v>
      </c>
      <c r="E2830">
        <v>210</v>
      </c>
      <c r="F2830">
        <v>23</v>
      </c>
      <c r="G2830" s="21" t="s">
        <v>25</v>
      </c>
      <c r="H2830" s="21" t="s">
        <v>243</v>
      </c>
      <c r="I2830" s="21" t="s">
        <v>3156</v>
      </c>
    </row>
    <row r="2831" spans="1:9" x14ac:dyDescent="0.25">
      <c r="A2831" s="21" t="s">
        <v>3191</v>
      </c>
      <c r="B2831">
        <v>58</v>
      </c>
      <c r="C2831" s="21" t="s">
        <v>15</v>
      </c>
      <c r="D2831" s="21" t="s">
        <v>52</v>
      </c>
      <c r="E2831">
        <v>236</v>
      </c>
      <c r="F2831">
        <v>30</v>
      </c>
      <c r="G2831" s="21" t="s">
        <v>21</v>
      </c>
      <c r="H2831" s="21" t="s">
        <v>109</v>
      </c>
      <c r="I2831" s="21" t="s">
        <v>3156</v>
      </c>
    </row>
    <row r="2832" spans="1:9" x14ac:dyDescent="0.25">
      <c r="A2832" s="21" t="s">
        <v>3192</v>
      </c>
      <c r="B2832">
        <v>68</v>
      </c>
      <c r="C2832" s="21" t="s">
        <v>277</v>
      </c>
      <c r="D2832" s="21" t="s">
        <v>24</v>
      </c>
      <c r="E2832">
        <v>315</v>
      </c>
      <c r="F2832">
        <v>24</v>
      </c>
      <c r="G2832" s="21" t="s">
        <v>83</v>
      </c>
      <c r="H2832" s="21" t="s">
        <v>210</v>
      </c>
      <c r="I2832" s="21" t="s">
        <v>3156</v>
      </c>
    </row>
    <row r="2833" spans="1:9" x14ac:dyDescent="0.25">
      <c r="A2833" s="21" t="s">
        <v>3193</v>
      </c>
      <c r="B2833">
        <v>99</v>
      </c>
      <c r="C2833" s="21" t="s">
        <v>213</v>
      </c>
      <c r="D2833" s="21" t="s">
        <v>29</v>
      </c>
      <c r="E2833">
        <v>263</v>
      </c>
      <c r="F2833">
        <v>27</v>
      </c>
      <c r="G2833" s="21" t="s">
        <v>21</v>
      </c>
      <c r="H2833" s="21" t="s">
        <v>267</v>
      </c>
      <c r="I2833" s="21" t="s">
        <v>3156</v>
      </c>
    </row>
    <row r="2834" spans="1:9" x14ac:dyDescent="0.25">
      <c r="A2834" s="21" t="s">
        <v>3194</v>
      </c>
      <c r="B2834">
        <v>67</v>
      </c>
      <c r="C2834" s="21" t="s">
        <v>277</v>
      </c>
      <c r="D2834" s="21" t="s">
        <v>44</v>
      </c>
      <c r="E2834">
        <v>307</v>
      </c>
      <c r="F2834">
        <v>23</v>
      </c>
      <c r="G2834" s="21" t="s">
        <v>25</v>
      </c>
      <c r="H2834" s="21" t="s">
        <v>267</v>
      </c>
      <c r="I2834" s="21" t="s">
        <v>3156</v>
      </c>
    </row>
    <row r="2835" spans="1:9" x14ac:dyDescent="0.25">
      <c r="A2835" s="21" t="s">
        <v>3195</v>
      </c>
      <c r="B2835">
        <v>9</v>
      </c>
      <c r="C2835" s="21" t="s">
        <v>10</v>
      </c>
      <c r="D2835" s="21" t="s">
        <v>52</v>
      </c>
      <c r="E2835">
        <v>191</v>
      </c>
      <c r="F2835">
        <v>24</v>
      </c>
      <c r="G2835" s="21" t="s">
        <v>30</v>
      </c>
      <c r="H2835" s="21" t="s">
        <v>355</v>
      </c>
      <c r="I2835" s="21" t="s">
        <v>3156</v>
      </c>
    </row>
    <row r="2836" spans="1:9" x14ac:dyDescent="0.25">
      <c r="A2836" s="21" t="s">
        <v>3196</v>
      </c>
      <c r="B2836">
        <v>18</v>
      </c>
      <c r="C2836" s="21" t="s">
        <v>10</v>
      </c>
      <c r="D2836" s="21" t="s">
        <v>52</v>
      </c>
      <c r="E2836">
        <v>195</v>
      </c>
      <c r="F2836">
        <v>23</v>
      </c>
      <c r="G2836" s="21" t="s">
        <v>12</v>
      </c>
      <c r="H2836" s="21" t="s">
        <v>267</v>
      </c>
      <c r="I2836" s="21" t="s">
        <v>3156</v>
      </c>
    </row>
    <row r="2837" spans="1:9" x14ac:dyDescent="0.25">
      <c r="A2837" s="21" t="s">
        <v>3197</v>
      </c>
      <c r="B2837">
        <v>81</v>
      </c>
      <c r="C2837" s="21" t="s">
        <v>10</v>
      </c>
      <c r="D2837" s="21" t="s">
        <v>11</v>
      </c>
      <c r="E2837">
        <v>210</v>
      </c>
      <c r="F2837">
        <v>25</v>
      </c>
      <c r="G2837" s="21" t="s">
        <v>16</v>
      </c>
      <c r="H2837" s="21" t="s">
        <v>389</v>
      </c>
      <c r="I2837" s="21" t="s">
        <v>3156</v>
      </c>
    </row>
    <row r="2838" spans="1:9" x14ac:dyDescent="0.25">
      <c r="A2838" s="21" t="s">
        <v>3198</v>
      </c>
      <c r="B2838">
        <v>91</v>
      </c>
      <c r="C2838" s="21" t="s">
        <v>213</v>
      </c>
      <c r="D2838" s="21" t="s">
        <v>35</v>
      </c>
      <c r="E2838">
        <v>264</v>
      </c>
      <c r="F2838">
        <v>23</v>
      </c>
      <c r="G2838" s="21" t="s">
        <v>30</v>
      </c>
      <c r="H2838" s="21" t="s">
        <v>128</v>
      </c>
      <c r="I2838" s="21" t="s">
        <v>3156</v>
      </c>
    </row>
    <row r="2839" spans="1:9" x14ac:dyDescent="0.25">
      <c r="A2839" s="21" t="s">
        <v>3199</v>
      </c>
      <c r="B2839">
        <v>1</v>
      </c>
      <c r="C2839" s="21" t="s">
        <v>76</v>
      </c>
      <c r="D2839" s="21" t="s">
        <v>11</v>
      </c>
      <c r="E2839">
        <v>206</v>
      </c>
      <c r="F2839">
        <v>27</v>
      </c>
      <c r="G2839" s="21" t="s">
        <v>12</v>
      </c>
      <c r="H2839" s="21" t="s">
        <v>17</v>
      </c>
      <c r="I2839" s="21" t="s">
        <v>3156</v>
      </c>
    </row>
    <row r="2840" spans="1:9" x14ac:dyDescent="0.25">
      <c r="A2840" s="21" t="s">
        <v>3200</v>
      </c>
      <c r="B2840">
        <v>54</v>
      </c>
      <c r="C2840" s="21" t="s">
        <v>15</v>
      </c>
      <c r="D2840" s="21" t="s">
        <v>11</v>
      </c>
      <c r="E2840">
        <v>232</v>
      </c>
      <c r="F2840">
        <v>30</v>
      </c>
      <c r="G2840" s="21" t="s">
        <v>21</v>
      </c>
      <c r="H2840" s="21" t="s">
        <v>39</v>
      </c>
      <c r="I2840" s="21" t="s">
        <v>3156</v>
      </c>
    </row>
    <row r="2841" spans="1:9" x14ac:dyDescent="0.25">
      <c r="A2841" s="21" t="s">
        <v>3201</v>
      </c>
      <c r="B2841">
        <v>38</v>
      </c>
      <c r="C2841" s="21" t="s">
        <v>51</v>
      </c>
      <c r="D2841" s="21" t="s">
        <v>11</v>
      </c>
      <c r="E2841">
        <v>210</v>
      </c>
      <c r="F2841">
        <v>24</v>
      </c>
      <c r="G2841" s="21" t="s">
        <v>25</v>
      </c>
      <c r="H2841" s="21" t="s">
        <v>93</v>
      </c>
      <c r="I2841" s="21" t="s">
        <v>3156</v>
      </c>
    </row>
    <row r="2842" spans="1:9" x14ac:dyDescent="0.25">
      <c r="A2842" s="21" t="s">
        <v>3202</v>
      </c>
      <c r="B2842">
        <v>47</v>
      </c>
      <c r="C2842" s="21" t="s">
        <v>15</v>
      </c>
      <c r="D2842" s="21" t="s">
        <v>52</v>
      </c>
      <c r="E2842">
        <v>235</v>
      </c>
      <c r="F2842">
        <v>25</v>
      </c>
      <c r="G2842" s="21" t="s">
        <v>25</v>
      </c>
      <c r="H2842" s="21" t="s">
        <v>256</v>
      </c>
      <c r="I2842" s="21" t="s">
        <v>3156</v>
      </c>
    </row>
    <row r="2843" spans="1:9" x14ac:dyDescent="0.25">
      <c r="A2843" s="21" t="s">
        <v>3203</v>
      </c>
      <c r="B2843">
        <v>63</v>
      </c>
      <c r="C2843" s="21" t="s">
        <v>140</v>
      </c>
      <c r="D2843" s="21" t="s">
        <v>67</v>
      </c>
      <c r="E2843">
        <v>320</v>
      </c>
      <c r="F2843">
        <v>23</v>
      </c>
      <c r="G2843" s="21" t="s">
        <v>25</v>
      </c>
      <c r="H2843" s="21" t="s">
        <v>176</v>
      </c>
      <c r="I2843" s="21" t="s">
        <v>3156</v>
      </c>
    </row>
    <row r="2844" spans="1:9" x14ac:dyDescent="0.25">
      <c r="A2844" s="21" t="s">
        <v>3204</v>
      </c>
      <c r="B2844">
        <v>48</v>
      </c>
      <c r="C2844" s="21" t="s">
        <v>15</v>
      </c>
      <c r="D2844" s="21" t="s">
        <v>44</v>
      </c>
      <c r="E2844">
        <v>233</v>
      </c>
      <c r="F2844">
        <v>25</v>
      </c>
      <c r="G2844" s="21" t="s">
        <v>30</v>
      </c>
      <c r="H2844" s="21" t="s">
        <v>87</v>
      </c>
      <c r="I2844" s="21" t="s">
        <v>3156</v>
      </c>
    </row>
    <row r="2845" spans="1:9" x14ac:dyDescent="0.25">
      <c r="A2845" s="21" t="s">
        <v>3205</v>
      </c>
      <c r="B2845">
        <v>92</v>
      </c>
      <c r="C2845" s="21" t="s">
        <v>19</v>
      </c>
      <c r="D2845" s="21" t="s">
        <v>35</v>
      </c>
      <c r="E2845">
        <v>295</v>
      </c>
      <c r="F2845">
        <v>23</v>
      </c>
      <c r="G2845" s="21" t="s">
        <v>12</v>
      </c>
      <c r="H2845" s="21" t="s">
        <v>87</v>
      </c>
      <c r="I2845" s="21" t="s">
        <v>3156</v>
      </c>
    </row>
    <row r="2846" spans="1:9" x14ac:dyDescent="0.25">
      <c r="A2846" s="21" t="s">
        <v>3206</v>
      </c>
      <c r="B2846">
        <v>14</v>
      </c>
      <c r="C2846" s="21" t="s">
        <v>70</v>
      </c>
      <c r="D2846" s="21" t="s">
        <v>67</v>
      </c>
      <c r="E2846">
        <v>230</v>
      </c>
      <c r="F2846">
        <v>30</v>
      </c>
      <c r="G2846" s="21" t="s">
        <v>21</v>
      </c>
      <c r="H2846" s="21" t="s">
        <v>374</v>
      </c>
      <c r="I2846" s="21" t="s">
        <v>3156</v>
      </c>
    </row>
    <row r="2847" spans="1:9" x14ac:dyDescent="0.25">
      <c r="A2847" s="21" t="s">
        <v>3207</v>
      </c>
      <c r="B2847">
        <v>2</v>
      </c>
      <c r="C2847" s="21" t="s">
        <v>51</v>
      </c>
      <c r="D2847" s="21" t="s">
        <v>54</v>
      </c>
      <c r="E2847">
        <v>215</v>
      </c>
      <c r="F2847">
        <v>24</v>
      </c>
      <c r="G2847" s="21" t="s">
        <v>16</v>
      </c>
      <c r="H2847" s="21" t="s">
        <v>330</v>
      </c>
      <c r="I2847" s="21" t="s">
        <v>3156</v>
      </c>
    </row>
    <row r="2848" spans="1:9" x14ac:dyDescent="0.25">
      <c r="A2848" s="21" t="s">
        <v>3208</v>
      </c>
      <c r="B2848">
        <v>59</v>
      </c>
      <c r="C2848" s="21" t="s">
        <v>213</v>
      </c>
      <c r="D2848" s="21" t="s">
        <v>24</v>
      </c>
      <c r="E2848">
        <v>235</v>
      </c>
      <c r="F2848">
        <v>24</v>
      </c>
      <c r="G2848" s="21" t="s">
        <v>25</v>
      </c>
      <c r="H2848" s="21" t="s">
        <v>385</v>
      </c>
      <c r="I2848" s="21" t="s">
        <v>3156</v>
      </c>
    </row>
    <row r="2849" spans="1:9" x14ac:dyDescent="0.25">
      <c r="A2849" s="21" t="s">
        <v>3209</v>
      </c>
      <c r="B2849">
        <v>76</v>
      </c>
      <c r="C2849" s="21" t="s">
        <v>19</v>
      </c>
      <c r="D2849" s="21" t="s">
        <v>11</v>
      </c>
      <c r="E2849">
        <v>294</v>
      </c>
      <c r="F2849">
        <v>29</v>
      </c>
      <c r="G2849" s="21" t="s">
        <v>100</v>
      </c>
      <c r="H2849" s="21" t="s">
        <v>106</v>
      </c>
      <c r="I2849" s="21" t="s">
        <v>3156</v>
      </c>
    </row>
    <row r="2850" spans="1:9" x14ac:dyDescent="0.25">
      <c r="A2850" s="21" t="s">
        <v>3210</v>
      </c>
      <c r="B2850">
        <v>44</v>
      </c>
      <c r="C2850" s="21" t="s">
        <v>89</v>
      </c>
      <c r="D2850" s="21" t="s">
        <v>54</v>
      </c>
      <c r="E2850">
        <v>207</v>
      </c>
      <c r="F2850">
        <v>24</v>
      </c>
      <c r="G2850" s="21" t="s">
        <v>12</v>
      </c>
      <c r="H2850" s="21" t="s">
        <v>98</v>
      </c>
      <c r="I2850" s="21" t="s">
        <v>3156</v>
      </c>
    </row>
    <row r="2851" spans="1:9" x14ac:dyDescent="0.25">
      <c r="A2851" s="21" t="s">
        <v>3211</v>
      </c>
      <c r="B2851">
        <v>31</v>
      </c>
      <c r="C2851" s="21" t="s">
        <v>213</v>
      </c>
      <c r="D2851" s="21" t="s">
        <v>44</v>
      </c>
      <c r="E2851">
        <v>249</v>
      </c>
      <c r="F2851">
        <v>23</v>
      </c>
      <c r="G2851" s="21" t="s">
        <v>30</v>
      </c>
      <c r="H2851" s="21" t="s">
        <v>46</v>
      </c>
      <c r="I2851" s="21" t="s">
        <v>3156</v>
      </c>
    </row>
    <row r="2852" spans="1:9" x14ac:dyDescent="0.25">
      <c r="A2852" s="21" t="s">
        <v>3212</v>
      </c>
      <c r="B2852">
        <v>87</v>
      </c>
      <c r="C2852" s="21" t="s">
        <v>10</v>
      </c>
      <c r="D2852" s="21" t="s">
        <v>52</v>
      </c>
      <c r="E2852">
        <v>185</v>
      </c>
      <c r="F2852">
        <v>24</v>
      </c>
      <c r="G2852" s="21" t="s">
        <v>83</v>
      </c>
      <c r="H2852" s="21" t="s">
        <v>308</v>
      </c>
      <c r="I2852" s="21" t="s">
        <v>3156</v>
      </c>
    </row>
    <row r="2853" spans="1:9" x14ac:dyDescent="0.25">
      <c r="A2853" s="21" t="s">
        <v>3213</v>
      </c>
      <c r="B2853">
        <v>11</v>
      </c>
      <c r="C2853" s="21" t="s">
        <v>70</v>
      </c>
      <c r="D2853" s="21" t="s">
        <v>44</v>
      </c>
      <c r="E2853">
        <v>212</v>
      </c>
      <c r="F2853">
        <v>23</v>
      </c>
      <c r="G2853" s="21" t="s">
        <v>30</v>
      </c>
      <c r="H2853" s="21" t="s">
        <v>152</v>
      </c>
      <c r="I2853" s="21" t="s">
        <v>3156</v>
      </c>
    </row>
    <row r="2854" spans="1:9" x14ac:dyDescent="0.25">
      <c r="A2854" s="21" t="s">
        <v>3214</v>
      </c>
      <c r="B2854">
        <v>86</v>
      </c>
      <c r="C2854" s="21" t="s">
        <v>57</v>
      </c>
      <c r="D2854" s="21" t="s">
        <v>35</v>
      </c>
      <c r="E2854">
        <v>233</v>
      </c>
      <c r="F2854">
        <v>27</v>
      </c>
      <c r="G2854" s="21" t="s">
        <v>45</v>
      </c>
      <c r="H2854" s="21" t="s">
        <v>22</v>
      </c>
      <c r="I2854" s="21" t="s">
        <v>3156</v>
      </c>
    </row>
    <row r="2855" spans="1:9" x14ac:dyDescent="0.25">
      <c r="A2855" s="21" t="s">
        <v>3215</v>
      </c>
      <c r="B2855">
        <v>34</v>
      </c>
      <c r="C2855" s="21" t="s">
        <v>57</v>
      </c>
      <c r="D2855" s="21" t="s">
        <v>29</v>
      </c>
      <c r="E2855">
        <v>252</v>
      </c>
      <c r="F2855">
        <v>23</v>
      </c>
      <c r="G2855" s="21" t="s">
        <v>25</v>
      </c>
      <c r="H2855" s="21" t="s">
        <v>115</v>
      </c>
      <c r="I2855" s="21" t="s">
        <v>3156</v>
      </c>
    </row>
    <row r="2856" spans="1:9" x14ac:dyDescent="0.25">
      <c r="A2856" s="21" t="s">
        <v>3216</v>
      </c>
      <c r="B2856">
        <v>83</v>
      </c>
      <c r="C2856" s="21" t="s">
        <v>10</v>
      </c>
      <c r="D2856" s="21" t="s">
        <v>11</v>
      </c>
      <c r="E2856">
        <v>190</v>
      </c>
      <c r="F2856">
        <v>23</v>
      </c>
      <c r="G2856" s="21" t="s">
        <v>25</v>
      </c>
      <c r="H2856" s="21" t="s">
        <v>55</v>
      </c>
      <c r="I2856" s="21" t="s">
        <v>3156</v>
      </c>
    </row>
    <row r="2857" spans="1:9" x14ac:dyDescent="0.25">
      <c r="A2857" s="21" t="s">
        <v>3217</v>
      </c>
      <c r="B2857">
        <v>35</v>
      </c>
      <c r="C2857" s="21" t="s">
        <v>48</v>
      </c>
      <c r="D2857" s="21" t="s">
        <v>125</v>
      </c>
      <c r="E2857">
        <v>179</v>
      </c>
      <c r="F2857">
        <v>27</v>
      </c>
      <c r="G2857" s="21" t="s">
        <v>16</v>
      </c>
      <c r="H2857" s="21" t="s">
        <v>643</v>
      </c>
      <c r="I2857" s="21" t="s">
        <v>3156</v>
      </c>
    </row>
    <row r="2858" spans="1:9" x14ac:dyDescent="0.25">
      <c r="A2858" s="21" t="s">
        <v>3218</v>
      </c>
      <c r="B2858">
        <v>26</v>
      </c>
      <c r="C2858" s="21" t="s">
        <v>51</v>
      </c>
      <c r="D2858" s="21" t="s">
        <v>52</v>
      </c>
      <c r="E2858">
        <v>210</v>
      </c>
      <c r="F2858">
        <v>24</v>
      </c>
      <c r="G2858" s="21" t="s">
        <v>30</v>
      </c>
      <c r="H2858" s="21" t="s">
        <v>162</v>
      </c>
      <c r="I2858" s="21" t="s">
        <v>3156</v>
      </c>
    </row>
    <row r="2859" spans="1:9" x14ac:dyDescent="0.25">
      <c r="A2859" s="21" t="s">
        <v>3219</v>
      </c>
      <c r="B2859">
        <v>75</v>
      </c>
      <c r="C2859" s="21" t="s">
        <v>140</v>
      </c>
      <c r="D2859" s="21" t="s">
        <v>20</v>
      </c>
      <c r="E2859">
        <v>310</v>
      </c>
      <c r="F2859">
        <v>26</v>
      </c>
      <c r="G2859" s="21" t="s">
        <v>45</v>
      </c>
      <c r="H2859" s="21" t="s">
        <v>128</v>
      </c>
      <c r="I2859" s="21" t="s">
        <v>3156</v>
      </c>
    </row>
    <row r="2860" spans="1:9" x14ac:dyDescent="0.25">
      <c r="A2860" s="21" t="s">
        <v>3220</v>
      </c>
      <c r="B2860">
        <v>17</v>
      </c>
      <c r="C2860" s="21" t="s">
        <v>10</v>
      </c>
      <c r="D2860" s="21" t="s">
        <v>54</v>
      </c>
      <c r="E2860">
        <v>203</v>
      </c>
      <c r="F2860">
        <v>25</v>
      </c>
      <c r="G2860" s="21" t="s">
        <v>12</v>
      </c>
      <c r="H2860" s="21" t="s">
        <v>385</v>
      </c>
      <c r="I2860" s="21" t="s">
        <v>3156</v>
      </c>
    </row>
    <row r="2861" spans="1:9" x14ac:dyDescent="0.25">
      <c r="A2861" s="21" t="s">
        <v>3221</v>
      </c>
      <c r="B2861">
        <v>90</v>
      </c>
      <c r="C2861" s="21" t="s">
        <v>19</v>
      </c>
      <c r="D2861" s="21" t="s">
        <v>29</v>
      </c>
      <c r="E2861">
        <v>282</v>
      </c>
      <c r="F2861">
        <v>23</v>
      </c>
      <c r="G2861" s="21" t="s">
        <v>25</v>
      </c>
      <c r="H2861" s="21" t="s">
        <v>168</v>
      </c>
      <c r="I2861" s="21" t="s">
        <v>3156</v>
      </c>
    </row>
    <row r="2862" spans="1:9" x14ac:dyDescent="0.25">
      <c r="A2862" s="21" t="s">
        <v>3222</v>
      </c>
      <c r="B2862">
        <v>61</v>
      </c>
      <c r="C2862" s="21" t="s">
        <v>140</v>
      </c>
      <c r="D2862" s="21" t="s">
        <v>67</v>
      </c>
      <c r="E2862">
        <v>330</v>
      </c>
      <c r="F2862">
        <v>26</v>
      </c>
      <c r="G2862" s="21" t="s">
        <v>83</v>
      </c>
      <c r="H2862" s="21" t="s">
        <v>651</v>
      </c>
      <c r="I2862" s="21" t="s">
        <v>3156</v>
      </c>
    </row>
    <row r="2863" spans="1:9" x14ac:dyDescent="0.25">
      <c r="A2863" s="21" t="s">
        <v>3223</v>
      </c>
      <c r="B2863">
        <v>7</v>
      </c>
      <c r="C2863" s="21" t="s">
        <v>48</v>
      </c>
      <c r="D2863" s="21" t="s">
        <v>52</v>
      </c>
      <c r="E2863">
        <v>198</v>
      </c>
      <c r="F2863">
        <v>32</v>
      </c>
      <c r="G2863" s="21" t="s">
        <v>186</v>
      </c>
      <c r="H2863" s="21" t="s">
        <v>267</v>
      </c>
      <c r="I2863" s="21" t="s">
        <v>3156</v>
      </c>
    </row>
    <row r="2864" spans="1:9" x14ac:dyDescent="0.25">
      <c r="A2864" s="21" t="s">
        <v>3224</v>
      </c>
      <c r="B2864">
        <v>97</v>
      </c>
      <c r="C2864" s="21" t="s">
        <v>19</v>
      </c>
      <c r="D2864" s="21" t="s">
        <v>44</v>
      </c>
      <c r="E2864">
        <v>307</v>
      </c>
      <c r="F2864">
        <v>26</v>
      </c>
      <c r="G2864" s="21" t="s">
        <v>45</v>
      </c>
      <c r="H2864" s="21" t="s">
        <v>165</v>
      </c>
      <c r="I2864" s="21" t="s">
        <v>3156</v>
      </c>
    </row>
    <row r="2865" spans="1:9" x14ac:dyDescent="0.25">
      <c r="A2865" s="21" t="s">
        <v>3225</v>
      </c>
      <c r="B2865">
        <v>13</v>
      </c>
      <c r="C2865" s="21" t="s">
        <v>10</v>
      </c>
      <c r="D2865" s="21" t="s">
        <v>52</v>
      </c>
      <c r="E2865">
        <v>190</v>
      </c>
      <c r="F2865">
        <v>23</v>
      </c>
      <c r="G2865" s="21" t="s">
        <v>30</v>
      </c>
      <c r="H2865" s="21" t="s">
        <v>813</v>
      </c>
      <c r="I2865" s="21" t="s">
        <v>3156</v>
      </c>
    </row>
    <row r="2866" spans="1:9" x14ac:dyDescent="0.25">
      <c r="A2866" s="21" t="s">
        <v>3226</v>
      </c>
      <c r="B2866">
        <v>62</v>
      </c>
      <c r="C2866" s="21" t="s">
        <v>277</v>
      </c>
      <c r="D2866" s="21" t="s">
        <v>44</v>
      </c>
      <c r="E2866">
        <v>314</v>
      </c>
      <c r="F2866">
        <v>30</v>
      </c>
      <c r="G2866" s="21" t="s">
        <v>100</v>
      </c>
      <c r="H2866" s="21" t="s">
        <v>3065</v>
      </c>
      <c r="I2866" s="21" t="s">
        <v>3156</v>
      </c>
    </row>
    <row r="2867" spans="1:9" x14ac:dyDescent="0.25">
      <c r="A2867" s="21" t="s">
        <v>3227</v>
      </c>
      <c r="B2867">
        <v>95</v>
      </c>
      <c r="C2867" s="21" t="s">
        <v>213</v>
      </c>
      <c r="D2867" s="21" t="s">
        <v>29</v>
      </c>
      <c r="E2867">
        <v>258</v>
      </c>
      <c r="F2867">
        <v>23</v>
      </c>
      <c r="G2867" s="21" t="s">
        <v>30</v>
      </c>
      <c r="H2867" s="21" t="s">
        <v>241</v>
      </c>
      <c r="I2867" s="21" t="s">
        <v>3156</v>
      </c>
    </row>
    <row r="2868" spans="1:9" x14ac:dyDescent="0.25">
      <c r="A2868" s="21" t="s">
        <v>3228</v>
      </c>
      <c r="B2868">
        <v>65</v>
      </c>
      <c r="C2868" s="21" t="s">
        <v>277</v>
      </c>
      <c r="D2868" s="21" t="s">
        <v>67</v>
      </c>
      <c r="E2868">
        <v>300</v>
      </c>
      <c r="F2868">
        <v>26</v>
      </c>
      <c r="G2868" s="21" t="s">
        <v>16</v>
      </c>
      <c r="H2868" s="21" t="s">
        <v>618</v>
      </c>
      <c r="I2868" s="21" t="s">
        <v>3156</v>
      </c>
    </row>
    <row r="2869" spans="1:9" x14ac:dyDescent="0.25">
      <c r="A2869" s="21" t="s">
        <v>3235</v>
      </c>
      <c r="B2869">
        <v>15</v>
      </c>
      <c r="C2869" s="21" t="s">
        <v>10</v>
      </c>
      <c r="D2869" s="21" t="s">
        <v>52</v>
      </c>
      <c r="E2869">
        <v>185</v>
      </c>
      <c r="F2869">
        <v>22</v>
      </c>
      <c r="G2869" s="21" t="s">
        <v>30</v>
      </c>
      <c r="H2869" s="21" t="s">
        <v>117</v>
      </c>
      <c r="I2869" s="21" t="s">
        <v>3156</v>
      </c>
    </row>
    <row r="2870" spans="1:9" x14ac:dyDescent="0.25">
      <c r="A2870" s="21" t="s">
        <v>3229</v>
      </c>
      <c r="B2870">
        <v>22</v>
      </c>
      <c r="C2870" s="21" t="s">
        <v>89</v>
      </c>
      <c r="D2870" s="21" t="s">
        <v>24</v>
      </c>
      <c r="E2870">
        <v>211</v>
      </c>
      <c r="F2870">
        <v>33</v>
      </c>
      <c r="G2870" s="21" t="s">
        <v>254</v>
      </c>
      <c r="H2870" s="21" t="s">
        <v>31</v>
      </c>
      <c r="I2870" s="21" t="s">
        <v>3156</v>
      </c>
    </row>
    <row r="2871" spans="1:9" x14ac:dyDescent="0.25">
      <c r="A2871" s="21" t="s">
        <v>3230</v>
      </c>
      <c r="B2871">
        <v>84</v>
      </c>
      <c r="C2871" s="21" t="s">
        <v>57</v>
      </c>
      <c r="D2871" s="21" t="s">
        <v>24</v>
      </c>
      <c r="E2871">
        <v>240</v>
      </c>
      <c r="F2871">
        <v>23</v>
      </c>
      <c r="G2871" s="21" t="s">
        <v>16</v>
      </c>
      <c r="H2871" s="21" t="s">
        <v>233</v>
      </c>
      <c r="I2871" s="21" t="s">
        <v>3156</v>
      </c>
    </row>
    <row r="2872" spans="1:9" x14ac:dyDescent="0.25">
      <c r="A2872" s="21" t="s">
        <v>3231</v>
      </c>
      <c r="B2872">
        <v>50</v>
      </c>
      <c r="C2872" s="21" t="s">
        <v>19</v>
      </c>
      <c r="D2872" s="21" t="s">
        <v>44</v>
      </c>
      <c r="E2872">
        <v>300</v>
      </c>
      <c r="F2872">
        <v>25</v>
      </c>
      <c r="G2872" s="21" t="s">
        <v>83</v>
      </c>
      <c r="H2872" s="21" t="s">
        <v>80</v>
      </c>
      <c r="I2872" s="21" t="s">
        <v>3156</v>
      </c>
    </row>
    <row r="2873" spans="1:9" x14ac:dyDescent="0.25">
      <c r="A2873" s="21" t="s">
        <v>3232</v>
      </c>
      <c r="B2873">
        <v>5</v>
      </c>
      <c r="C2873" s="21" t="s">
        <v>48</v>
      </c>
      <c r="D2873" s="21" t="s">
        <v>11</v>
      </c>
      <c r="E2873">
        <v>190</v>
      </c>
      <c r="F2873">
        <v>29</v>
      </c>
      <c r="G2873" s="21" t="s">
        <v>38</v>
      </c>
      <c r="H2873" s="21" t="s">
        <v>3233</v>
      </c>
      <c r="I2873" s="21" t="s">
        <v>3156</v>
      </c>
    </row>
    <row r="2874" spans="1:9" x14ac:dyDescent="0.25">
      <c r="A2874" s="21" t="s">
        <v>3234</v>
      </c>
      <c r="B2874">
        <v>55</v>
      </c>
      <c r="C2874" s="21" t="s">
        <v>213</v>
      </c>
      <c r="D2874" s="21" t="s">
        <v>35</v>
      </c>
      <c r="E2874">
        <v>272</v>
      </c>
      <c r="F2874">
        <v>29</v>
      </c>
      <c r="G2874" s="21" t="s">
        <v>21</v>
      </c>
      <c r="H2874" s="21" t="s">
        <v>683</v>
      </c>
      <c r="I2874" s="21" t="s">
        <v>3156</v>
      </c>
    </row>
    <row r="2875" spans="1:9" x14ac:dyDescent="0.25">
      <c r="A2875" s="21" t="s">
        <v>3236</v>
      </c>
      <c r="B2875">
        <v>60</v>
      </c>
      <c r="C2875" s="21" t="s">
        <v>184</v>
      </c>
      <c r="D2875" s="21" t="s">
        <v>44</v>
      </c>
      <c r="E2875">
        <v>290</v>
      </c>
      <c r="F2875">
        <v>24</v>
      </c>
      <c r="G2875" s="21" t="s">
        <v>25</v>
      </c>
      <c r="H2875" s="21" t="s">
        <v>672</v>
      </c>
      <c r="I2875" s="21" t="s">
        <v>3156</v>
      </c>
    </row>
    <row r="2876" spans="1:9" x14ac:dyDescent="0.25">
      <c r="A2876" s="21" t="s">
        <v>3237</v>
      </c>
      <c r="B2876">
        <v>51</v>
      </c>
      <c r="C2876" s="21" t="s">
        <v>19</v>
      </c>
      <c r="D2876" s="21" t="s">
        <v>44</v>
      </c>
      <c r="E2876">
        <v>365</v>
      </c>
      <c r="F2876">
        <v>24</v>
      </c>
      <c r="G2876" s="21" t="s">
        <v>25</v>
      </c>
      <c r="H2876" s="21" t="s">
        <v>352</v>
      </c>
      <c r="I2876" s="21" t="s">
        <v>3156</v>
      </c>
    </row>
    <row r="2877" spans="1:9" x14ac:dyDescent="0.25">
      <c r="A2877" s="21" t="s">
        <v>3238</v>
      </c>
      <c r="B2877">
        <v>39</v>
      </c>
      <c r="C2877" s="21" t="s">
        <v>48</v>
      </c>
      <c r="D2877" s="21" t="s">
        <v>54</v>
      </c>
      <c r="E2877">
        <v>189</v>
      </c>
      <c r="F2877">
        <v>25</v>
      </c>
      <c r="G2877" s="21" t="s">
        <v>45</v>
      </c>
      <c r="H2877" s="21" t="s">
        <v>2044</v>
      </c>
      <c r="I2877" s="21" t="s">
        <v>3156</v>
      </c>
    </row>
    <row r="2878" spans="1:9" x14ac:dyDescent="0.25">
      <c r="A2878" s="21" t="s">
        <v>3239</v>
      </c>
      <c r="B2878">
        <v>41</v>
      </c>
      <c r="C2878" s="21" t="s">
        <v>15</v>
      </c>
      <c r="D2878" s="21" t="s">
        <v>24</v>
      </c>
      <c r="E2878">
        <v>233</v>
      </c>
      <c r="F2878">
        <v>25</v>
      </c>
      <c r="G2878" s="21" t="s">
        <v>30</v>
      </c>
      <c r="H2878" s="21" t="s">
        <v>73</v>
      </c>
      <c r="I2878" s="21" t="s">
        <v>3156</v>
      </c>
    </row>
    <row r="2879" spans="1:9" x14ac:dyDescent="0.25">
      <c r="A2879" s="21" t="s">
        <v>3240</v>
      </c>
      <c r="B2879">
        <v>78</v>
      </c>
      <c r="C2879" s="21" t="s">
        <v>19</v>
      </c>
      <c r="D2879" s="21" t="s">
        <v>29</v>
      </c>
      <c r="E2879">
        <v>300</v>
      </c>
      <c r="F2879">
        <v>27</v>
      </c>
      <c r="G2879" s="21" t="s">
        <v>16</v>
      </c>
      <c r="H2879" s="21" t="s">
        <v>256</v>
      </c>
      <c r="I2879" s="21" t="s">
        <v>3156</v>
      </c>
    </row>
    <row r="2880" spans="1:9" x14ac:dyDescent="0.25">
      <c r="A2880" s="21" t="s">
        <v>3241</v>
      </c>
      <c r="B2880">
        <v>19</v>
      </c>
      <c r="C2880" s="21" t="s">
        <v>10</v>
      </c>
      <c r="D2880" s="21" t="s">
        <v>24</v>
      </c>
      <c r="E2880">
        <v>200</v>
      </c>
      <c r="F2880">
        <v>31</v>
      </c>
      <c r="G2880" s="21" t="s">
        <v>64</v>
      </c>
      <c r="H2880" s="21" t="s">
        <v>3065</v>
      </c>
      <c r="I2880" s="21" t="s">
        <v>3156</v>
      </c>
    </row>
    <row r="2881" spans="1:9" x14ac:dyDescent="0.25">
      <c r="A2881" s="21" t="s">
        <v>3242</v>
      </c>
      <c r="B2881">
        <v>94</v>
      </c>
      <c r="C2881" s="21" t="s">
        <v>19</v>
      </c>
      <c r="D2881" s="21" t="s">
        <v>44</v>
      </c>
      <c r="E2881">
        <v>325</v>
      </c>
      <c r="F2881">
        <v>28</v>
      </c>
      <c r="G2881" s="21" t="s">
        <v>38</v>
      </c>
      <c r="H2881" s="21" t="s">
        <v>233</v>
      </c>
      <c r="I2881" s="21" t="s">
        <v>3156</v>
      </c>
    </row>
    <row r="2882" spans="1:9" x14ac:dyDescent="0.25">
      <c r="A2882" s="21" t="s">
        <v>3243</v>
      </c>
      <c r="B2882">
        <v>93</v>
      </c>
      <c r="C2882" s="21" t="s">
        <v>19</v>
      </c>
      <c r="D2882" s="21" t="s">
        <v>24</v>
      </c>
      <c r="E2882">
        <v>285</v>
      </c>
      <c r="F2882">
        <v>23</v>
      </c>
      <c r="G2882" s="21" t="s">
        <v>83</v>
      </c>
      <c r="H2882" s="21" t="s">
        <v>128</v>
      </c>
      <c r="I2882" s="21" t="s">
        <v>3156</v>
      </c>
    </row>
    <row r="2883" spans="1:9" x14ac:dyDescent="0.25">
      <c r="A2883" s="21" t="s">
        <v>3244</v>
      </c>
      <c r="B2883">
        <v>74</v>
      </c>
      <c r="C2883" s="21" t="s">
        <v>277</v>
      </c>
      <c r="D2883" s="21" t="s">
        <v>67</v>
      </c>
      <c r="E2883">
        <v>320</v>
      </c>
      <c r="F2883">
        <v>25</v>
      </c>
      <c r="G2883" s="21" t="s">
        <v>16</v>
      </c>
      <c r="H2883" s="21" t="s">
        <v>2231</v>
      </c>
      <c r="I2883" s="21" t="s">
        <v>3156</v>
      </c>
    </row>
    <row r="2884" spans="1:9" x14ac:dyDescent="0.25">
      <c r="A2884" s="21" t="s">
        <v>3245</v>
      </c>
      <c r="B2884">
        <v>43</v>
      </c>
      <c r="C2884" s="21" t="s">
        <v>213</v>
      </c>
      <c r="D2884" s="21" t="s">
        <v>35</v>
      </c>
      <c r="E2884">
        <v>252</v>
      </c>
      <c r="F2884">
        <v>24</v>
      </c>
      <c r="G2884" s="21" t="s">
        <v>25</v>
      </c>
      <c r="H2884" s="21" t="s">
        <v>282</v>
      </c>
      <c r="I2884" s="21" t="s">
        <v>3156</v>
      </c>
    </row>
    <row r="2885" spans="1:9" x14ac:dyDescent="0.25">
      <c r="A2885" s="21" t="s">
        <v>3246</v>
      </c>
      <c r="B2885">
        <v>96</v>
      </c>
      <c r="C2885" s="21" t="s">
        <v>19</v>
      </c>
      <c r="D2885" s="21" t="s">
        <v>29</v>
      </c>
      <c r="E2885">
        <v>307</v>
      </c>
      <c r="F2885">
        <v>26</v>
      </c>
      <c r="G2885" s="21" t="s">
        <v>16</v>
      </c>
      <c r="H2885" s="21" t="s">
        <v>80</v>
      </c>
      <c r="I2885" s="21" t="s">
        <v>3156</v>
      </c>
    </row>
    <row r="2886" spans="1:9" x14ac:dyDescent="0.25">
      <c r="A2886" s="21" t="s">
        <v>3247</v>
      </c>
      <c r="B2886">
        <v>25</v>
      </c>
      <c r="C2886" s="21" t="s">
        <v>10</v>
      </c>
      <c r="D2886" s="21" t="s">
        <v>135</v>
      </c>
      <c r="E2886">
        <v>195</v>
      </c>
      <c r="F2886">
        <v>30</v>
      </c>
      <c r="G2886" s="21" t="s">
        <v>21</v>
      </c>
      <c r="H2886" s="21" t="s">
        <v>2044</v>
      </c>
      <c r="I2886" s="21" t="s">
        <v>3156</v>
      </c>
    </row>
    <row r="2887" spans="1:9" x14ac:dyDescent="0.25">
      <c r="A2887" s="21" t="s">
        <v>3248</v>
      </c>
      <c r="B2887">
        <v>98</v>
      </c>
      <c r="C2887" s="21" t="s">
        <v>213</v>
      </c>
      <c r="D2887" s="21" t="s">
        <v>29</v>
      </c>
      <c r="E2887">
        <v>258</v>
      </c>
      <c r="F2887">
        <v>24</v>
      </c>
      <c r="G2887" s="21" t="s">
        <v>12</v>
      </c>
      <c r="H2887" s="21" t="s">
        <v>115</v>
      </c>
      <c r="I2887" s="21" t="s">
        <v>3156</v>
      </c>
    </row>
    <row r="2888" spans="1:9" x14ac:dyDescent="0.25">
      <c r="A2888" s="21" t="s">
        <v>3249</v>
      </c>
      <c r="B2888">
        <v>66</v>
      </c>
      <c r="C2888" s="21" t="s">
        <v>193</v>
      </c>
      <c r="D2888" s="21" t="s">
        <v>44</v>
      </c>
      <c r="E2888">
        <v>245</v>
      </c>
      <c r="F2888">
        <v>22</v>
      </c>
      <c r="G2888" s="21" t="s">
        <v>25</v>
      </c>
      <c r="H2888" s="21" t="s">
        <v>643</v>
      </c>
      <c r="I2888" s="21" t="s">
        <v>3156</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16680-E9A5-4E34-9895-C7B1D7B60DA3}">
  <sheetPr codeName="Planilha1"/>
  <dimension ref="A1:IP40"/>
  <sheetViews>
    <sheetView showGridLines="0" showRowColHeaders="0" tabSelected="1" zoomScale="80" zoomScaleNormal="80" workbookViewId="0">
      <selection activeCell="I8" sqref="I8"/>
    </sheetView>
  </sheetViews>
  <sheetFormatPr defaultRowHeight="15" x14ac:dyDescent="0.25"/>
  <cols>
    <col min="1" max="1" width="23.7109375" style="2" customWidth="1"/>
    <col min="2" max="4" width="8.28515625" style="2" customWidth="1"/>
    <col min="5" max="5" width="5.140625" customWidth="1"/>
    <col min="6" max="6" width="23.28515625" customWidth="1"/>
    <col min="7" max="7" width="7.140625" customWidth="1"/>
    <col min="8" max="8" width="6.5703125" customWidth="1"/>
    <col min="9" max="9" width="7.140625" customWidth="1"/>
    <col min="10" max="10" width="7.42578125" customWidth="1"/>
    <col min="11" max="11" width="7.28515625" style="19" customWidth="1"/>
    <col min="12" max="12" width="23.28515625" customWidth="1"/>
    <col min="13" max="13" width="2.7109375" customWidth="1"/>
    <col min="14" max="14" width="5.140625" customWidth="1"/>
    <col min="15" max="15" width="23.28515625" customWidth="1"/>
    <col min="16" max="16" width="7.140625" customWidth="1"/>
    <col min="17" max="17" width="6.5703125" customWidth="1"/>
    <col min="18" max="18" width="7.140625" customWidth="1"/>
    <col min="19" max="19" width="7.42578125" customWidth="1"/>
    <col min="20" max="20" width="7.28515625" customWidth="1"/>
    <col min="21" max="21" width="18.85546875" customWidth="1"/>
    <col min="22" max="22" width="5.140625" hidden="1" customWidth="1"/>
    <col min="23" max="23" width="23.28515625" hidden="1" customWidth="1"/>
    <col min="24" max="24" width="7.140625" hidden="1" customWidth="1"/>
    <col min="25" max="25" width="6.5703125" hidden="1" customWidth="1"/>
    <col min="26" max="26" width="7.140625" hidden="1" customWidth="1"/>
    <col min="27" max="27" width="7.42578125" hidden="1" customWidth="1"/>
    <col min="28" max="28" width="7.28515625" hidden="1" customWidth="1"/>
    <col min="29" max="29" width="23.28515625" hidden="1" customWidth="1"/>
    <col min="30" max="30" width="2.7109375" hidden="1" customWidth="1"/>
    <col min="31" max="31" width="5.140625" hidden="1" customWidth="1"/>
    <col min="32" max="32" width="23.28515625" hidden="1" customWidth="1"/>
    <col min="33" max="33" width="7.140625" hidden="1" customWidth="1"/>
    <col min="34" max="34" width="6.5703125" hidden="1" customWidth="1"/>
    <col min="35" max="35" width="7.140625" hidden="1" customWidth="1"/>
    <col min="36" max="36" width="7.42578125" hidden="1" customWidth="1"/>
    <col min="37" max="37" width="7.28515625" hidden="1" customWidth="1"/>
    <col min="38" max="38" width="23.28515625" hidden="1" customWidth="1"/>
    <col min="39" max="39" width="5.140625" hidden="1" customWidth="1"/>
    <col min="40" max="40" width="23.28515625" hidden="1" customWidth="1"/>
    <col min="41" max="41" width="7.140625" hidden="1" customWidth="1"/>
    <col min="42" max="42" width="6.5703125" hidden="1" customWidth="1"/>
    <col min="43" max="43" width="7.140625" hidden="1" customWidth="1"/>
    <col min="44" max="44" width="7.42578125" hidden="1" customWidth="1"/>
    <col min="45" max="45" width="7.28515625" hidden="1" customWidth="1"/>
    <col min="46" max="46" width="23.28515625" hidden="1" customWidth="1"/>
    <col min="47" max="47" width="11" hidden="1" customWidth="1"/>
    <col min="48" max="48" width="9.140625" customWidth="1"/>
    <col min="49" max="49" width="11" hidden="1" customWidth="1"/>
    <col min="50" max="50" width="16.5703125" hidden="1" customWidth="1"/>
    <col min="51" max="51" width="2.7109375" hidden="1" customWidth="1"/>
    <col min="52" max="52" width="11" hidden="1" customWidth="1"/>
    <col min="53" max="53" width="18" hidden="1" customWidth="1"/>
    <col min="54" max="54" width="2.7109375" hidden="1" customWidth="1"/>
    <col min="55" max="55" width="18" hidden="1" customWidth="1"/>
    <col min="56" max="56" width="16.5703125" hidden="1" customWidth="1"/>
    <col min="57" max="57" width="9.140625" customWidth="1"/>
    <col min="59" max="59" width="6.7109375" customWidth="1"/>
    <col min="60" max="60" width="20" customWidth="1"/>
    <col min="61" max="61" width="9.140625" customWidth="1"/>
    <col min="62" max="65" width="7.7109375" customWidth="1"/>
    <col min="66" max="66" width="27.140625" customWidth="1"/>
    <col min="67" max="70" width="7.7109375" customWidth="1"/>
    <col min="71" max="71" width="6.7109375" customWidth="1"/>
    <col min="72" max="72" width="28.7109375" customWidth="1"/>
    <col min="73" max="73" width="9.140625" customWidth="1"/>
    <col min="74" max="74" width="7.7109375" customWidth="1"/>
    <col min="75" max="75" width="6.5703125" customWidth="1"/>
    <col min="76" max="76" width="4.42578125" customWidth="1"/>
    <col min="77" max="77" width="7.140625" customWidth="1"/>
    <col min="78" max="78" width="20" customWidth="1"/>
    <col min="79" max="79" width="7.140625" customWidth="1"/>
    <col min="80" max="80" width="9.140625" customWidth="1"/>
    <col min="81" max="81" width="6.5703125" customWidth="1"/>
    <col min="82" max="82" width="4.42578125" customWidth="1"/>
    <col min="83" max="83" width="7.140625" customWidth="1"/>
    <col min="84" max="84" width="20" customWidth="1"/>
    <col min="85" max="85" width="7.140625" customWidth="1"/>
    <col min="86" max="86" width="9.140625" customWidth="1"/>
    <col min="87" max="87" width="6.5703125" bestFit="1" customWidth="1"/>
    <col min="88" max="248" width="4.42578125" bestFit="1" customWidth="1"/>
    <col min="249" max="249" width="7.28515625" bestFit="1" customWidth="1"/>
    <col min="250" max="250" width="11" bestFit="1" customWidth="1"/>
  </cols>
  <sheetData>
    <row r="1" spans="2:56" x14ac:dyDescent="0.25">
      <c r="E1" s="20" t="s">
        <v>3259</v>
      </c>
      <c r="F1" s="20"/>
      <c r="G1" s="20"/>
      <c r="H1" s="20"/>
      <c r="I1" s="20"/>
      <c r="J1" s="20"/>
      <c r="K1" s="20"/>
      <c r="L1" s="20"/>
      <c r="N1" s="20" t="s">
        <v>3262</v>
      </c>
      <c r="O1" s="20"/>
      <c r="P1" s="20"/>
      <c r="Q1" s="20"/>
      <c r="R1" s="20"/>
      <c r="S1" s="20"/>
      <c r="T1" s="20"/>
      <c r="U1" s="20"/>
      <c r="V1" s="20" t="s">
        <v>3264</v>
      </c>
      <c r="W1" s="20"/>
      <c r="X1" s="20"/>
      <c r="Y1" s="20"/>
      <c r="Z1" s="20"/>
      <c r="AA1" s="20"/>
      <c r="AB1" s="20"/>
      <c r="AC1" s="20"/>
      <c r="AE1" s="20" t="s">
        <v>3266</v>
      </c>
      <c r="AF1" s="20"/>
      <c r="AG1" s="20"/>
      <c r="AH1" s="20"/>
      <c r="AI1" s="20"/>
      <c r="AJ1" s="20"/>
      <c r="AK1" s="20"/>
      <c r="AL1" s="20"/>
      <c r="AM1" s="20" t="s">
        <v>3267</v>
      </c>
      <c r="AN1" s="20"/>
      <c r="AO1" s="20"/>
      <c r="AP1" s="20"/>
      <c r="AQ1" s="20"/>
      <c r="AR1" s="20"/>
      <c r="AS1" s="20"/>
      <c r="AT1" s="20"/>
      <c r="AU1" s="16"/>
      <c r="AW1" s="1" t="s">
        <v>2</v>
      </c>
      <c r="AX1" t="s">
        <v>3274</v>
      </c>
      <c r="AZ1" s="1" t="s">
        <v>2</v>
      </c>
      <c r="BA1" t="s">
        <v>3274</v>
      </c>
      <c r="BC1" s="1" t="s">
        <v>2</v>
      </c>
      <c r="BD1" t="s">
        <v>3274</v>
      </c>
    </row>
    <row r="2" spans="2:56" x14ac:dyDescent="0.25">
      <c r="E2" s="1" t="s">
        <v>1</v>
      </c>
      <c r="F2" s="1" t="s">
        <v>0</v>
      </c>
      <c r="G2" s="1" t="s">
        <v>2</v>
      </c>
      <c r="H2" s="1" t="s">
        <v>3</v>
      </c>
      <c r="I2" s="1" t="s">
        <v>4</v>
      </c>
      <c r="J2" s="1" t="s">
        <v>5</v>
      </c>
      <c r="K2" s="18" t="s">
        <v>6</v>
      </c>
      <c r="L2" s="1" t="s">
        <v>7</v>
      </c>
      <c r="N2" s="1" t="s">
        <v>1</v>
      </c>
      <c r="O2" s="1" t="s">
        <v>0</v>
      </c>
      <c r="P2" s="1" t="s">
        <v>2</v>
      </c>
      <c r="Q2" s="1" t="s">
        <v>3</v>
      </c>
      <c r="R2" s="1" t="s">
        <v>4</v>
      </c>
      <c r="S2" s="1" t="s">
        <v>5</v>
      </c>
      <c r="T2" s="1" t="s">
        <v>6</v>
      </c>
      <c r="U2" s="1" t="s">
        <v>7</v>
      </c>
      <c r="V2" s="1" t="s">
        <v>1</v>
      </c>
      <c r="W2" s="1" t="s">
        <v>0</v>
      </c>
      <c r="X2" s="1" t="s">
        <v>2</v>
      </c>
      <c r="Y2" s="1" t="s">
        <v>3</v>
      </c>
      <c r="Z2" s="1" t="s">
        <v>4</v>
      </c>
      <c r="AA2" s="1" t="s">
        <v>5</v>
      </c>
      <c r="AB2" s="1" t="s">
        <v>6</v>
      </c>
      <c r="AC2" s="1" t="s">
        <v>7</v>
      </c>
      <c r="AE2" s="1" t="s">
        <v>1</v>
      </c>
      <c r="AF2" s="1" t="s">
        <v>0</v>
      </c>
      <c r="AG2" s="1" t="s">
        <v>2</v>
      </c>
      <c r="AH2" s="1" t="s">
        <v>3</v>
      </c>
      <c r="AI2" s="1" t="s">
        <v>4</v>
      </c>
      <c r="AJ2" s="1" t="s">
        <v>5</v>
      </c>
      <c r="AK2" s="1" t="s">
        <v>6</v>
      </c>
      <c r="AL2" s="1" t="s">
        <v>7</v>
      </c>
      <c r="AM2" s="1" t="s">
        <v>1</v>
      </c>
      <c r="AN2" s="1" t="s">
        <v>0</v>
      </c>
      <c r="AO2" s="1" t="s">
        <v>2</v>
      </c>
      <c r="AP2" s="1" t="s">
        <v>3</v>
      </c>
      <c r="AQ2" s="1" t="s">
        <v>4</v>
      </c>
      <c r="AR2" s="1" t="s">
        <v>5</v>
      </c>
      <c r="AS2" s="1" t="s">
        <v>6</v>
      </c>
      <c r="AT2" s="1" t="s">
        <v>7</v>
      </c>
      <c r="AW2" t="s">
        <v>70</v>
      </c>
      <c r="AX2" s="21">
        <v>3</v>
      </c>
      <c r="AZ2" t="s">
        <v>319</v>
      </c>
      <c r="BA2" s="21">
        <v>8</v>
      </c>
      <c r="BC2" t="s">
        <v>158</v>
      </c>
      <c r="BD2" s="21">
        <v>1</v>
      </c>
    </row>
    <row r="3" spans="2:56" x14ac:dyDescent="0.25">
      <c r="E3">
        <v>4</v>
      </c>
      <c r="F3" t="s">
        <v>1148</v>
      </c>
      <c r="G3" t="s">
        <v>70</v>
      </c>
      <c r="H3" t="s">
        <v>24</v>
      </c>
      <c r="I3">
        <v>215</v>
      </c>
      <c r="J3">
        <v>26</v>
      </c>
      <c r="K3" t="s">
        <v>38</v>
      </c>
      <c r="L3" t="s">
        <v>136</v>
      </c>
      <c r="N3" s="22">
        <v>81</v>
      </c>
      <c r="O3" t="s">
        <v>1123</v>
      </c>
      <c r="P3" t="s">
        <v>57</v>
      </c>
      <c r="Q3" t="s">
        <v>29</v>
      </c>
      <c r="R3">
        <v>257</v>
      </c>
      <c r="S3">
        <v>22</v>
      </c>
      <c r="T3" t="s">
        <v>25</v>
      </c>
      <c r="U3" t="s">
        <v>17</v>
      </c>
      <c r="V3">
        <v>58</v>
      </c>
      <c r="W3" t="s">
        <v>1144</v>
      </c>
      <c r="X3" t="s">
        <v>319</v>
      </c>
      <c r="Y3" t="s">
        <v>29</v>
      </c>
      <c r="Z3">
        <v>266</v>
      </c>
      <c r="AA3">
        <v>23</v>
      </c>
      <c r="AB3" t="s">
        <v>25</v>
      </c>
      <c r="AC3" t="s">
        <v>187</v>
      </c>
      <c r="AE3">
        <v>20</v>
      </c>
      <c r="AF3" t="s">
        <v>1126</v>
      </c>
      <c r="AG3" t="s">
        <v>48</v>
      </c>
      <c r="AH3" t="s">
        <v>11</v>
      </c>
      <c r="AI3">
        <v>192</v>
      </c>
      <c r="AJ3">
        <v>22</v>
      </c>
      <c r="AK3" t="s">
        <v>30</v>
      </c>
      <c r="AL3" t="s">
        <v>302</v>
      </c>
      <c r="AM3">
        <v>47</v>
      </c>
      <c r="AN3" t="s">
        <v>1111</v>
      </c>
      <c r="AO3" t="s">
        <v>158</v>
      </c>
      <c r="AP3" t="s">
        <v>35</v>
      </c>
      <c r="AQ3">
        <v>248</v>
      </c>
      <c r="AR3">
        <v>32</v>
      </c>
      <c r="AS3" t="s">
        <v>21</v>
      </c>
      <c r="AT3" t="s">
        <v>3252</v>
      </c>
      <c r="AW3" t="s">
        <v>3250</v>
      </c>
      <c r="AX3" s="21">
        <v>3</v>
      </c>
      <c r="AZ3" t="s">
        <v>114</v>
      </c>
      <c r="BA3" s="21">
        <v>7</v>
      </c>
      <c r="BC3" t="s">
        <v>3250</v>
      </c>
      <c r="BD3" s="21">
        <v>1</v>
      </c>
    </row>
    <row r="4" spans="2:56" x14ac:dyDescent="0.25">
      <c r="E4">
        <v>7</v>
      </c>
      <c r="F4" t="s">
        <v>1078</v>
      </c>
      <c r="G4" t="s">
        <v>70</v>
      </c>
      <c r="H4" t="s">
        <v>35</v>
      </c>
      <c r="I4">
        <v>235</v>
      </c>
      <c r="J4">
        <v>29</v>
      </c>
      <c r="K4" t="s">
        <v>100</v>
      </c>
      <c r="L4" t="s">
        <v>106</v>
      </c>
      <c r="N4">
        <v>85</v>
      </c>
      <c r="O4" t="s">
        <v>1127</v>
      </c>
      <c r="P4" t="s">
        <v>57</v>
      </c>
      <c r="Q4" t="s">
        <v>35</v>
      </c>
      <c r="R4">
        <v>246</v>
      </c>
      <c r="S4">
        <v>26</v>
      </c>
      <c r="T4" t="s">
        <v>38</v>
      </c>
      <c r="U4" t="s">
        <v>385</v>
      </c>
      <c r="V4">
        <v>59</v>
      </c>
      <c r="W4" t="s">
        <v>1150</v>
      </c>
      <c r="X4" t="s">
        <v>319</v>
      </c>
      <c r="Y4" t="s">
        <v>24</v>
      </c>
      <c r="Z4">
        <v>265</v>
      </c>
      <c r="AA4">
        <v>23</v>
      </c>
      <c r="AB4" t="s">
        <v>30</v>
      </c>
      <c r="AC4" t="s">
        <v>330</v>
      </c>
      <c r="AE4">
        <v>21</v>
      </c>
      <c r="AF4" t="s">
        <v>1147</v>
      </c>
      <c r="AG4" t="s">
        <v>48</v>
      </c>
      <c r="AH4" t="s">
        <v>54</v>
      </c>
      <c r="AI4">
        <v>190</v>
      </c>
      <c r="AJ4">
        <v>25</v>
      </c>
      <c r="AK4" t="s">
        <v>45</v>
      </c>
      <c r="AL4" t="s">
        <v>36</v>
      </c>
      <c r="AZ4" t="s">
        <v>3250</v>
      </c>
      <c r="BA4" s="21">
        <v>15</v>
      </c>
    </row>
    <row r="5" spans="2:56" x14ac:dyDescent="0.25">
      <c r="E5">
        <v>15</v>
      </c>
      <c r="F5" t="s">
        <v>1089</v>
      </c>
      <c r="G5" t="s">
        <v>70</v>
      </c>
      <c r="H5" t="s">
        <v>44</v>
      </c>
      <c r="I5">
        <v>216</v>
      </c>
      <c r="J5">
        <v>27</v>
      </c>
      <c r="K5" t="s">
        <v>38</v>
      </c>
      <c r="L5" t="s">
        <v>104</v>
      </c>
      <c r="N5">
        <v>86</v>
      </c>
      <c r="O5" t="s">
        <v>1097</v>
      </c>
      <c r="P5" t="s">
        <v>57</v>
      </c>
      <c r="Q5" t="s">
        <v>29</v>
      </c>
      <c r="R5">
        <v>245</v>
      </c>
      <c r="S5">
        <v>24</v>
      </c>
      <c r="T5" t="s">
        <v>83</v>
      </c>
      <c r="U5" t="s">
        <v>233</v>
      </c>
      <c r="V5">
        <v>63</v>
      </c>
      <c r="W5" t="s">
        <v>1120</v>
      </c>
      <c r="X5" t="s">
        <v>114</v>
      </c>
      <c r="Y5" t="s">
        <v>44</v>
      </c>
      <c r="Z5">
        <v>298</v>
      </c>
      <c r="AA5">
        <v>24</v>
      </c>
      <c r="AB5" t="s">
        <v>25</v>
      </c>
      <c r="AC5" t="s">
        <v>267</v>
      </c>
      <c r="AE5">
        <v>22</v>
      </c>
      <c r="AF5" t="s">
        <v>1088</v>
      </c>
      <c r="AG5" t="s">
        <v>89</v>
      </c>
      <c r="AH5" t="s">
        <v>44</v>
      </c>
      <c r="AI5">
        <v>208</v>
      </c>
      <c r="AJ5">
        <v>23</v>
      </c>
      <c r="AK5" t="s">
        <v>12</v>
      </c>
      <c r="AL5" t="s">
        <v>267</v>
      </c>
      <c r="AW5" s="1" t="s">
        <v>2</v>
      </c>
      <c r="AX5" t="s">
        <v>3274</v>
      </c>
      <c r="BC5" s="1" t="s">
        <v>2</v>
      </c>
      <c r="BD5" t="s">
        <v>3274</v>
      </c>
    </row>
    <row r="6" spans="2:56" x14ac:dyDescent="0.25">
      <c r="K6"/>
      <c r="N6" s="22">
        <v>87</v>
      </c>
      <c r="O6" t="s">
        <v>1137</v>
      </c>
      <c r="P6" t="s">
        <v>57</v>
      </c>
      <c r="Q6" t="s">
        <v>67</v>
      </c>
      <c r="R6">
        <v>261</v>
      </c>
      <c r="S6">
        <v>25</v>
      </c>
      <c r="T6" t="s">
        <v>25</v>
      </c>
      <c r="U6" t="s">
        <v>101</v>
      </c>
      <c r="V6">
        <v>64</v>
      </c>
      <c r="W6" t="s">
        <v>1131</v>
      </c>
      <c r="X6" t="s">
        <v>114</v>
      </c>
      <c r="Y6" t="s">
        <v>52</v>
      </c>
      <c r="Z6">
        <v>304</v>
      </c>
      <c r="AA6">
        <v>24</v>
      </c>
      <c r="AB6" t="s">
        <v>25</v>
      </c>
      <c r="AC6" t="s">
        <v>176</v>
      </c>
      <c r="AE6">
        <v>23</v>
      </c>
      <c r="AF6" t="s">
        <v>1092</v>
      </c>
      <c r="AG6" t="s">
        <v>48</v>
      </c>
      <c r="AH6" t="s">
        <v>24</v>
      </c>
      <c r="AI6">
        <v>201</v>
      </c>
      <c r="AJ6">
        <v>21</v>
      </c>
      <c r="AK6" t="s">
        <v>25</v>
      </c>
      <c r="AL6" t="s">
        <v>558</v>
      </c>
      <c r="AW6" t="s">
        <v>91</v>
      </c>
      <c r="AX6" s="21">
        <v>1</v>
      </c>
      <c r="BC6" t="s">
        <v>193</v>
      </c>
      <c r="BD6" s="21">
        <v>2</v>
      </c>
    </row>
    <row r="7" spans="2:56" x14ac:dyDescent="0.25">
      <c r="F7" s="19"/>
      <c r="N7" s="22">
        <v>88</v>
      </c>
      <c r="O7" t="s">
        <v>1080</v>
      </c>
      <c r="P7" t="s">
        <v>57</v>
      </c>
      <c r="Q7" t="s">
        <v>29</v>
      </c>
      <c r="R7">
        <v>230</v>
      </c>
      <c r="S7">
        <v>24</v>
      </c>
      <c r="T7" t="s">
        <v>12</v>
      </c>
      <c r="U7" t="s">
        <v>17</v>
      </c>
      <c r="V7">
        <v>69</v>
      </c>
      <c r="W7" t="s">
        <v>1155</v>
      </c>
      <c r="X7" t="s">
        <v>319</v>
      </c>
      <c r="Y7" t="s">
        <v>44</v>
      </c>
      <c r="Z7">
        <v>250</v>
      </c>
      <c r="AA7">
        <v>27</v>
      </c>
      <c r="AB7" t="s">
        <v>16</v>
      </c>
      <c r="AC7" t="s">
        <v>98</v>
      </c>
      <c r="AE7">
        <v>26</v>
      </c>
      <c r="AF7" t="s">
        <v>1152</v>
      </c>
      <c r="AG7" t="s">
        <v>48</v>
      </c>
      <c r="AH7" t="s">
        <v>24</v>
      </c>
      <c r="AI7">
        <v>185</v>
      </c>
      <c r="AJ7">
        <v>24</v>
      </c>
      <c r="AK7" t="s">
        <v>16</v>
      </c>
      <c r="AL7" t="s">
        <v>267</v>
      </c>
      <c r="AM7" s="20" t="s">
        <v>3268</v>
      </c>
      <c r="AN7" s="20"/>
      <c r="AO7" s="20"/>
      <c r="AP7" s="20"/>
      <c r="AQ7" s="20"/>
      <c r="AR7" s="20"/>
      <c r="AS7" s="20"/>
      <c r="AT7" s="20"/>
      <c r="AU7" s="16"/>
      <c r="AW7" t="s">
        <v>51</v>
      </c>
      <c r="AX7" s="21">
        <v>6</v>
      </c>
      <c r="BC7" t="s">
        <v>3250</v>
      </c>
      <c r="BD7" s="21">
        <v>2</v>
      </c>
    </row>
    <row r="8" spans="2:56" x14ac:dyDescent="0.25">
      <c r="N8" s="22">
        <v>89</v>
      </c>
      <c r="O8" t="s">
        <v>1101</v>
      </c>
      <c r="P8" t="s">
        <v>57</v>
      </c>
      <c r="Q8" t="s">
        <v>29</v>
      </c>
      <c r="R8">
        <v>260</v>
      </c>
      <c r="S8">
        <v>25</v>
      </c>
      <c r="T8" t="s">
        <v>83</v>
      </c>
      <c r="U8" t="s">
        <v>128</v>
      </c>
      <c r="V8">
        <v>90</v>
      </c>
      <c r="W8" t="s">
        <v>1083</v>
      </c>
      <c r="X8" t="s">
        <v>319</v>
      </c>
      <c r="Y8" t="s">
        <v>29</v>
      </c>
      <c r="Z8">
        <v>255</v>
      </c>
      <c r="AA8">
        <v>29</v>
      </c>
      <c r="AB8" t="s">
        <v>64</v>
      </c>
      <c r="AC8" t="s">
        <v>115</v>
      </c>
      <c r="AE8">
        <v>29</v>
      </c>
      <c r="AF8" t="s">
        <v>1122</v>
      </c>
      <c r="AG8" t="s">
        <v>48</v>
      </c>
      <c r="AH8" t="s">
        <v>52</v>
      </c>
      <c r="AI8">
        <v>201</v>
      </c>
      <c r="AJ8">
        <v>24</v>
      </c>
      <c r="AK8" t="s">
        <v>30</v>
      </c>
      <c r="AL8" t="s">
        <v>17</v>
      </c>
      <c r="AM8" s="1" t="s">
        <v>1</v>
      </c>
      <c r="AN8" s="1" t="s">
        <v>0</v>
      </c>
      <c r="AO8" s="1" t="s">
        <v>2</v>
      </c>
      <c r="AP8" s="1" t="s">
        <v>3</v>
      </c>
      <c r="AQ8" s="1" t="s">
        <v>4</v>
      </c>
      <c r="AR8" s="1" t="s">
        <v>5</v>
      </c>
      <c r="AS8" s="1" t="s">
        <v>6</v>
      </c>
      <c r="AT8" s="1" t="s">
        <v>7</v>
      </c>
      <c r="AW8" t="s">
        <v>3250</v>
      </c>
      <c r="AX8" s="21">
        <v>7</v>
      </c>
    </row>
    <row r="9" spans="2:56" x14ac:dyDescent="0.25">
      <c r="E9" s="20" t="s">
        <v>3260</v>
      </c>
      <c r="F9" s="20"/>
      <c r="G9" s="20"/>
      <c r="H9" s="20"/>
      <c r="I9" s="20"/>
      <c r="J9" s="20"/>
      <c r="K9" s="20"/>
      <c r="L9" s="20"/>
      <c r="N9" s="22">
        <v>89</v>
      </c>
      <c r="O9" t="s">
        <v>4786</v>
      </c>
      <c r="P9" t="s">
        <v>57</v>
      </c>
      <c r="Q9" t="s">
        <v>29</v>
      </c>
      <c r="R9">
        <v>250</v>
      </c>
      <c r="S9">
        <v>26</v>
      </c>
      <c r="T9" t="s">
        <v>83</v>
      </c>
      <c r="U9" t="s">
        <v>4787</v>
      </c>
      <c r="V9">
        <v>91</v>
      </c>
      <c r="W9" t="s">
        <v>1149</v>
      </c>
      <c r="X9" t="s">
        <v>319</v>
      </c>
      <c r="Y9" t="s">
        <v>29</v>
      </c>
      <c r="Z9">
        <v>265</v>
      </c>
      <c r="AA9">
        <v>28</v>
      </c>
      <c r="AB9" t="s">
        <v>100</v>
      </c>
      <c r="AC9" t="s">
        <v>46</v>
      </c>
      <c r="AE9">
        <v>31</v>
      </c>
      <c r="AF9" t="s">
        <v>1135</v>
      </c>
      <c r="AG9" t="s">
        <v>48</v>
      </c>
      <c r="AH9" t="s">
        <v>52</v>
      </c>
      <c r="AI9">
        <v>200</v>
      </c>
      <c r="AJ9">
        <v>25</v>
      </c>
      <c r="AK9" t="s">
        <v>12</v>
      </c>
      <c r="AL9" t="s">
        <v>352</v>
      </c>
      <c r="AM9" s="22">
        <v>8</v>
      </c>
      <c r="AN9" s="22" t="s">
        <v>1081</v>
      </c>
      <c r="AO9" s="22" t="s">
        <v>193</v>
      </c>
      <c r="AP9" s="22" t="s">
        <v>29</v>
      </c>
      <c r="AQ9" s="22">
        <v>190</v>
      </c>
      <c r="AR9" s="22">
        <v>25</v>
      </c>
      <c r="AS9" s="22" t="s">
        <v>12</v>
      </c>
      <c r="AT9" s="22" t="s">
        <v>115</v>
      </c>
      <c r="BC9" s="1" t="s">
        <v>2</v>
      </c>
      <c r="BD9" t="s">
        <v>3274</v>
      </c>
    </row>
    <row r="10" spans="2:56" x14ac:dyDescent="0.25">
      <c r="E10" s="1" t="s">
        <v>1</v>
      </c>
      <c r="F10" s="1" t="s">
        <v>0</v>
      </c>
      <c r="G10" s="1" t="s">
        <v>2</v>
      </c>
      <c r="H10" s="1" t="s">
        <v>3</v>
      </c>
      <c r="I10" s="1" t="s">
        <v>4</v>
      </c>
      <c r="J10" s="1" t="s">
        <v>5</v>
      </c>
      <c r="K10" s="18" t="s">
        <v>6</v>
      </c>
      <c r="L10" s="1" t="s">
        <v>7</v>
      </c>
      <c r="V10">
        <v>92</v>
      </c>
      <c r="W10" t="s">
        <v>1086</v>
      </c>
      <c r="X10" t="s">
        <v>114</v>
      </c>
      <c r="Y10" t="s">
        <v>52</v>
      </c>
      <c r="Z10">
        <v>293</v>
      </c>
      <c r="AA10">
        <v>28</v>
      </c>
      <c r="AB10" t="s">
        <v>100</v>
      </c>
      <c r="AC10" t="s">
        <v>31</v>
      </c>
      <c r="AE10">
        <v>33</v>
      </c>
      <c r="AF10" t="s">
        <v>1106</v>
      </c>
      <c r="AG10" t="s">
        <v>89</v>
      </c>
      <c r="AH10" t="s">
        <v>44</v>
      </c>
      <c r="AI10">
        <v>214</v>
      </c>
      <c r="AJ10">
        <v>25</v>
      </c>
      <c r="AK10" t="s">
        <v>45</v>
      </c>
      <c r="AL10" t="s">
        <v>233</v>
      </c>
      <c r="AM10" s="22">
        <v>13</v>
      </c>
      <c r="AN10" s="22" t="s">
        <v>1075</v>
      </c>
      <c r="AO10" t="s">
        <v>193</v>
      </c>
      <c r="AP10" s="22" t="s">
        <v>11</v>
      </c>
      <c r="AQ10" s="22">
        <v>208</v>
      </c>
      <c r="AR10">
        <v>25</v>
      </c>
      <c r="AS10" s="22" t="s">
        <v>45</v>
      </c>
      <c r="AT10" s="22" t="s">
        <v>1076</v>
      </c>
      <c r="AZ10" s="1" t="s">
        <v>2</v>
      </c>
      <c r="BA10" t="s">
        <v>3274</v>
      </c>
      <c r="BC10" t="s">
        <v>76</v>
      </c>
      <c r="BD10" s="21">
        <v>1</v>
      </c>
    </row>
    <row r="11" spans="2:56" x14ac:dyDescent="0.25">
      <c r="E11">
        <v>24</v>
      </c>
      <c r="F11" t="s">
        <v>1082</v>
      </c>
      <c r="G11" t="s">
        <v>51</v>
      </c>
      <c r="H11" t="s">
        <v>54</v>
      </c>
      <c r="I11">
        <v>227</v>
      </c>
      <c r="J11">
        <v>26</v>
      </c>
      <c r="K11" t="s">
        <v>45</v>
      </c>
      <c r="L11" t="s">
        <v>196</v>
      </c>
      <c r="V11">
        <v>93</v>
      </c>
      <c r="W11" t="s">
        <v>1145</v>
      </c>
      <c r="X11" t="s">
        <v>114</v>
      </c>
      <c r="Y11" t="s">
        <v>24</v>
      </c>
      <c r="Z11">
        <v>296</v>
      </c>
      <c r="AA11">
        <v>22</v>
      </c>
      <c r="AB11" t="s">
        <v>30</v>
      </c>
      <c r="AC11" t="s">
        <v>36</v>
      </c>
      <c r="AE11">
        <v>36</v>
      </c>
      <c r="AF11" t="s">
        <v>1118</v>
      </c>
      <c r="AG11" t="s">
        <v>89</v>
      </c>
      <c r="AH11" t="s">
        <v>24</v>
      </c>
      <c r="AI11">
        <v>195</v>
      </c>
      <c r="AJ11">
        <v>25</v>
      </c>
      <c r="AK11" t="s">
        <v>83</v>
      </c>
      <c r="AL11" t="s">
        <v>849</v>
      </c>
      <c r="AZ11" t="s">
        <v>15</v>
      </c>
      <c r="BA11" s="21">
        <v>8</v>
      </c>
      <c r="BC11" t="s">
        <v>3250</v>
      </c>
      <c r="BD11" s="21">
        <v>1</v>
      </c>
    </row>
    <row r="12" spans="2:56" x14ac:dyDescent="0.25">
      <c r="E12">
        <v>25</v>
      </c>
      <c r="F12" t="s">
        <v>1093</v>
      </c>
      <c r="G12" t="s">
        <v>51</v>
      </c>
      <c r="H12" t="s">
        <v>135</v>
      </c>
      <c r="I12">
        <v>189</v>
      </c>
      <c r="J12">
        <v>24</v>
      </c>
      <c r="K12" t="s">
        <v>30</v>
      </c>
      <c r="L12" t="s">
        <v>39</v>
      </c>
      <c r="N12" s="20" t="s">
        <v>3263</v>
      </c>
      <c r="O12" s="20"/>
      <c r="P12" s="20"/>
      <c r="Q12" s="20"/>
      <c r="R12" s="20"/>
      <c r="S12" s="20"/>
      <c r="T12" s="20"/>
      <c r="U12" s="20"/>
      <c r="V12">
        <v>94</v>
      </c>
      <c r="W12" t="s">
        <v>1157</v>
      </c>
      <c r="X12" t="s">
        <v>319</v>
      </c>
      <c r="Y12" t="s">
        <v>29</v>
      </c>
      <c r="Z12">
        <v>267</v>
      </c>
      <c r="AA12">
        <v>21</v>
      </c>
      <c r="AB12" t="s">
        <v>25</v>
      </c>
      <c r="AC12" t="s">
        <v>308</v>
      </c>
      <c r="AE12">
        <v>37</v>
      </c>
      <c r="AF12" t="s">
        <v>1070</v>
      </c>
      <c r="AG12" t="s">
        <v>89</v>
      </c>
      <c r="AH12" t="s">
        <v>52</v>
      </c>
      <c r="AI12">
        <v>211</v>
      </c>
      <c r="AJ12">
        <v>25</v>
      </c>
      <c r="AK12" t="s">
        <v>25</v>
      </c>
      <c r="AL12" t="s">
        <v>1071</v>
      </c>
      <c r="AZ12" t="s">
        <v>3250</v>
      </c>
      <c r="BA12" s="21">
        <v>8</v>
      </c>
    </row>
    <row r="13" spans="2:56" x14ac:dyDescent="0.25">
      <c r="E13">
        <v>27</v>
      </c>
      <c r="F13" t="s">
        <v>1112</v>
      </c>
      <c r="G13" t="s">
        <v>51</v>
      </c>
      <c r="H13" t="s">
        <v>54</v>
      </c>
      <c r="I13">
        <v>216</v>
      </c>
      <c r="J13">
        <v>26</v>
      </c>
      <c r="K13" t="s">
        <v>38</v>
      </c>
      <c r="L13" t="s">
        <v>93</v>
      </c>
      <c r="N13" s="1" t="s">
        <v>1</v>
      </c>
      <c r="O13" s="1" t="s">
        <v>0</v>
      </c>
      <c r="P13" s="1" t="s">
        <v>2</v>
      </c>
      <c r="Q13" s="1" t="s">
        <v>3</v>
      </c>
      <c r="R13" s="1" t="s">
        <v>4</v>
      </c>
      <c r="S13" s="1" t="s">
        <v>5</v>
      </c>
      <c r="T13" s="1" t="s">
        <v>6</v>
      </c>
      <c r="U13" s="1" t="s">
        <v>7</v>
      </c>
      <c r="V13">
        <v>95</v>
      </c>
      <c r="W13" t="s">
        <v>1099</v>
      </c>
      <c r="X13" t="s">
        <v>319</v>
      </c>
      <c r="Y13" t="s">
        <v>35</v>
      </c>
      <c r="Z13">
        <v>272</v>
      </c>
      <c r="AA13">
        <v>26</v>
      </c>
      <c r="AB13" t="s">
        <v>38</v>
      </c>
      <c r="AC13" t="s">
        <v>152</v>
      </c>
      <c r="AE13">
        <v>38</v>
      </c>
      <c r="AF13" t="s">
        <v>368</v>
      </c>
      <c r="AG13" t="s">
        <v>48</v>
      </c>
      <c r="AH13" t="s">
        <v>24</v>
      </c>
      <c r="AI13">
        <v>198</v>
      </c>
      <c r="AJ13">
        <v>24</v>
      </c>
      <c r="AK13" t="s">
        <v>30</v>
      </c>
      <c r="AL13" t="s">
        <v>130</v>
      </c>
      <c r="AM13" s="20" t="s">
        <v>3269</v>
      </c>
      <c r="AN13" s="20"/>
      <c r="AO13" s="20"/>
      <c r="AP13" s="20"/>
      <c r="AQ13" s="20"/>
      <c r="AR13" s="20"/>
      <c r="AS13" s="20"/>
      <c r="AT13" s="20"/>
      <c r="AU13" s="16"/>
      <c r="AW13" s="1" t="s">
        <v>2</v>
      </c>
      <c r="AX13" t="s">
        <v>3274</v>
      </c>
    </row>
    <row r="14" spans="2:56" x14ac:dyDescent="0.25">
      <c r="E14">
        <v>30</v>
      </c>
      <c r="F14" t="s">
        <v>1113</v>
      </c>
      <c r="G14" t="s">
        <v>51</v>
      </c>
      <c r="H14" t="s">
        <v>125</v>
      </c>
      <c r="I14">
        <v>208</v>
      </c>
      <c r="J14">
        <v>26</v>
      </c>
      <c r="K14" t="s">
        <v>16</v>
      </c>
      <c r="L14" t="s">
        <v>522</v>
      </c>
      <c r="N14" s="22">
        <v>52</v>
      </c>
      <c r="O14" t="s">
        <v>1087</v>
      </c>
      <c r="P14" t="s">
        <v>277</v>
      </c>
      <c r="Q14" t="s">
        <v>29</v>
      </c>
      <c r="R14">
        <v>306</v>
      </c>
      <c r="S14">
        <v>23</v>
      </c>
      <c r="T14" t="s">
        <v>25</v>
      </c>
      <c r="U14" t="s">
        <v>101</v>
      </c>
      <c r="V14">
        <v>96</v>
      </c>
      <c r="W14" t="s">
        <v>1091</v>
      </c>
      <c r="X14" t="s">
        <v>114</v>
      </c>
      <c r="Y14" t="s">
        <v>35</v>
      </c>
      <c r="Z14">
        <v>303</v>
      </c>
      <c r="AA14">
        <v>24</v>
      </c>
      <c r="AB14" t="s">
        <v>12</v>
      </c>
      <c r="AC14" t="s">
        <v>335</v>
      </c>
      <c r="AE14">
        <v>39</v>
      </c>
      <c r="AF14" t="s">
        <v>1119</v>
      </c>
      <c r="AG14" t="s">
        <v>89</v>
      </c>
      <c r="AH14" t="s">
        <v>54</v>
      </c>
      <c r="AI14">
        <v>196</v>
      </c>
      <c r="AJ14">
        <v>23</v>
      </c>
      <c r="AK14" t="s">
        <v>30</v>
      </c>
      <c r="AL14" t="s">
        <v>196</v>
      </c>
      <c r="AM14" s="1" t="s">
        <v>1</v>
      </c>
      <c r="AN14" s="1" t="s">
        <v>0</v>
      </c>
      <c r="AO14" s="1" t="s">
        <v>2</v>
      </c>
      <c r="AP14" s="1" t="s">
        <v>3</v>
      </c>
      <c r="AQ14" s="1" t="s">
        <v>4</v>
      </c>
      <c r="AR14" s="1" t="s">
        <v>5</v>
      </c>
      <c r="AS14" s="1" t="s">
        <v>6</v>
      </c>
      <c r="AT14" s="1" t="s">
        <v>7</v>
      </c>
      <c r="AW14" t="s">
        <v>10</v>
      </c>
      <c r="AX14" s="21">
        <v>11</v>
      </c>
    </row>
    <row r="15" spans="2:56" x14ac:dyDescent="0.25">
      <c r="E15">
        <v>34</v>
      </c>
      <c r="F15" t="s">
        <v>1096</v>
      </c>
      <c r="G15" t="s">
        <v>51</v>
      </c>
      <c r="H15" t="s">
        <v>125</v>
      </c>
      <c r="I15">
        <v>210</v>
      </c>
      <c r="J15">
        <v>22</v>
      </c>
      <c r="K15" t="s">
        <v>25</v>
      </c>
      <c r="L15" t="s">
        <v>304</v>
      </c>
      <c r="N15">
        <v>53</v>
      </c>
      <c r="O15" t="s">
        <v>1104</v>
      </c>
      <c r="P15" t="s">
        <v>184</v>
      </c>
      <c r="Q15" t="s">
        <v>52</v>
      </c>
      <c r="R15">
        <v>293</v>
      </c>
      <c r="S15">
        <v>23</v>
      </c>
      <c r="T15" t="s">
        <v>12</v>
      </c>
      <c r="U15" t="s">
        <v>274</v>
      </c>
      <c r="V15">
        <v>97</v>
      </c>
      <c r="W15" t="s">
        <v>1159</v>
      </c>
      <c r="X15" t="s">
        <v>114</v>
      </c>
      <c r="Y15" t="s">
        <v>35</v>
      </c>
      <c r="Z15">
        <v>290</v>
      </c>
      <c r="AA15">
        <v>21</v>
      </c>
      <c r="AB15" t="s">
        <v>25</v>
      </c>
      <c r="AC15" t="s">
        <v>187</v>
      </c>
      <c r="AE15">
        <v>43</v>
      </c>
      <c r="AF15" t="s">
        <v>1114</v>
      </c>
      <c r="AG15" t="s">
        <v>89</v>
      </c>
      <c r="AH15" t="s">
        <v>11</v>
      </c>
      <c r="AI15">
        <v>209</v>
      </c>
      <c r="AJ15">
        <v>26</v>
      </c>
      <c r="AK15" t="s">
        <v>38</v>
      </c>
      <c r="AL15" t="s">
        <v>278</v>
      </c>
      <c r="AM15" s="22">
        <v>3</v>
      </c>
      <c r="AN15" s="22" t="s">
        <v>1158</v>
      </c>
      <c r="AO15" s="22" t="s">
        <v>76</v>
      </c>
      <c r="AP15" s="22" t="s">
        <v>52</v>
      </c>
      <c r="AQ15" s="22">
        <v>206</v>
      </c>
      <c r="AR15" s="22">
        <v>21</v>
      </c>
      <c r="AS15" s="22" t="s">
        <v>25</v>
      </c>
      <c r="AT15" s="22" t="s">
        <v>267</v>
      </c>
      <c r="AW15" t="s">
        <v>3250</v>
      </c>
      <c r="AX15" s="21">
        <v>11</v>
      </c>
    </row>
    <row r="16" spans="2:56" x14ac:dyDescent="0.25">
      <c r="B16" s="8" t="s">
        <v>3280</v>
      </c>
      <c r="C16" s="8" t="s">
        <v>3281</v>
      </c>
      <c r="D16" s="8" t="s">
        <v>3282</v>
      </c>
      <c r="E16">
        <v>40</v>
      </c>
      <c r="F16" t="s">
        <v>1139</v>
      </c>
      <c r="G16" t="s">
        <v>91</v>
      </c>
      <c r="H16" t="s">
        <v>24</v>
      </c>
      <c r="I16">
        <v>240</v>
      </c>
      <c r="J16">
        <v>27</v>
      </c>
      <c r="K16" t="s">
        <v>30</v>
      </c>
      <c r="L16" t="s">
        <v>1140</v>
      </c>
      <c r="N16">
        <v>55</v>
      </c>
      <c r="O16" t="s">
        <v>1134</v>
      </c>
      <c r="P16" t="s">
        <v>184</v>
      </c>
      <c r="Q16" t="s">
        <v>67</v>
      </c>
      <c r="R16">
        <v>309</v>
      </c>
      <c r="S16">
        <v>26</v>
      </c>
      <c r="T16" t="s">
        <v>38</v>
      </c>
      <c r="U16" t="s">
        <v>267</v>
      </c>
      <c r="V16">
        <v>98</v>
      </c>
      <c r="W16" t="s">
        <v>1136</v>
      </c>
      <c r="X16" t="s">
        <v>319</v>
      </c>
      <c r="Y16" t="s">
        <v>44</v>
      </c>
      <c r="Z16">
        <v>280</v>
      </c>
      <c r="AA16">
        <v>27</v>
      </c>
      <c r="AB16" t="s">
        <v>45</v>
      </c>
      <c r="AC16" t="s">
        <v>31</v>
      </c>
      <c r="AE16">
        <v>48</v>
      </c>
      <c r="AF16" t="s">
        <v>1125</v>
      </c>
      <c r="AG16" t="s">
        <v>48</v>
      </c>
      <c r="AH16" t="s">
        <v>11</v>
      </c>
      <c r="AI16">
        <v>180</v>
      </c>
      <c r="AJ16">
        <v>24</v>
      </c>
      <c r="AK16" t="s">
        <v>30</v>
      </c>
      <c r="AL16" t="s">
        <v>187</v>
      </c>
    </row>
    <row r="17" spans="1:250" s="7" customFormat="1" ht="15" customHeight="1" x14ac:dyDescent="0.25">
      <c r="A17" s="11" t="s">
        <v>3275</v>
      </c>
      <c r="B17" s="12">
        <f>SUM(B18,B24,B28)</f>
        <v>89</v>
      </c>
      <c r="C17" s="12">
        <f>SUM(C18,C24,C28)</f>
        <v>53</v>
      </c>
      <c r="D17" s="12">
        <f>B17-C17</f>
        <v>36</v>
      </c>
      <c r="E17">
        <v>41</v>
      </c>
      <c r="F17" t="s">
        <v>1116</v>
      </c>
      <c r="G17" t="s">
        <v>51</v>
      </c>
      <c r="H17" t="s">
        <v>125</v>
      </c>
      <c r="I17">
        <v>208</v>
      </c>
      <c r="J17">
        <v>25</v>
      </c>
      <c r="K17" t="s">
        <v>30</v>
      </c>
      <c r="L17" t="s">
        <v>104</v>
      </c>
      <c r="N17" s="22">
        <v>57</v>
      </c>
      <c r="O17" t="s">
        <v>1108</v>
      </c>
      <c r="P17" t="s">
        <v>184</v>
      </c>
      <c r="Q17" t="s">
        <v>35</v>
      </c>
      <c r="R17">
        <v>302</v>
      </c>
      <c r="S17">
        <v>23</v>
      </c>
      <c r="T17" t="s">
        <v>25</v>
      </c>
      <c r="U17" t="s">
        <v>357</v>
      </c>
      <c r="V17">
        <v>99</v>
      </c>
      <c r="W17" t="s">
        <v>1079</v>
      </c>
      <c r="X17" t="s">
        <v>114</v>
      </c>
      <c r="Y17" t="s">
        <v>35</v>
      </c>
      <c r="Z17">
        <v>291</v>
      </c>
      <c r="AA17">
        <v>26</v>
      </c>
      <c r="AB17" t="s">
        <v>45</v>
      </c>
      <c r="AC17" t="s">
        <v>251</v>
      </c>
      <c r="AE17">
        <v>49</v>
      </c>
      <c r="AF17" t="s">
        <v>1121</v>
      </c>
      <c r="AG17" t="s">
        <v>89</v>
      </c>
      <c r="AH17" t="s">
        <v>54</v>
      </c>
      <c r="AI17">
        <v>189</v>
      </c>
      <c r="AJ17">
        <v>25</v>
      </c>
      <c r="AK17" t="s">
        <v>83</v>
      </c>
      <c r="AL17" t="s">
        <v>39</v>
      </c>
      <c r="AM17"/>
      <c r="AN17"/>
      <c r="AO17"/>
      <c r="AP17"/>
      <c r="AQ17"/>
      <c r="AR17"/>
      <c r="AS17"/>
      <c r="AT17"/>
      <c r="AW17"/>
      <c r="AX17"/>
      <c r="AY17"/>
      <c r="AZ17"/>
      <c r="BA17"/>
      <c r="BB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row>
    <row r="18" spans="1:250" ht="15.75" x14ac:dyDescent="0.25">
      <c r="A18" s="9" t="s">
        <v>3276</v>
      </c>
      <c r="B18" s="10">
        <f>SUM(B19:B23)</f>
        <v>46</v>
      </c>
      <c r="C18" s="10">
        <f>SUM(C19:C23)</f>
        <v>25</v>
      </c>
      <c r="D18" s="10">
        <f>B18-C18</f>
        <v>21</v>
      </c>
      <c r="K18"/>
      <c r="N18">
        <v>60</v>
      </c>
      <c r="O18" t="s">
        <v>1124</v>
      </c>
      <c r="P18" t="s">
        <v>277</v>
      </c>
      <c r="Q18" t="s">
        <v>24</v>
      </c>
      <c r="R18">
        <v>320</v>
      </c>
      <c r="S18">
        <v>24</v>
      </c>
      <c r="T18" t="s">
        <v>83</v>
      </c>
      <c r="U18" t="s">
        <v>1045</v>
      </c>
      <c r="AE18">
        <v>49</v>
      </c>
      <c r="AF18" t="s">
        <v>1115</v>
      </c>
      <c r="AG18" t="s">
        <v>48</v>
      </c>
      <c r="AH18" t="s">
        <v>135</v>
      </c>
      <c r="AI18">
        <v>180</v>
      </c>
      <c r="AJ18">
        <v>23</v>
      </c>
      <c r="AK18" t="s">
        <v>25</v>
      </c>
      <c r="AL18" t="s">
        <v>243</v>
      </c>
    </row>
    <row r="19" spans="1:250" ht="15.75" x14ac:dyDescent="0.25">
      <c r="A19" s="4" t="s">
        <v>3259</v>
      </c>
      <c r="B19" s="3">
        <f>GETPIVOTDATA("Pos",$AW$1)</f>
        <v>3</v>
      </c>
      <c r="C19" s="3">
        <f>3</f>
        <v>3</v>
      </c>
      <c r="D19" s="3">
        <f>B19-C19</f>
        <v>0</v>
      </c>
      <c r="K19"/>
      <c r="N19" s="22">
        <v>62</v>
      </c>
      <c r="O19" t="s">
        <v>1102</v>
      </c>
      <c r="P19" t="s">
        <v>277</v>
      </c>
      <c r="Q19" t="s">
        <v>67</v>
      </c>
      <c r="R19">
        <v>310</v>
      </c>
      <c r="S19">
        <v>26</v>
      </c>
      <c r="T19" t="s">
        <v>30</v>
      </c>
      <c r="U19" t="s">
        <v>302</v>
      </c>
      <c r="AW19" s="1" t="s">
        <v>2</v>
      </c>
      <c r="AX19" t="s">
        <v>3274</v>
      </c>
      <c r="AZ19" s="1" t="s">
        <v>2</v>
      </c>
      <c r="BA19" t="s">
        <v>3274</v>
      </c>
    </row>
    <row r="20" spans="1:250" ht="15.75" x14ac:dyDescent="0.25">
      <c r="A20" s="4" t="s">
        <v>3279</v>
      </c>
      <c r="B20" s="3">
        <f>GETPIVOTDATA("Pos",$AW$5)</f>
        <v>7</v>
      </c>
      <c r="C20" s="3">
        <v>4</v>
      </c>
      <c r="D20" s="3">
        <f t="shared" ref="D20:D23" si="0">B20-C20</f>
        <v>3</v>
      </c>
      <c r="E20" s="20" t="s">
        <v>3261</v>
      </c>
      <c r="F20" s="20"/>
      <c r="G20" s="20"/>
      <c r="H20" s="20"/>
      <c r="I20" s="20"/>
      <c r="J20" s="20"/>
      <c r="K20" s="20"/>
      <c r="L20" s="20"/>
      <c r="N20" s="22">
        <v>65</v>
      </c>
      <c r="O20" t="s">
        <v>1128</v>
      </c>
      <c r="P20" t="s">
        <v>140</v>
      </c>
      <c r="Q20" t="s">
        <v>52</v>
      </c>
      <c r="R20">
        <v>328</v>
      </c>
      <c r="S20">
        <v>27</v>
      </c>
      <c r="T20" t="s">
        <v>83</v>
      </c>
      <c r="U20" t="s">
        <v>93</v>
      </c>
      <c r="V20" s="20" t="s">
        <v>3265</v>
      </c>
      <c r="W20" s="20"/>
      <c r="X20" s="20"/>
      <c r="Y20" s="20"/>
      <c r="Z20" s="20"/>
      <c r="AA20" s="20"/>
      <c r="AB20" s="20"/>
      <c r="AC20" s="20"/>
      <c r="AW20" t="s">
        <v>57</v>
      </c>
      <c r="AX20" s="21">
        <v>7</v>
      </c>
      <c r="AZ20" t="s">
        <v>48</v>
      </c>
      <c r="BA20" s="21">
        <v>9</v>
      </c>
    </row>
    <row r="21" spans="1:250" ht="15.75" x14ac:dyDescent="0.25">
      <c r="A21" s="4" t="s">
        <v>3261</v>
      </c>
      <c r="B21" s="3">
        <f>GETPIVOTDATA("Pos",$AW$13)</f>
        <v>11</v>
      </c>
      <c r="C21" s="3">
        <v>7</v>
      </c>
      <c r="D21" s="3">
        <f t="shared" si="0"/>
        <v>4</v>
      </c>
      <c r="E21" s="1" t="s">
        <v>1</v>
      </c>
      <c r="F21" s="1" t="s">
        <v>0</v>
      </c>
      <c r="G21" s="1" t="s">
        <v>2</v>
      </c>
      <c r="H21" s="1" t="s">
        <v>3</v>
      </c>
      <c r="I21" s="1" t="s">
        <v>4</v>
      </c>
      <c r="J21" s="1" t="s">
        <v>5</v>
      </c>
      <c r="K21" s="18" t="s">
        <v>6</v>
      </c>
      <c r="L21" s="1" t="s">
        <v>7</v>
      </c>
      <c r="N21" s="22">
        <v>66</v>
      </c>
      <c r="O21" t="s">
        <v>1110</v>
      </c>
      <c r="P21" t="s">
        <v>140</v>
      </c>
      <c r="Q21" t="s">
        <v>29</v>
      </c>
      <c r="R21">
        <v>313</v>
      </c>
      <c r="S21">
        <v>23</v>
      </c>
      <c r="T21" t="s">
        <v>30</v>
      </c>
      <c r="U21" t="s">
        <v>304</v>
      </c>
      <c r="V21" s="1" t="s">
        <v>1</v>
      </c>
      <c r="W21" s="1" t="s">
        <v>0</v>
      </c>
      <c r="X21" s="1" t="s">
        <v>2</v>
      </c>
      <c r="Y21" s="1" t="s">
        <v>3</v>
      </c>
      <c r="Z21" s="1" t="s">
        <v>4</v>
      </c>
      <c r="AA21" s="1" t="s">
        <v>5</v>
      </c>
      <c r="AB21" s="1" t="s">
        <v>6</v>
      </c>
      <c r="AC21" s="1" t="s">
        <v>7</v>
      </c>
      <c r="AW21" t="s">
        <v>3250</v>
      </c>
      <c r="AX21" s="21">
        <v>7</v>
      </c>
      <c r="AZ21" t="s">
        <v>89</v>
      </c>
      <c r="BA21" s="21">
        <v>7</v>
      </c>
    </row>
    <row r="22" spans="1:250" ht="15.75" x14ac:dyDescent="0.25">
      <c r="A22" s="4" t="s">
        <v>3262</v>
      </c>
      <c r="B22" s="3">
        <f>GETPIVOTDATA("Pos",$AW$19)</f>
        <v>7</v>
      </c>
      <c r="C22" s="3">
        <v>3</v>
      </c>
      <c r="D22" s="3">
        <f t="shared" si="0"/>
        <v>4</v>
      </c>
      <c r="E22">
        <v>2</v>
      </c>
      <c r="F22" t="s">
        <v>1085</v>
      </c>
      <c r="G22" t="s">
        <v>10</v>
      </c>
      <c r="H22" t="s">
        <v>52</v>
      </c>
      <c r="I22">
        <v>210</v>
      </c>
      <c r="J22">
        <v>28</v>
      </c>
      <c r="K22" t="s">
        <v>21</v>
      </c>
      <c r="L22" t="s">
        <v>233</v>
      </c>
      <c r="N22" s="22">
        <v>67</v>
      </c>
      <c r="O22" t="s">
        <v>1132</v>
      </c>
      <c r="P22" t="s">
        <v>140</v>
      </c>
      <c r="Q22" t="s">
        <v>29</v>
      </c>
      <c r="R22">
        <v>316</v>
      </c>
      <c r="S22">
        <v>23</v>
      </c>
      <c r="T22" t="s">
        <v>25</v>
      </c>
      <c r="U22" t="s">
        <v>278</v>
      </c>
      <c r="V22">
        <v>5</v>
      </c>
      <c r="W22" t="s">
        <v>1146</v>
      </c>
      <c r="X22" t="s">
        <v>15</v>
      </c>
      <c r="Y22" t="s">
        <v>52</v>
      </c>
      <c r="Z22">
        <v>235</v>
      </c>
      <c r="AA22">
        <v>26</v>
      </c>
      <c r="AB22" t="s">
        <v>38</v>
      </c>
      <c r="AC22" t="s">
        <v>302</v>
      </c>
      <c r="AZ22" t="s">
        <v>3250</v>
      </c>
      <c r="BA22" s="21">
        <v>16</v>
      </c>
    </row>
    <row r="23" spans="1:250" ht="15.75" x14ac:dyDescent="0.25">
      <c r="A23" s="5" t="s">
        <v>3263</v>
      </c>
      <c r="B23" s="6">
        <f>GETPIVOTDATA("Pos",$AW$24)</f>
        <v>18</v>
      </c>
      <c r="C23" s="6">
        <v>8</v>
      </c>
      <c r="D23" s="6">
        <f t="shared" si="0"/>
        <v>10</v>
      </c>
      <c r="E23">
        <v>9</v>
      </c>
      <c r="F23" t="s">
        <v>1100</v>
      </c>
      <c r="G23" t="s">
        <v>10</v>
      </c>
      <c r="H23" t="s">
        <v>362</v>
      </c>
      <c r="I23">
        <v>172</v>
      </c>
      <c r="J23">
        <v>29</v>
      </c>
      <c r="K23" t="s">
        <v>100</v>
      </c>
      <c r="L23" t="s">
        <v>101</v>
      </c>
      <c r="N23">
        <v>68</v>
      </c>
      <c r="O23" t="s">
        <v>1090</v>
      </c>
      <c r="P23" t="s">
        <v>277</v>
      </c>
      <c r="Q23" t="s">
        <v>29</v>
      </c>
      <c r="R23">
        <v>315</v>
      </c>
      <c r="S23">
        <v>27</v>
      </c>
      <c r="T23" t="s">
        <v>12</v>
      </c>
      <c r="U23" t="s">
        <v>481</v>
      </c>
      <c r="V23">
        <v>28</v>
      </c>
      <c r="W23" t="s">
        <v>1129</v>
      </c>
      <c r="X23" t="s">
        <v>15</v>
      </c>
      <c r="Y23" t="s">
        <v>24</v>
      </c>
      <c r="Z23">
        <v>221</v>
      </c>
      <c r="AA23">
        <v>22</v>
      </c>
      <c r="AB23" t="s">
        <v>30</v>
      </c>
      <c r="AC23" t="s">
        <v>31</v>
      </c>
    </row>
    <row r="24" spans="1:250" ht="15.75" x14ac:dyDescent="0.25">
      <c r="A24" s="9" t="s">
        <v>3277</v>
      </c>
      <c r="B24" s="10">
        <f>SUM(B25:B27)</f>
        <v>39</v>
      </c>
      <c r="C24" s="10">
        <f>SUM(C25:C27)</f>
        <v>25</v>
      </c>
      <c r="D24" s="10">
        <f>B24-C24</f>
        <v>14</v>
      </c>
      <c r="E24">
        <v>10</v>
      </c>
      <c r="F24" t="s">
        <v>1138</v>
      </c>
      <c r="G24" t="s">
        <v>10</v>
      </c>
      <c r="H24" t="s">
        <v>11</v>
      </c>
      <c r="I24">
        <v>186</v>
      </c>
      <c r="J24">
        <v>21</v>
      </c>
      <c r="K24" t="s">
        <v>30</v>
      </c>
      <c r="L24" t="s">
        <v>65</v>
      </c>
      <c r="N24" s="22">
        <v>70</v>
      </c>
      <c r="O24" t="s">
        <v>1142</v>
      </c>
      <c r="P24" t="s">
        <v>140</v>
      </c>
      <c r="Q24" t="s">
        <v>141</v>
      </c>
      <c r="R24">
        <v>301</v>
      </c>
      <c r="S24">
        <v>25</v>
      </c>
      <c r="T24" t="s">
        <v>30</v>
      </c>
      <c r="U24" t="s">
        <v>372</v>
      </c>
      <c r="V24">
        <v>42</v>
      </c>
      <c r="W24" t="s">
        <v>1094</v>
      </c>
      <c r="X24" t="s">
        <v>15</v>
      </c>
      <c r="Y24" t="s">
        <v>11</v>
      </c>
      <c r="Z24">
        <v>222</v>
      </c>
      <c r="AA24">
        <v>23</v>
      </c>
      <c r="AB24" t="s">
        <v>30</v>
      </c>
      <c r="AC24" t="s">
        <v>143</v>
      </c>
      <c r="AW24" s="1" t="s">
        <v>2</v>
      </c>
      <c r="AX24" t="s">
        <v>3274</v>
      </c>
    </row>
    <row r="25" spans="1:250" ht="15.75" x14ac:dyDescent="0.25">
      <c r="A25" s="4" t="s">
        <v>3264</v>
      </c>
      <c r="B25" s="3">
        <f>GETPIVOTDATA("Pos",$AZ$1)</f>
        <v>15</v>
      </c>
      <c r="C25" s="3">
        <v>9</v>
      </c>
      <c r="D25" s="3">
        <f>B25-C25</f>
        <v>6</v>
      </c>
      <c r="E25">
        <v>11</v>
      </c>
      <c r="F25" t="s">
        <v>1130</v>
      </c>
      <c r="G25" t="s">
        <v>10</v>
      </c>
      <c r="H25" t="s">
        <v>24</v>
      </c>
      <c r="I25">
        <v>204</v>
      </c>
      <c r="J25">
        <v>23</v>
      </c>
      <c r="K25" t="s">
        <v>12</v>
      </c>
      <c r="L25" t="s">
        <v>98</v>
      </c>
      <c r="N25" s="22">
        <v>71</v>
      </c>
      <c r="O25" t="s">
        <v>1153</v>
      </c>
      <c r="P25" t="s">
        <v>140</v>
      </c>
      <c r="Q25" t="s">
        <v>35</v>
      </c>
      <c r="R25">
        <v>307</v>
      </c>
      <c r="S25">
        <v>23</v>
      </c>
      <c r="T25" t="s">
        <v>12</v>
      </c>
      <c r="U25" t="s">
        <v>233</v>
      </c>
      <c r="V25">
        <v>44</v>
      </c>
      <c r="W25" t="s">
        <v>1141</v>
      </c>
      <c r="X25" t="s">
        <v>15</v>
      </c>
      <c r="Y25" t="s">
        <v>52</v>
      </c>
      <c r="Z25">
        <v>238</v>
      </c>
      <c r="AA25">
        <v>27</v>
      </c>
      <c r="AB25" t="s">
        <v>16</v>
      </c>
      <c r="AC25" t="s">
        <v>204</v>
      </c>
      <c r="AW25" t="s">
        <v>184</v>
      </c>
      <c r="AX25" s="21">
        <v>3</v>
      </c>
    </row>
    <row r="26" spans="1:250" ht="15.75" x14ac:dyDescent="0.25">
      <c r="A26" s="4" t="s">
        <v>3265</v>
      </c>
      <c r="B26" s="3">
        <f>GETPIVOTDATA("Pos",$AZ$10)</f>
        <v>8</v>
      </c>
      <c r="C26" s="3">
        <v>6</v>
      </c>
      <c r="D26" s="3">
        <f t="shared" ref="D26:D27" si="1">B26-C26</f>
        <v>2</v>
      </c>
      <c r="E26">
        <v>12</v>
      </c>
      <c r="F26" t="s">
        <v>1156</v>
      </c>
      <c r="G26" t="s">
        <v>10</v>
      </c>
      <c r="H26" t="s">
        <v>52</v>
      </c>
      <c r="I26">
        <v>204</v>
      </c>
      <c r="J26">
        <v>22</v>
      </c>
      <c r="K26" t="s">
        <v>25</v>
      </c>
      <c r="L26" t="s">
        <v>187</v>
      </c>
      <c r="N26">
        <v>72</v>
      </c>
      <c r="O26" t="s">
        <v>1098</v>
      </c>
      <c r="P26" t="s">
        <v>277</v>
      </c>
      <c r="Q26" t="s">
        <v>29</v>
      </c>
      <c r="R26">
        <v>310</v>
      </c>
      <c r="S26">
        <v>25</v>
      </c>
      <c r="T26" t="s">
        <v>16</v>
      </c>
      <c r="U26" t="s">
        <v>80</v>
      </c>
      <c r="V26">
        <v>50</v>
      </c>
      <c r="W26" t="s">
        <v>1133</v>
      </c>
      <c r="X26" t="s">
        <v>15</v>
      </c>
      <c r="Y26" t="s">
        <v>44</v>
      </c>
      <c r="Z26">
        <v>228</v>
      </c>
      <c r="AA26">
        <v>23</v>
      </c>
      <c r="AB26" t="s">
        <v>12</v>
      </c>
      <c r="AC26" t="s">
        <v>267</v>
      </c>
      <c r="AW26" t="s">
        <v>277</v>
      </c>
      <c r="AX26" s="21">
        <v>8</v>
      </c>
    </row>
    <row r="27" spans="1:250" ht="15.75" x14ac:dyDescent="0.25">
      <c r="A27" s="5" t="s">
        <v>3266</v>
      </c>
      <c r="B27" s="6">
        <f>GETPIVOTDATA("Pos",$AZ$19)</f>
        <v>16</v>
      </c>
      <c r="C27" s="6">
        <v>10</v>
      </c>
      <c r="D27" s="6">
        <f t="shared" si="1"/>
        <v>6</v>
      </c>
      <c r="E27">
        <v>16</v>
      </c>
      <c r="F27" t="s">
        <v>1154</v>
      </c>
      <c r="G27" t="s">
        <v>10</v>
      </c>
      <c r="H27" t="s">
        <v>35</v>
      </c>
      <c r="I27">
        <v>215</v>
      </c>
      <c r="J27">
        <v>27</v>
      </c>
      <c r="K27" t="s">
        <v>16</v>
      </c>
      <c r="L27" t="s">
        <v>196</v>
      </c>
      <c r="N27" s="22">
        <v>74</v>
      </c>
      <c r="O27" t="s">
        <v>1109</v>
      </c>
      <c r="P27" t="s">
        <v>140</v>
      </c>
      <c r="Q27" t="s">
        <v>35</v>
      </c>
      <c r="R27">
        <v>295</v>
      </c>
      <c r="S27">
        <v>31</v>
      </c>
      <c r="T27" t="s">
        <v>64</v>
      </c>
      <c r="U27" t="s">
        <v>308</v>
      </c>
      <c r="V27">
        <v>51</v>
      </c>
      <c r="W27" t="s">
        <v>1117</v>
      </c>
      <c r="X27" t="s">
        <v>15</v>
      </c>
      <c r="Y27" t="s">
        <v>35</v>
      </c>
      <c r="Z27">
        <v>229</v>
      </c>
      <c r="AA27">
        <v>24</v>
      </c>
      <c r="AB27" t="s">
        <v>25</v>
      </c>
      <c r="AC27" t="s">
        <v>471</v>
      </c>
      <c r="AW27" t="s">
        <v>140</v>
      </c>
      <c r="AX27" s="21">
        <v>7</v>
      </c>
    </row>
    <row r="28" spans="1:250" ht="15.75" x14ac:dyDescent="0.25">
      <c r="A28" s="9" t="s">
        <v>3278</v>
      </c>
      <c r="B28" s="10">
        <f>SUM(B29:B31)</f>
        <v>4</v>
      </c>
      <c r="C28" s="10">
        <f>SUM(C29:C31)</f>
        <v>3</v>
      </c>
      <c r="D28" s="10">
        <f>B28-C28</f>
        <v>1</v>
      </c>
      <c r="E28">
        <v>17</v>
      </c>
      <c r="F28" t="s">
        <v>1151</v>
      </c>
      <c r="G28" t="s">
        <v>10</v>
      </c>
      <c r="H28" t="s">
        <v>35</v>
      </c>
      <c r="I28">
        <v>214</v>
      </c>
      <c r="J28">
        <v>24</v>
      </c>
      <c r="K28" t="s">
        <v>25</v>
      </c>
      <c r="L28" t="s">
        <v>473</v>
      </c>
      <c r="N28" s="22">
        <v>75</v>
      </c>
      <c r="O28" t="s">
        <v>1073</v>
      </c>
      <c r="P28" t="s">
        <v>277</v>
      </c>
      <c r="Q28" t="s">
        <v>35</v>
      </c>
      <c r="R28">
        <v>320</v>
      </c>
      <c r="S28">
        <v>30</v>
      </c>
      <c r="T28" t="s">
        <v>64</v>
      </c>
      <c r="U28" t="s">
        <v>1074</v>
      </c>
      <c r="V28">
        <v>54</v>
      </c>
      <c r="W28" t="s">
        <v>1107</v>
      </c>
      <c r="X28" t="s">
        <v>15</v>
      </c>
      <c r="Y28" t="s">
        <v>54</v>
      </c>
      <c r="Z28">
        <v>230</v>
      </c>
      <c r="AA28">
        <v>26</v>
      </c>
      <c r="AB28" t="s">
        <v>30</v>
      </c>
      <c r="AC28" t="s">
        <v>162</v>
      </c>
      <c r="AW28" t="s">
        <v>3250</v>
      </c>
      <c r="AX28" s="21">
        <v>18</v>
      </c>
    </row>
    <row r="29" spans="1:250" ht="15.75" x14ac:dyDescent="0.25">
      <c r="A29" s="4" t="s">
        <v>3267</v>
      </c>
      <c r="B29" s="3">
        <f>GETPIVOTDATA("Pos",$BC$1)</f>
        <v>1</v>
      </c>
      <c r="C29" s="3">
        <v>1</v>
      </c>
      <c r="D29" s="3">
        <f>B29-C29</f>
        <v>0</v>
      </c>
      <c r="E29">
        <v>18</v>
      </c>
      <c r="F29" t="s">
        <v>1072</v>
      </c>
      <c r="G29" t="s">
        <v>10</v>
      </c>
      <c r="H29" t="s">
        <v>52</v>
      </c>
      <c r="I29">
        <v>212</v>
      </c>
      <c r="J29">
        <v>21</v>
      </c>
      <c r="K29" t="s">
        <v>25</v>
      </c>
      <c r="L29" t="s">
        <v>400</v>
      </c>
      <c r="N29" s="22">
        <v>77</v>
      </c>
      <c r="O29" t="s">
        <v>1143</v>
      </c>
      <c r="P29" t="s">
        <v>277</v>
      </c>
      <c r="Q29" t="s">
        <v>35</v>
      </c>
      <c r="R29">
        <v>314</v>
      </c>
      <c r="S29">
        <v>27</v>
      </c>
      <c r="T29" t="s">
        <v>45</v>
      </c>
      <c r="U29" t="s">
        <v>357</v>
      </c>
      <c r="V29">
        <v>56</v>
      </c>
      <c r="W29" t="s">
        <v>1069</v>
      </c>
      <c r="X29" t="s">
        <v>15</v>
      </c>
      <c r="Y29" t="s">
        <v>52</v>
      </c>
      <c r="Z29">
        <v>232</v>
      </c>
      <c r="AA29">
        <v>26</v>
      </c>
      <c r="AB29" t="s">
        <v>16</v>
      </c>
      <c r="AC29" t="s">
        <v>101</v>
      </c>
    </row>
    <row r="30" spans="1:250" ht="15.75" x14ac:dyDescent="0.25">
      <c r="A30" s="4" t="s">
        <v>3268</v>
      </c>
      <c r="B30" s="3">
        <f>GETPIVOTDATA("Pos",$BC$5)</f>
        <v>2</v>
      </c>
      <c r="C30" s="3">
        <v>1</v>
      </c>
      <c r="D30" s="3">
        <f t="shared" ref="D30:D31" si="2">B30-C30</f>
        <v>1</v>
      </c>
      <c r="E30">
        <v>82</v>
      </c>
      <c r="F30" t="s">
        <v>1103</v>
      </c>
      <c r="G30" t="s">
        <v>10</v>
      </c>
      <c r="H30" t="s">
        <v>125</v>
      </c>
      <c r="I30">
        <v>180</v>
      </c>
      <c r="J30">
        <v>24</v>
      </c>
      <c r="K30" t="s">
        <v>25</v>
      </c>
      <c r="L30" t="s">
        <v>385</v>
      </c>
      <c r="N30">
        <v>78</v>
      </c>
      <c r="O30" t="s">
        <v>1084</v>
      </c>
      <c r="P30" t="s">
        <v>140</v>
      </c>
      <c r="Q30" t="s">
        <v>67</v>
      </c>
      <c r="R30">
        <v>308</v>
      </c>
      <c r="S30">
        <v>27</v>
      </c>
      <c r="T30" t="s">
        <v>100</v>
      </c>
      <c r="U30" t="s">
        <v>55</v>
      </c>
    </row>
    <row r="31" spans="1:250" ht="15.75" x14ac:dyDescent="0.25">
      <c r="A31" s="5" t="s">
        <v>3269</v>
      </c>
      <c r="B31" s="6">
        <f>GETPIVOTDATA("Pos",$BC$9)</f>
        <v>1</v>
      </c>
      <c r="C31" s="6">
        <v>1</v>
      </c>
      <c r="D31" s="6">
        <f t="shared" si="2"/>
        <v>0</v>
      </c>
      <c r="E31">
        <v>83</v>
      </c>
      <c r="F31" t="s">
        <v>1105</v>
      </c>
      <c r="G31" t="s">
        <v>10</v>
      </c>
      <c r="H31" t="s">
        <v>86</v>
      </c>
      <c r="I31">
        <v>182</v>
      </c>
      <c r="J31">
        <v>23</v>
      </c>
      <c r="K31" t="s">
        <v>25</v>
      </c>
      <c r="L31" t="s">
        <v>370</v>
      </c>
      <c r="N31">
        <v>79</v>
      </c>
      <c r="O31" t="s">
        <v>1095</v>
      </c>
      <c r="P31" t="s">
        <v>277</v>
      </c>
      <c r="Q31" t="s">
        <v>29</v>
      </c>
      <c r="R31">
        <v>308</v>
      </c>
      <c r="S31">
        <v>25</v>
      </c>
      <c r="T31" t="s">
        <v>12</v>
      </c>
      <c r="U31" t="s">
        <v>238</v>
      </c>
    </row>
    <row r="32" spans="1:250" x14ac:dyDescent="0.25">
      <c r="E32">
        <v>84</v>
      </c>
      <c r="F32" t="s">
        <v>1077</v>
      </c>
      <c r="G32" t="s">
        <v>10</v>
      </c>
      <c r="H32" t="s">
        <v>11</v>
      </c>
      <c r="I32">
        <v>198</v>
      </c>
      <c r="J32">
        <v>25</v>
      </c>
      <c r="K32" t="s">
        <v>30</v>
      </c>
      <c r="L32" t="s">
        <v>145</v>
      </c>
    </row>
    <row r="33" spans="11:27" x14ac:dyDescent="0.25">
      <c r="K33"/>
    </row>
    <row r="34" spans="11:27" x14ac:dyDescent="0.25">
      <c r="K34"/>
    </row>
    <row r="35" spans="11:27" x14ac:dyDescent="0.25">
      <c r="K35"/>
    </row>
    <row r="38" spans="11:27" x14ac:dyDescent="0.25">
      <c r="W38" s="17"/>
      <c r="Y38" s="17"/>
      <c r="AA38" s="17"/>
    </row>
    <row r="39" spans="11:27" x14ac:dyDescent="0.25">
      <c r="W39" s="17"/>
      <c r="Y39" s="17"/>
      <c r="AA39" s="17"/>
    </row>
    <row r="40" spans="11:27" x14ac:dyDescent="0.25">
      <c r="W40" s="17"/>
      <c r="Y40" s="17"/>
      <c r="AA40" s="17"/>
    </row>
  </sheetData>
  <mergeCells count="11">
    <mergeCell ref="AM1:AT1"/>
    <mergeCell ref="AM7:AT7"/>
    <mergeCell ref="AM13:AT13"/>
    <mergeCell ref="V20:AC20"/>
    <mergeCell ref="AE1:AL1"/>
    <mergeCell ref="E1:L1"/>
    <mergeCell ref="E20:L20"/>
    <mergeCell ref="N1:U1"/>
    <mergeCell ref="V1:AC1"/>
    <mergeCell ref="N12:U12"/>
    <mergeCell ref="E9:L9"/>
  </mergeCells>
  <conditionalFormatting sqref="E3:L8">
    <cfRule type="expression" dxfId="27" priority="28">
      <formula>IF($K3="R",1)</formula>
    </cfRule>
  </conditionalFormatting>
  <conditionalFormatting sqref="E11:L11">
    <cfRule type="expression" dxfId="26" priority="27">
      <formula>IF($K11="R",1)</formula>
    </cfRule>
  </conditionalFormatting>
  <conditionalFormatting sqref="E22:L24">
    <cfRule type="expression" dxfId="25" priority="24">
      <formula>IF($K22="R",1)</formula>
    </cfRule>
  </conditionalFormatting>
  <conditionalFormatting sqref="E25:L41">
    <cfRule type="expression" dxfId="24" priority="23">
      <formula>IF($K25="R",1)</formula>
    </cfRule>
  </conditionalFormatting>
  <conditionalFormatting sqref="N3:U3">
    <cfRule type="expression" dxfId="23" priority="18">
      <formula>IF($T3="R",1)</formula>
    </cfRule>
  </conditionalFormatting>
  <conditionalFormatting sqref="N4:U10">
    <cfRule type="expression" dxfId="22" priority="17">
      <formula>IF($T4="R",1)</formula>
    </cfRule>
  </conditionalFormatting>
  <conditionalFormatting sqref="N14:U33">
    <cfRule type="expression" dxfId="21" priority="16">
      <formula>IF($T14="R",1)</formula>
    </cfRule>
  </conditionalFormatting>
  <conditionalFormatting sqref="V3:AC3">
    <cfRule type="expression" dxfId="20" priority="15">
      <formula>IF($AB3="R",1)</formula>
    </cfRule>
  </conditionalFormatting>
  <conditionalFormatting sqref="V4:AC19">
    <cfRule type="expression" dxfId="19" priority="14">
      <formula>IF($AB4="R",1)</formula>
    </cfRule>
  </conditionalFormatting>
  <conditionalFormatting sqref="V22:AC29">
    <cfRule type="expression" dxfId="18" priority="13">
      <formula>IF($AB22="R",1)</formula>
    </cfRule>
  </conditionalFormatting>
  <conditionalFormatting sqref="AE3:AL3">
    <cfRule type="expression" dxfId="17" priority="12">
      <formula>IF($AK3="R",1)</formula>
    </cfRule>
  </conditionalFormatting>
  <conditionalFormatting sqref="AE4:AL26">
    <cfRule type="expression" dxfId="16" priority="11">
      <formula>IF($AK4="R",1)</formula>
    </cfRule>
  </conditionalFormatting>
  <conditionalFormatting sqref="W30:AC40">
    <cfRule type="expression" dxfId="15" priority="10">
      <formula>IF($AB30="R",1)</formula>
    </cfRule>
  </conditionalFormatting>
  <conditionalFormatting sqref="AM3:AT5">
    <cfRule type="expression" dxfId="14" priority="9">
      <formula>IF($AS3="R",1)</formula>
    </cfRule>
  </conditionalFormatting>
  <conditionalFormatting sqref="AM4:AT5">
    <cfRule type="expression" dxfId="13" priority="8">
      <formula>IF($AS4="R",1)</formula>
    </cfRule>
  </conditionalFormatting>
  <conditionalFormatting sqref="AM9:AT9">
    <cfRule type="expression" dxfId="12" priority="5">
      <formula>IF($AS9="R",1)</formula>
    </cfRule>
  </conditionalFormatting>
  <conditionalFormatting sqref="AM15:AT17">
    <cfRule type="expression" dxfId="11" priority="3">
      <formula>IF($AS15="R",1)</formula>
    </cfRule>
  </conditionalFormatting>
  <conditionalFormatting sqref="AM10:AT12">
    <cfRule type="expression" dxfId="10" priority="2">
      <formula>IF($AS10="R",1)</formula>
    </cfRule>
  </conditionalFormatting>
  <conditionalFormatting sqref="E12:L19">
    <cfRule type="expression" dxfId="9" priority="1">
      <formula>IF($K12="R",1)</formula>
    </cfRule>
  </conditionalFormatting>
  <pageMargins left="0.511811024" right="0.511811024" top="0.78740157499999996" bottom="0.78740157499999996" header="0.31496062000000002" footer="0.31496062000000002"/>
  <pageSetup paperSize="9" orientation="portrait" r:id="rId23"/>
  <drawing r:id="rId24"/>
  <extLst>
    <ext xmlns:x14="http://schemas.microsoft.com/office/spreadsheetml/2009/9/main" uri="{A8765BA9-456A-4dab-B4F3-ACF838C121DE}">
      <x14:slicerList>
        <x14:slicer r:id="rId2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3F74E-1A0B-442E-9137-947E3EA844DB}">
  <sheetPr codeName="Planilha5"/>
  <dimension ref="B1:F4"/>
  <sheetViews>
    <sheetView showGridLines="0" zoomScale="85" zoomScaleNormal="85" workbookViewId="0">
      <selection activeCell="D3" sqref="D3"/>
    </sheetView>
  </sheetViews>
  <sheetFormatPr defaultRowHeight="15" x14ac:dyDescent="0.25"/>
  <cols>
    <col min="1" max="1" width="106.28515625" customWidth="1"/>
    <col min="2" max="2" width="28.140625" bestFit="1" customWidth="1"/>
    <col min="3" max="3" width="31.85546875" bestFit="1" customWidth="1"/>
    <col min="4" max="4" width="8.85546875" bestFit="1" customWidth="1"/>
    <col min="5" max="5" width="7" bestFit="1" customWidth="1"/>
  </cols>
  <sheetData>
    <row r="1" spans="2:6" x14ac:dyDescent="0.25">
      <c r="B1" s="1" t="s">
        <v>7</v>
      </c>
      <c r="C1" s="1" t="s">
        <v>0</v>
      </c>
      <c r="D1" s="1" t="s">
        <v>2034</v>
      </c>
      <c r="E1" s="1" t="s">
        <v>2</v>
      </c>
      <c r="F1" s="1" t="s">
        <v>6</v>
      </c>
    </row>
    <row r="2" spans="2:6" x14ac:dyDescent="0.25">
      <c r="B2" t="s">
        <v>996</v>
      </c>
      <c r="C2" t="s">
        <v>1570</v>
      </c>
      <c r="D2" t="s">
        <v>1552</v>
      </c>
      <c r="E2" t="s">
        <v>213</v>
      </c>
      <c r="F2" t="s">
        <v>83</v>
      </c>
    </row>
    <row r="3" spans="2:6" x14ac:dyDescent="0.25">
      <c r="C3" t="s">
        <v>2619</v>
      </c>
      <c r="D3" t="s">
        <v>2605</v>
      </c>
      <c r="E3" t="s">
        <v>48</v>
      </c>
      <c r="F3" t="s">
        <v>12</v>
      </c>
    </row>
    <row r="4" spans="2:6" x14ac:dyDescent="0.25">
      <c r="C4" t="s">
        <v>995</v>
      </c>
      <c r="D4" t="s">
        <v>970</v>
      </c>
      <c r="E4" t="s">
        <v>230</v>
      </c>
      <c r="F4" t="s">
        <v>16</v>
      </c>
    </row>
  </sheetData>
  <pageMargins left="0.511811024" right="0.511811024" top="0.78740157499999996" bottom="0.78740157499999996" header="0.31496062000000002" footer="0.31496062000000002"/>
  <pageSetup paperSize="0" orientation="portrait" horizontalDpi="0" verticalDpi="0" copies="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830F-5F82-4673-BE52-ED5389A6D604}">
  <sheetPr codeName="Planilha4"/>
  <dimension ref="B1:D2779"/>
  <sheetViews>
    <sheetView showGridLines="0" workbookViewId="0">
      <selection activeCell="A22" sqref="A22"/>
    </sheetView>
  </sheetViews>
  <sheetFormatPr defaultRowHeight="15" x14ac:dyDescent="0.25"/>
  <cols>
    <col min="1" max="1" width="48" customWidth="1"/>
    <col min="2" max="2" width="120.7109375" style="15" hidden="1" customWidth="1"/>
    <col min="3" max="3" width="120.85546875" style="15" customWidth="1"/>
    <col min="4" max="4" width="9.140625" customWidth="1"/>
  </cols>
  <sheetData>
    <row r="1" spans="2:3" x14ac:dyDescent="0.25">
      <c r="B1" s="13" t="s">
        <v>4776</v>
      </c>
      <c r="C1" s="13" t="s">
        <v>4776</v>
      </c>
    </row>
    <row r="2" spans="2:3" x14ac:dyDescent="0.25">
      <c r="B2" s="14" t="s">
        <v>3785</v>
      </c>
      <c r="C2" s="14" t="s">
        <v>4803</v>
      </c>
    </row>
    <row r="3" spans="2:3" x14ac:dyDescent="0.25">
      <c r="B3" s="14" t="s">
        <v>3881</v>
      </c>
      <c r="C3" s="14" t="s">
        <v>3467</v>
      </c>
    </row>
    <row r="4" spans="2:3" x14ac:dyDescent="0.25">
      <c r="B4" s="14" t="s">
        <v>3369</v>
      </c>
      <c r="C4" s="14" t="s">
        <v>4804</v>
      </c>
    </row>
    <row r="5" spans="2:3" x14ac:dyDescent="0.25">
      <c r="B5" s="14" t="s">
        <v>3883</v>
      </c>
      <c r="C5" s="14" t="s">
        <v>3365</v>
      </c>
    </row>
    <row r="6" spans="2:3" x14ac:dyDescent="0.25">
      <c r="B6" s="14" t="s">
        <v>3547</v>
      </c>
      <c r="C6" s="14" t="s">
        <v>4809</v>
      </c>
    </row>
    <row r="7" spans="2:3" x14ac:dyDescent="0.25">
      <c r="B7" s="14" t="s">
        <v>3884</v>
      </c>
      <c r="C7" s="14" t="s">
        <v>4304</v>
      </c>
    </row>
    <row r="8" spans="2:3" x14ac:dyDescent="0.25">
      <c r="B8" s="14" t="s">
        <v>3657</v>
      </c>
      <c r="C8" s="14" t="s">
        <v>4810</v>
      </c>
    </row>
    <row r="9" spans="2:3" x14ac:dyDescent="0.25">
      <c r="B9" s="14" t="s">
        <v>3885</v>
      </c>
      <c r="C9" s="14" t="s">
        <v>4514</v>
      </c>
    </row>
    <row r="10" spans="2:3" ht="30" x14ac:dyDescent="0.25">
      <c r="B10" s="14" t="s">
        <v>3470</v>
      </c>
      <c r="C10" s="14" t="s">
        <v>4811</v>
      </c>
    </row>
    <row r="11" spans="2:3" x14ac:dyDescent="0.25">
      <c r="B11" s="14" t="s">
        <v>3886</v>
      </c>
      <c r="C11" s="14" t="s">
        <v>4796</v>
      </c>
    </row>
    <row r="12" spans="2:3" x14ac:dyDescent="0.25">
      <c r="B12" s="14" t="s">
        <v>3375</v>
      </c>
      <c r="C12" s="14" t="s">
        <v>4304</v>
      </c>
    </row>
    <row r="13" spans="2:3" x14ac:dyDescent="0.25">
      <c r="B13" s="14" t="s">
        <v>3887</v>
      </c>
      <c r="C13" s="14" t="s">
        <v>4797</v>
      </c>
    </row>
    <row r="14" spans="2:3" x14ac:dyDescent="0.25">
      <c r="B14" s="14" t="s">
        <v>3288</v>
      </c>
      <c r="C14" s="14" t="s">
        <v>4514</v>
      </c>
    </row>
    <row r="15" spans="2:3" x14ac:dyDescent="0.25">
      <c r="B15" s="14" t="s">
        <v>3888</v>
      </c>
      <c r="C15" s="14" t="s">
        <v>4798</v>
      </c>
    </row>
    <row r="16" spans="2:3" x14ac:dyDescent="0.25">
      <c r="B16" s="14" t="s">
        <v>3472</v>
      </c>
      <c r="C16" s="14" t="s">
        <v>4104</v>
      </c>
    </row>
    <row r="17" spans="2:3" x14ac:dyDescent="0.25">
      <c r="B17" s="14" t="s">
        <v>3889</v>
      </c>
      <c r="C17" s="14" t="s">
        <v>4805</v>
      </c>
    </row>
    <row r="18" spans="2:3" x14ac:dyDescent="0.25">
      <c r="B18" s="14" t="s">
        <v>3290</v>
      </c>
      <c r="C18" s="14" t="s">
        <v>4781</v>
      </c>
    </row>
    <row r="19" spans="2:3" x14ac:dyDescent="0.25">
      <c r="B19" s="14" t="s">
        <v>3890</v>
      </c>
      <c r="C19" s="14" t="s">
        <v>3365</v>
      </c>
    </row>
    <row r="20" spans="2:3" x14ac:dyDescent="0.25">
      <c r="B20" s="14" t="s">
        <v>3891</v>
      </c>
      <c r="C20" s="14" t="s">
        <v>4794</v>
      </c>
    </row>
    <row r="21" spans="2:3" x14ac:dyDescent="0.25">
      <c r="B21" s="14" t="s">
        <v>3292</v>
      </c>
      <c r="C21" s="14" t="s">
        <v>4795</v>
      </c>
    </row>
    <row r="22" spans="2:3" ht="30" x14ac:dyDescent="0.25">
      <c r="B22" s="14" t="s">
        <v>3893</v>
      </c>
      <c r="C22" s="14" t="s">
        <v>4514</v>
      </c>
    </row>
    <row r="23" spans="2:3" ht="30" x14ac:dyDescent="0.25">
      <c r="B23" s="14" t="s">
        <v>3892</v>
      </c>
      <c r="C23" s="14" t="s">
        <v>4799</v>
      </c>
    </row>
    <row r="24" spans="2:3" x14ac:dyDescent="0.25">
      <c r="B24" s="14" t="s">
        <v>3384</v>
      </c>
      <c r="C24" s="14" t="s">
        <v>4732</v>
      </c>
    </row>
    <row r="25" spans="2:3" ht="30" x14ac:dyDescent="0.25">
      <c r="B25" s="14" t="s">
        <v>3894</v>
      </c>
      <c r="C25" s="14" t="s">
        <v>4785</v>
      </c>
    </row>
    <row r="26" spans="2:3" x14ac:dyDescent="0.25">
      <c r="B26" s="14" t="s">
        <v>3294</v>
      </c>
      <c r="C26" s="14" t="s">
        <v>4421</v>
      </c>
    </row>
    <row r="27" spans="2:3" x14ac:dyDescent="0.25">
      <c r="B27" s="14" t="s">
        <v>3896</v>
      </c>
      <c r="C27" s="14" t="s">
        <v>4789</v>
      </c>
    </row>
    <row r="28" spans="2:3" x14ac:dyDescent="0.25">
      <c r="B28" s="14" t="s">
        <v>3895</v>
      </c>
      <c r="C28" s="14" t="s">
        <v>4104</v>
      </c>
    </row>
    <row r="29" spans="2:3" x14ac:dyDescent="0.25">
      <c r="B29" s="14" t="s">
        <v>3395</v>
      </c>
      <c r="C29" s="14" t="s">
        <v>4782</v>
      </c>
    </row>
    <row r="30" spans="2:3" x14ac:dyDescent="0.25">
      <c r="B30" s="14" t="s">
        <v>3900</v>
      </c>
      <c r="C30" s="14" t="s">
        <v>4589</v>
      </c>
    </row>
    <row r="31" spans="2:3" x14ac:dyDescent="0.25">
      <c r="B31" s="14" t="s">
        <v>3904</v>
      </c>
      <c r="C31" s="14" t="s">
        <v>4784</v>
      </c>
    </row>
    <row r="32" spans="2:3" x14ac:dyDescent="0.25">
      <c r="B32" s="14" t="s">
        <v>3903</v>
      </c>
      <c r="C32" s="14" t="s">
        <v>4102</v>
      </c>
    </row>
    <row r="33" spans="2:3" x14ac:dyDescent="0.25">
      <c r="B33" s="14" t="s">
        <v>3897</v>
      </c>
      <c r="C33" s="14" t="s">
        <v>4421</v>
      </c>
    </row>
    <row r="34" spans="2:3" x14ac:dyDescent="0.25">
      <c r="B34" s="14" t="s">
        <v>3901</v>
      </c>
      <c r="C34" s="14" t="s">
        <v>4778</v>
      </c>
    </row>
    <row r="35" spans="2:3" x14ac:dyDescent="0.25">
      <c r="B35" s="14" t="s">
        <v>3898</v>
      </c>
      <c r="C35" s="14" t="s">
        <v>4104</v>
      </c>
    </row>
    <row r="36" spans="2:3" x14ac:dyDescent="0.25">
      <c r="B36" s="14" t="s">
        <v>3902</v>
      </c>
      <c r="C36" s="14" t="s">
        <v>4103</v>
      </c>
    </row>
    <row r="37" spans="2:3" x14ac:dyDescent="0.25">
      <c r="B37" s="14" t="s">
        <v>3899</v>
      </c>
      <c r="C37" s="14" t="s">
        <v>4459</v>
      </c>
    </row>
    <row r="38" spans="2:3" x14ac:dyDescent="0.25">
      <c r="B38" s="14" t="s">
        <v>3399</v>
      </c>
      <c r="C38" s="14" t="s">
        <v>4783</v>
      </c>
    </row>
    <row r="39" spans="2:3" x14ac:dyDescent="0.25">
      <c r="B39" s="14" t="s">
        <v>3906</v>
      </c>
      <c r="C39" s="14" t="s">
        <v>3532</v>
      </c>
    </row>
    <row r="40" spans="2:3" x14ac:dyDescent="0.25">
      <c r="B40" s="14" t="s">
        <v>3905</v>
      </c>
      <c r="C40" s="14" t="s">
        <v>3534</v>
      </c>
    </row>
    <row r="41" spans="2:3" x14ac:dyDescent="0.25">
      <c r="B41" s="14" t="s">
        <v>3907</v>
      </c>
      <c r="C41" s="14" t="s">
        <v>3533</v>
      </c>
    </row>
    <row r="42" spans="2:3" x14ac:dyDescent="0.25">
      <c r="B42" s="14" t="s">
        <v>3908</v>
      </c>
      <c r="C42" s="14" t="s">
        <v>4020</v>
      </c>
    </row>
    <row r="43" spans="2:3" x14ac:dyDescent="0.25">
      <c r="B43" s="14" t="s">
        <v>3300</v>
      </c>
      <c r="C43" s="14" t="s">
        <v>4022</v>
      </c>
    </row>
    <row r="44" spans="2:3" x14ac:dyDescent="0.25">
      <c r="B44" s="14" t="s">
        <v>3909</v>
      </c>
      <c r="C44" s="14" t="s">
        <v>4021</v>
      </c>
    </row>
    <row r="45" spans="2:3" x14ac:dyDescent="0.25">
      <c r="B45" s="14" t="s">
        <v>3910</v>
      </c>
      <c r="C45" s="14" t="s">
        <v>3779</v>
      </c>
    </row>
    <row r="46" spans="2:3" x14ac:dyDescent="0.25">
      <c r="B46" s="14" t="s">
        <v>3412</v>
      </c>
      <c r="C46" s="14" t="s">
        <v>3781</v>
      </c>
    </row>
    <row r="47" spans="2:3" x14ac:dyDescent="0.25">
      <c r="B47" s="14" t="s">
        <v>3911</v>
      </c>
      <c r="C47" s="14" t="s">
        <v>3780</v>
      </c>
    </row>
    <row r="48" spans="2:3" x14ac:dyDescent="0.25">
      <c r="B48" s="14" t="s">
        <v>3415</v>
      </c>
      <c r="C48" s="14" t="s">
        <v>3782</v>
      </c>
    </row>
    <row r="49" spans="2:3" x14ac:dyDescent="0.25">
      <c r="B49" s="14" t="s">
        <v>3912</v>
      </c>
      <c r="C49" s="14" t="s">
        <v>4421</v>
      </c>
    </row>
    <row r="50" spans="2:3" x14ac:dyDescent="0.25">
      <c r="B50" s="14" t="s">
        <v>3417</v>
      </c>
      <c r="C50" s="14" t="s">
        <v>4420</v>
      </c>
    </row>
    <row r="51" spans="2:3" x14ac:dyDescent="0.25">
      <c r="B51" s="14" t="s">
        <v>3913</v>
      </c>
      <c r="C51" s="14" t="s">
        <v>3535</v>
      </c>
    </row>
    <row r="52" spans="2:3" x14ac:dyDescent="0.25">
      <c r="B52" s="14" t="s">
        <v>3308</v>
      </c>
      <c r="C52" s="14" t="s">
        <v>3534</v>
      </c>
    </row>
    <row r="53" spans="2:3" x14ac:dyDescent="0.25">
      <c r="B53" s="14" t="s">
        <v>3914</v>
      </c>
      <c r="C53" s="14" t="s">
        <v>3536</v>
      </c>
    </row>
    <row r="54" spans="2:3" x14ac:dyDescent="0.25">
      <c r="B54" s="14" t="s">
        <v>3318</v>
      </c>
      <c r="C54" s="14" t="s">
        <v>4349</v>
      </c>
    </row>
    <row r="55" spans="2:3" x14ac:dyDescent="0.25">
      <c r="B55" s="14" t="s">
        <v>3916</v>
      </c>
      <c r="C55" s="14" t="s">
        <v>4348</v>
      </c>
    </row>
    <row r="56" spans="2:3" x14ac:dyDescent="0.25">
      <c r="B56" s="14" t="s">
        <v>3917</v>
      </c>
      <c r="C56" s="14" t="s">
        <v>4350</v>
      </c>
    </row>
    <row r="57" spans="2:3" x14ac:dyDescent="0.25">
      <c r="B57" s="14" t="s">
        <v>3919</v>
      </c>
      <c r="C57" s="14" t="s">
        <v>4105</v>
      </c>
    </row>
    <row r="58" spans="2:3" x14ac:dyDescent="0.25">
      <c r="B58" s="14" t="s">
        <v>3915</v>
      </c>
      <c r="C58" s="14" t="s">
        <v>4104</v>
      </c>
    </row>
    <row r="59" spans="2:3" x14ac:dyDescent="0.25">
      <c r="B59" s="14" t="s">
        <v>3920</v>
      </c>
      <c r="C59" s="14" t="s">
        <v>4106</v>
      </c>
    </row>
    <row r="60" spans="2:3" x14ac:dyDescent="0.25">
      <c r="B60" s="14" t="s">
        <v>3918</v>
      </c>
      <c r="C60" s="14" t="s">
        <v>4512</v>
      </c>
    </row>
    <row r="61" spans="2:3" x14ac:dyDescent="0.25">
      <c r="B61" s="14" t="s">
        <v>3320</v>
      </c>
      <c r="C61" s="14" t="s">
        <v>4514</v>
      </c>
    </row>
    <row r="62" spans="2:3" x14ac:dyDescent="0.25">
      <c r="B62" s="14" t="s">
        <v>3921</v>
      </c>
      <c r="C62" s="14" t="s">
        <v>4513</v>
      </c>
    </row>
    <row r="63" spans="2:3" x14ac:dyDescent="0.25">
      <c r="B63" s="14" t="s">
        <v>3437</v>
      </c>
      <c r="C63" s="14" t="s">
        <v>3363</v>
      </c>
    </row>
    <row r="64" spans="2:3" x14ac:dyDescent="0.25">
      <c r="B64" s="14" t="s">
        <v>3922</v>
      </c>
      <c r="C64" s="14" t="s">
        <v>3365</v>
      </c>
    </row>
    <row r="65" spans="2:3" x14ac:dyDescent="0.25">
      <c r="B65" s="14" t="s">
        <v>3500</v>
      </c>
      <c r="C65" s="14" t="s">
        <v>3366</v>
      </c>
    </row>
    <row r="66" spans="2:3" x14ac:dyDescent="0.25">
      <c r="B66" s="14" t="s">
        <v>3923</v>
      </c>
      <c r="C66" s="14" t="s">
        <v>3364</v>
      </c>
    </row>
    <row r="67" spans="2:3" x14ac:dyDescent="0.25">
      <c r="B67" s="14" t="s">
        <v>3442</v>
      </c>
      <c r="C67" s="14" t="s">
        <v>3367</v>
      </c>
    </row>
    <row r="68" spans="2:3" x14ac:dyDescent="0.25">
      <c r="B68" s="14" t="s">
        <v>3925</v>
      </c>
      <c r="C68" s="14" t="s">
        <v>3365</v>
      </c>
    </row>
    <row r="69" spans="2:3" x14ac:dyDescent="0.25">
      <c r="B69" s="14" t="s">
        <v>3926</v>
      </c>
      <c r="C69" s="14" t="s">
        <v>3368</v>
      </c>
    </row>
    <row r="70" spans="2:3" x14ac:dyDescent="0.25">
      <c r="B70" s="14" t="s">
        <v>3924</v>
      </c>
      <c r="C70" s="14" t="s">
        <v>4459</v>
      </c>
    </row>
    <row r="71" spans="2:3" x14ac:dyDescent="0.25">
      <c r="B71" s="14" t="s">
        <v>3927</v>
      </c>
      <c r="C71" s="14" t="s">
        <v>4458</v>
      </c>
    </row>
    <row r="72" spans="2:3" x14ac:dyDescent="0.25">
      <c r="B72" s="14" t="s">
        <v>3744</v>
      </c>
      <c r="C72" s="14" t="s">
        <v>3783</v>
      </c>
    </row>
    <row r="73" spans="2:3" x14ac:dyDescent="0.25">
      <c r="B73" s="14" t="s">
        <v>3928</v>
      </c>
      <c r="C73" s="14" t="s">
        <v>3781</v>
      </c>
    </row>
    <row r="74" spans="2:3" x14ac:dyDescent="0.25">
      <c r="B74" s="14" t="s">
        <v>3513</v>
      </c>
      <c r="C74" s="14" t="s">
        <v>3784</v>
      </c>
    </row>
    <row r="75" spans="2:3" x14ac:dyDescent="0.25">
      <c r="B75" s="14" t="s">
        <v>3929</v>
      </c>
      <c r="C75" s="14" t="s">
        <v>4587</v>
      </c>
    </row>
    <row r="76" spans="2:3" x14ac:dyDescent="0.25">
      <c r="B76" s="14" t="s">
        <v>3520</v>
      </c>
      <c r="C76" s="14" t="s">
        <v>4589</v>
      </c>
    </row>
    <row r="77" spans="2:3" x14ac:dyDescent="0.25">
      <c r="B77" s="14" t="s">
        <v>3930</v>
      </c>
      <c r="C77" s="14" t="s">
        <v>4588</v>
      </c>
    </row>
    <row r="78" spans="2:3" x14ac:dyDescent="0.25">
      <c r="B78" s="14" t="s">
        <v>3346</v>
      </c>
      <c r="C78" s="14" t="s">
        <v>3652</v>
      </c>
    </row>
    <row r="79" spans="2:3" x14ac:dyDescent="0.25">
      <c r="B79" s="14" t="s">
        <v>3933</v>
      </c>
      <c r="C79" s="14" t="s">
        <v>4732</v>
      </c>
    </row>
    <row r="80" spans="2:3" x14ac:dyDescent="0.25">
      <c r="B80" s="14" t="s">
        <v>3931</v>
      </c>
      <c r="C80" s="14" t="s">
        <v>4731</v>
      </c>
    </row>
    <row r="81" spans="2:3" x14ac:dyDescent="0.25">
      <c r="B81" s="14" t="s">
        <v>3932</v>
      </c>
      <c r="C81" s="14" t="s">
        <v>4559</v>
      </c>
    </row>
    <row r="82" spans="2:3" x14ac:dyDescent="0.25">
      <c r="B82" s="14" t="s">
        <v>3348</v>
      </c>
      <c r="C82" s="14" t="s">
        <v>4558</v>
      </c>
    </row>
    <row r="83" spans="2:3" x14ac:dyDescent="0.25">
      <c r="B83" s="14" t="s">
        <v>3939</v>
      </c>
      <c r="C83" s="14" t="s">
        <v>3654</v>
      </c>
    </row>
    <row r="84" spans="2:3" x14ac:dyDescent="0.25">
      <c r="B84" s="14" t="s">
        <v>3941</v>
      </c>
      <c r="C84" s="14" t="s">
        <v>3653</v>
      </c>
    </row>
    <row r="85" spans="2:3" x14ac:dyDescent="0.25">
      <c r="B85" s="14" t="s">
        <v>3938</v>
      </c>
      <c r="C85" s="14" t="s">
        <v>3785</v>
      </c>
    </row>
    <row r="86" spans="2:3" x14ac:dyDescent="0.25">
      <c r="B86" s="14" t="s">
        <v>3937</v>
      </c>
      <c r="C86" s="14" t="s">
        <v>3781</v>
      </c>
    </row>
    <row r="87" spans="2:3" x14ac:dyDescent="0.25">
      <c r="B87" s="14" t="s">
        <v>3936</v>
      </c>
      <c r="C87" s="14" t="s">
        <v>3787</v>
      </c>
    </row>
    <row r="88" spans="2:3" x14ac:dyDescent="0.25">
      <c r="B88" s="14" t="s">
        <v>3940</v>
      </c>
      <c r="C88" s="14" t="s">
        <v>3786</v>
      </c>
    </row>
    <row r="89" spans="2:3" x14ac:dyDescent="0.25">
      <c r="B89" s="14" t="s">
        <v>3935</v>
      </c>
      <c r="C89" s="14" t="s">
        <v>3882</v>
      </c>
    </row>
    <row r="90" spans="2:3" x14ac:dyDescent="0.25">
      <c r="B90" s="14" t="s">
        <v>3934</v>
      </c>
      <c r="C90" s="14" t="s">
        <v>3881</v>
      </c>
    </row>
    <row r="91" spans="2:3" x14ac:dyDescent="0.25">
      <c r="B91" s="14" t="s">
        <v>3350</v>
      </c>
      <c r="C91" s="14" t="s">
        <v>4421</v>
      </c>
    </row>
    <row r="92" spans="2:3" x14ac:dyDescent="0.25">
      <c r="B92" s="14" t="s">
        <v>3949</v>
      </c>
      <c r="C92" s="14" t="s">
        <v>4422</v>
      </c>
    </row>
    <row r="93" spans="2:3" x14ac:dyDescent="0.25">
      <c r="B93" s="14" t="s">
        <v>3947</v>
      </c>
      <c r="C93" s="14" t="s">
        <v>4589</v>
      </c>
    </row>
    <row r="94" spans="2:3" x14ac:dyDescent="0.25">
      <c r="B94" s="14" t="s">
        <v>3942</v>
      </c>
      <c r="C94" s="14" t="s">
        <v>4590</v>
      </c>
    </row>
    <row r="95" spans="2:3" x14ac:dyDescent="0.25">
      <c r="B95" s="14" t="s">
        <v>3944</v>
      </c>
      <c r="C95" s="14" t="s">
        <v>3537</v>
      </c>
    </row>
    <row r="96" spans="2:3" x14ac:dyDescent="0.25">
      <c r="B96" s="14" t="s">
        <v>3945</v>
      </c>
      <c r="C96" s="14" t="s">
        <v>3534</v>
      </c>
    </row>
    <row r="97" spans="2:3" x14ac:dyDescent="0.25">
      <c r="B97" s="14" t="s">
        <v>3943</v>
      </c>
      <c r="C97" s="14" t="s">
        <v>3538</v>
      </c>
    </row>
    <row r="98" spans="2:3" x14ac:dyDescent="0.25">
      <c r="B98" s="14" t="s">
        <v>3950</v>
      </c>
      <c r="C98" s="14" t="s">
        <v>4061</v>
      </c>
    </row>
    <row r="99" spans="2:3" x14ac:dyDescent="0.25">
      <c r="B99" s="14" t="s">
        <v>3948</v>
      </c>
      <c r="C99" s="14" t="s">
        <v>4060</v>
      </c>
    </row>
    <row r="100" spans="2:3" x14ac:dyDescent="0.25">
      <c r="B100" s="14" t="s">
        <v>3946</v>
      </c>
      <c r="C100" s="14" t="s">
        <v>4304</v>
      </c>
    </row>
    <row r="101" spans="2:3" x14ac:dyDescent="0.25">
      <c r="B101" s="14" t="s">
        <v>3352</v>
      </c>
      <c r="C101" s="14" t="s">
        <v>4303</v>
      </c>
    </row>
    <row r="102" spans="2:3" x14ac:dyDescent="0.25">
      <c r="B102" s="14" t="s">
        <v>3951</v>
      </c>
      <c r="C102" s="14" t="s">
        <v>3851</v>
      </c>
    </row>
    <row r="103" spans="2:3" x14ac:dyDescent="0.25">
      <c r="B103" s="14" t="s">
        <v>3459</v>
      </c>
      <c r="C103" s="14" t="s">
        <v>3850</v>
      </c>
    </row>
    <row r="104" spans="2:3" x14ac:dyDescent="0.25">
      <c r="B104" s="14" t="s">
        <v>3954</v>
      </c>
      <c r="C104" s="14" t="s">
        <v>4459</v>
      </c>
    </row>
    <row r="105" spans="2:3" x14ac:dyDescent="0.25">
      <c r="B105" s="14" t="s">
        <v>3955</v>
      </c>
      <c r="C105" s="14" t="s">
        <v>4460</v>
      </c>
    </row>
    <row r="106" spans="2:3" x14ac:dyDescent="0.25">
      <c r="B106" s="14" t="s">
        <v>3956</v>
      </c>
      <c r="C106" s="14" t="s">
        <v>3369</v>
      </c>
    </row>
    <row r="107" spans="2:3" x14ac:dyDescent="0.25">
      <c r="B107" s="14" t="s">
        <v>3953</v>
      </c>
      <c r="C107" s="14" t="s">
        <v>3467</v>
      </c>
    </row>
    <row r="108" spans="2:3" x14ac:dyDescent="0.25">
      <c r="B108" s="14" t="s">
        <v>3952</v>
      </c>
      <c r="C108" s="14" t="s">
        <v>3466</v>
      </c>
    </row>
    <row r="109" spans="2:3" x14ac:dyDescent="0.25">
      <c r="B109" s="14" t="s">
        <v>3354</v>
      </c>
      <c r="C109" s="14" t="s">
        <v>3365</v>
      </c>
    </row>
    <row r="110" spans="2:3" x14ac:dyDescent="0.25">
      <c r="B110" s="14" t="s">
        <v>3961</v>
      </c>
      <c r="C110" s="14" t="s">
        <v>3370</v>
      </c>
    </row>
    <row r="111" spans="2:3" x14ac:dyDescent="0.25">
      <c r="B111" s="14" t="s">
        <v>3958</v>
      </c>
      <c r="C111" s="14" t="s">
        <v>3371</v>
      </c>
    </row>
    <row r="112" spans="2:3" x14ac:dyDescent="0.25">
      <c r="B112" s="14" t="s">
        <v>3962</v>
      </c>
      <c r="C112" s="14" t="s">
        <v>3882</v>
      </c>
    </row>
    <row r="113" spans="2:3" x14ac:dyDescent="0.25">
      <c r="B113" s="14" t="s">
        <v>3963</v>
      </c>
      <c r="C113" s="14" t="s">
        <v>3883</v>
      </c>
    </row>
    <row r="114" spans="2:3" x14ac:dyDescent="0.25">
      <c r="B114" s="14" t="s">
        <v>3960</v>
      </c>
      <c r="C114" s="14" t="s">
        <v>4167</v>
      </c>
    </row>
    <row r="115" spans="2:3" x14ac:dyDescent="0.25">
      <c r="B115" s="14" t="s">
        <v>3959</v>
      </c>
      <c r="C115" s="14" t="s">
        <v>4166</v>
      </c>
    </row>
    <row r="116" spans="2:3" x14ac:dyDescent="0.25">
      <c r="B116" s="14" t="s">
        <v>3957</v>
      </c>
      <c r="C116" s="14" t="s">
        <v>4421</v>
      </c>
    </row>
    <row r="117" spans="2:3" x14ac:dyDescent="0.25">
      <c r="B117" s="14" t="s">
        <v>3356</v>
      </c>
      <c r="C117" s="14" t="s">
        <v>4423</v>
      </c>
    </row>
    <row r="118" spans="2:3" x14ac:dyDescent="0.25">
      <c r="B118" s="14" t="s">
        <v>3966</v>
      </c>
      <c r="C118" s="14" t="s">
        <v>3975</v>
      </c>
    </row>
    <row r="119" spans="2:3" x14ac:dyDescent="0.25">
      <c r="B119" s="14" t="s">
        <v>3964</v>
      </c>
      <c r="C119" s="14" t="s">
        <v>3977</v>
      </c>
    </row>
    <row r="120" spans="2:3" x14ac:dyDescent="0.25">
      <c r="B120" s="14" t="s">
        <v>3965</v>
      </c>
      <c r="C120" s="14" t="s">
        <v>3976</v>
      </c>
    </row>
    <row r="121" spans="2:3" x14ac:dyDescent="0.25">
      <c r="B121" s="14" t="s">
        <v>3970</v>
      </c>
      <c r="C121" s="14" t="s">
        <v>4688</v>
      </c>
    </row>
    <row r="122" spans="2:3" x14ac:dyDescent="0.25">
      <c r="B122" s="14" t="s">
        <v>3967</v>
      </c>
      <c r="C122" s="14" t="s">
        <v>4687</v>
      </c>
    </row>
    <row r="123" spans="2:3" x14ac:dyDescent="0.25">
      <c r="B123" s="14" t="s">
        <v>3968</v>
      </c>
      <c r="C123" s="14" t="s">
        <v>4589</v>
      </c>
    </row>
    <row r="124" spans="2:3" x14ac:dyDescent="0.25">
      <c r="B124" s="14" t="s">
        <v>3969</v>
      </c>
      <c r="C124" s="14" t="s">
        <v>4591</v>
      </c>
    </row>
    <row r="125" spans="2:3" x14ac:dyDescent="0.25">
      <c r="B125" s="14" t="s">
        <v>3971</v>
      </c>
      <c r="C125" s="14" t="s">
        <v>4559</v>
      </c>
    </row>
    <row r="126" spans="2:3" x14ac:dyDescent="0.25">
      <c r="B126" s="14" t="s">
        <v>3359</v>
      </c>
      <c r="C126" s="14" t="s">
        <v>4560</v>
      </c>
    </row>
    <row r="127" spans="2:3" x14ac:dyDescent="0.25">
      <c r="B127" s="14" t="s">
        <v>3973</v>
      </c>
      <c r="C127" s="14" t="s">
        <v>3539</v>
      </c>
    </row>
    <row r="128" spans="2:3" x14ac:dyDescent="0.25">
      <c r="B128" s="14" t="s">
        <v>3974</v>
      </c>
      <c r="C128" s="14" t="s">
        <v>3534</v>
      </c>
    </row>
    <row r="129" spans="2:3" x14ac:dyDescent="0.25">
      <c r="B129" s="14" t="s">
        <v>3972</v>
      </c>
      <c r="C129" s="14" t="s">
        <v>3540</v>
      </c>
    </row>
    <row r="130" spans="2:3" x14ac:dyDescent="0.25">
      <c r="B130" s="14" t="s">
        <v>3250</v>
      </c>
      <c r="C130" s="14" t="s">
        <v>3582</v>
      </c>
    </row>
    <row r="131" spans="2:3" x14ac:dyDescent="0.25">
      <c r="B131"/>
      <c r="C131" s="14" t="s">
        <v>3581</v>
      </c>
    </row>
    <row r="132" spans="2:3" x14ac:dyDescent="0.25">
      <c r="B132"/>
      <c r="C132" s="14" t="s">
        <v>4061</v>
      </c>
    </row>
    <row r="133" spans="2:3" x14ac:dyDescent="0.25">
      <c r="B133"/>
      <c r="C133" s="14" t="s">
        <v>4062</v>
      </c>
    </row>
    <row r="134" spans="2:3" x14ac:dyDescent="0.25">
      <c r="B134"/>
      <c r="C134" s="14" t="s">
        <v>4304</v>
      </c>
    </row>
    <row r="135" spans="2:3" x14ac:dyDescent="0.25">
      <c r="B135"/>
      <c r="C135" s="14" t="s">
        <v>4305</v>
      </c>
    </row>
    <row r="136" spans="2:3" x14ac:dyDescent="0.25">
      <c r="B136"/>
      <c r="C136" s="14" t="s">
        <v>4207</v>
      </c>
    </row>
    <row r="137" spans="2:3" x14ac:dyDescent="0.25">
      <c r="B137"/>
      <c r="C137" s="14" t="s">
        <v>4208</v>
      </c>
    </row>
    <row r="138" spans="2:3" x14ac:dyDescent="0.25">
      <c r="B138"/>
      <c r="C138" s="14" t="s">
        <v>4206</v>
      </c>
    </row>
    <row r="139" spans="2:3" x14ac:dyDescent="0.25">
      <c r="B139"/>
      <c r="C139" s="14" t="s">
        <v>3851</v>
      </c>
    </row>
    <row r="140" spans="2:3" x14ac:dyDescent="0.25">
      <c r="B140"/>
      <c r="C140" s="14" t="s">
        <v>3852</v>
      </c>
    </row>
    <row r="141" spans="2:3" x14ac:dyDescent="0.25">
      <c r="B141"/>
      <c r="C141" s="14" t="s">
        <v>4688</v>
      </c>
    </row>
    <row r="142" spans="2:3" x14ac:dyDescent="0.25">
      <c r="B142"/>
      <c r="C142" s="14" t="s">
        <v>4689</v>
      </c>
    </row>
    <row r="143" spans="2:3" x14ac:dyDescent="0.25">
      <c r="B143"/>
      <c r="C143" s="14" t="s">
        <v>4022</v>
      </c>
    </row>
    <row r="144" spans="2:3" x14ac:dyDescent="0.25">
      <c r="B144"/>
      <c r="C144" s="14" t="s">
        <v>4023</v>
      </c>
    </row>
    <row r="145" spans="2:3" x14ac:dyDescent="0.25">
      <c r="B145"/>
      <c r="C145" s="14" t="s">
        <v>3541</v>
      </c>
    </row>
    <row r="146" spans="2:3" x14ac:dyDescent="0.25">
      <c r="B146"/>
      <c r="C146" s="14" t="s">
        <v>3534</v>
      </c>
    </row>
    <row r="147" spans="2:3" x14ac:dyDescent="0.25">
      <c r="B147"/>
      <c r="C147" s="14" t="s">
        <v>3542</v>
      </c>
    </row>
    <row r="148" spans="2:3" x14ac:dyDescent="0.25">
      <c r="B148"/>
      <c r="C148" s="14" t="s">
        <v>3781</v>
      </c>
    </row>
    <row r="149" spans="2:3" x14ac:dyDescent="0.25">
      <c r="B149"/>
      <c r="C149" s="14" t="s">
        <v>3788</v>
      </c>
    </row>
    <row r="150" spans="2:3" x14ac:dyDescent="0.25">
      <c r="B150"/>
      <c r="C150" s="14" t="s">
        <v>3789</v>
      </c>
    </row>
    <row r="151" spans="2:3" x14ac:dyDescent="0.25">
      <c r="B151"/>
      <c r="C151" s="14" t="s">
        <v>3750</v>
      </c>
    </row>
    <row r="152" spans="2:3" x14ac:dyDescent="0.25">
      <c r="B152"/>
      <c r="C152" s="14" t="s">
        <v>3749</v>
      </c>
    </row>
    <row r="153" spans="2:3" x14ac:dyDescent="0.25">
      <c r="B153"/>
      <c r="C153" s="14" t="s">
        <v>4514</v>
      </c>
    </row>
    <row r="154" spans="2:3" x14ac:dyDescent="0.25">
      <c r="B154"/>
      <c r="C154" s="14" t="s">
        <v>4515</v>
      </c>
    </row>
    <row r="155" spans="2:3" x14ac:dyDescent="0.25">
      <c r="B155"/>
      <c r="C155" s="14" t="s">
        <v>4732</v>
      </c>
    </row>
    <row r="156" spans="2:3" x14ac:dyDescent="0.25">
      <c r="B156"/>
      <c r="C156" s="14" t="s">
        <v>4733</v>
      </c>
    </row>
    <row r="157" spans="2:3" x14ac:dyDescent="0.25">
      <c r="B157"/>
      <c r="C157" s="14" t="s">
        <v>4645</v>
      </c>
    </row>
    <row r="158" spans="2:3" x14ac:dyDescent="0.25">
      <c r="B158"/>
      <c r="C158" s="14" t="s">
        <v>4644</v>
      </c>
    </row>
    <row r="159" spans="2:3" x14ac:dyDescent="0.25">
      <c r="B159"/>
      <c r="C159" s="14" t="s">
        <v>4022</v>
      </c>
    </row>
    <row r="160" spans="2:3" x14ac:dyDescent="0.25">
      <c r="B160"/>
      <c r="C160" s="14" t="s">
        <v>4024</v>
      </c>
    </row>
    <row r="161" spans="2:3" x14ac:dyDescent="0.25">
      <c r="B161"/>
      <c r="C161" s="14" t="s">
        <v>3751</v>
      </c>
    </row>
    <row r="162" spans="2:3" x14ac:dyDescent="0.25">
      <c r="B162"/>
      <c r="C162" s="14" t="s">
        <v>4167</v>
      </c>
    </row>
    <row r="163" spans="2:3" x14ac:dyDescent="0.25">
      <c r="B163"/>
      <c r="C163" s="14" t="s">
        <v>4168</v>
      </c>
    </row>
    <row r="164" spans="2:3" x14ac:dyDescent="0.25">
      <c r="B164"/>
      <c r="C164" s="14" t="s">
        <v>3977</v>
      </c>
    </row>
    <row r="165" spans="2:3" x14ac:dyDescent="0.25">
      <c r="B165"/>
      <c r="C165" s="14" t="s">
        <v>3978</v>
      </c>
    </row>
    <row r="166" spans="2:3" x14ac:dyDescent="0.25">
      <c r="B166"/>
      <c r="C166" s="14" t="s">
        <v>3750</v>
      </c>
    </row>
    <row r="167" spans="2:3" x14ac:dyDescent="0.25">
      <c r="B167"/>
      <c r="C167" s="14" t="s">
        <v>3752</v>
      </c>
    </row>
    <row r="168" spans="2:3" x14ac:dyDescent="0.25">
      <c r="B168"/>
      <c r="C168" s="14" t="s">
        <v>4514</v>
      </c>
    </row>
    <row r="169" spans="2:3" x14ac:dyDescent="0.25">
      <c r="B169"/>
      <c r="C169" s="14" t="s">
        <v>4516</v>
      </c>
    </row>
    <row r="170" spans="2:3" x14ac:dyDescent="0.25">
      <c r="B170"/>
      <c r="C170" s="14" t="s">
        <v>4732</v>
      </c>
    </row>
    <row r="171" spans="2:3" x14ac:dyDescent="0.25">
      <c r="B171"/>
      <c r="C171" s="14" t="s">
        <v>4734</v>
      </c>
    </row>
    <row r="172" spans="2:3" x14ac:dyDescent="0.25">
      <c r="B172"/>
      <c r="C172" s="14" t="s">
        <v>4421</v>
      </c>
    </row>
    <row r="173" spans="2:3" x14ac:dyDescent="0.25">
      <c r="B173"/>
      <c r="C173" s="14" t="s">
        <v>4424</v>
      </c>
    </row>
    <row r="174" spans="2:3" x14ac:dyDescent="0.25">
      <c r="B174"/>
      <c r="C174" s="14" t="s">
        <v>4104</v>
      </c>
    </row>
    <row r="175" spans="2:3" x14ac:dyDescent="0.25">
      <c r="B175"/>
      <c r="C175" s="14" t="s">
        <v>4107</v>
      </c>
    </row>
    <row r="176" spans="2:3" x14ac:dyDescent="0.25">
      <c r="B176"/>
      <c r="C176" s="14" t="s">
        <v>4108</v>
      </c>
    </row>
    <row r="177" spans="2:3" x14ac:dyDescent="0.25">
      <c r="B177"/>
      <c r="C177" s="14" t="s">
        <v>3543</v>
      </c>
    </row>
    <row r="178" spans="2:3" x14ac:dyDescent="0.25">
      <c r="B178"/>
      <c r="C178" s="14" t="s">
        <v>3534</v>
      </c>
    </row>
    <row r="179" spans="2:3" x14ac:dyDescent="0.25">
      <c r="B179"/>
      <c r="C179" s="14" t="s">
        <v>3544</v>
      </c>
    </row>
    <row r="180" spans="2:3" x14ac:dyDescent="0.25">
      <c r="B180"/>
      <c r="C180" s="14" t="s">
        <v>3977</v>
      </c>
    </row>
    <row r="181" spans="2:3" x14ac:dyDescent="0.25">
      <c r="B181"/>
      <c r="C181" s="14" t="s">
        <v>3979</v>
      </c>
    </row>
    <row r="182" spans="2:3" x14ac:dyDescent="0.25">
      <c r="B182"/>
      <c r="C182" s="14" t="s">
        <v>4421</v>
      </c>
    </row>
    <row r="183" spans="2:3" x14ac:dyDescent="0.25">
      <c r="B183"/>
      <c r="C183" s="14" t="s">
        <v>4425</v>
      </c>
    </row>
    <row r="184" spans="2:3" x14ac:dyDescent="0.25">
      <c r="B184"/>
      <c r="C184" s="14" t="s">
        <v>3654</v>
      </c>
    </row>
    <row r="185" spans="2:3" x14ac:dyDescent="0.25">
      <c r="B185"/>
      <c r="C185" s="14" t="s">
        <v>3655</v>
      </c>
    </row>
    <row r="186" spans="2:3" x14ac:dyDescent="0.25">
      <c r="B186"/>
      <c r="C186" s="14" t="s">
        <v>4063</v>
      </c>
    </row>
    <row r="187" spans="2:3" x14ac:dyDescent="0.25">
      <c r="B187"/>
      <c r="C187" s="14" t="s">
        <v>4061</v>
      </c>
    </row>
    <row r="188" spans="2:3" x14ac:dyDescent="0.25">
      <c r="B188"/>
      <c r="C188" s="14" t="s">
        <v>4064</v>
      </c>
    </row>
    <row r="189" spans="2:3" x14ac:dyDescent="0.25">
      <c r="B189"/>
      <c r="C189" s="14" t="s">
        <v>4167</v>
      </c>
    </row>
    <row r="190" spans="2:3" x14ac:dyDescent="0.25">
      <c r="B190"/>
      <c r="C190" s="14" t="s">
        <v>4169</v>
      </c>
    </row>
    <row r="191" spans="2:3" x14ac:dyDescent="0.25">
      <c r="B191"/>
      <c r="C191" s="14" t="s">
        <v>4688</v>
      </c>
    </row>
    <row r="192" spans="2:3" x14ac:dyDescent="0.25">
      <c r="B192"/>
      <c r="C192" s="14" t="s">
        <v>4690</v>
      </c>
    </row>
    <row r="193" spans="2:3" x14ac:dyDescent="0.25">
      <c r="B193"/>
      <c r="C193" s="14" t="s">
        <v>4514</v>
      </c>
    </row>
    <row r="194" spans="2:3" x14ac:dyDescent="0.25">
      <c r="B194"/>
      <c r="C194" s="14" t="s">
        <v>4517</v>
      </c>
    </row>
    <row r="195" spans="2:3" x14ac:dyDescent="0.25">
      <c r="B195"/>
      <c r="C195" s="14" t="s">
        <v>4228</v>
      </c>
    </row>
    <row r="196" spans="2:3" x14ac:dyDescent="0.25">
      <c r="B196"/>
      <c r="C196" s="14" t="s">
        <v>4229</v>
      </c>
    </row>
    <row r="197" spans="2:3" x14ac:dyDescent="0.25">
      <c r="B197"/>
      <c r="C197" s="14" t="s">
        <v>4227</v>
      </c>
    </row>
    <row r="198" spans="2:3" x14ac:dyDescent="0.25">
      <c r="B198"/>
      <c r="C198" s="14" t="s">
        <v>3545</v>
      </c>
    </row>
    <row r="199" spans="2:3" x14ac:dyDescent="0.25">
      <c r="B199"/>
      <c r="C199" s="14" t="s">
        <v>3534</v>
      </c>
    </row>
    <row r="200" spans="2:3" x14ac:dyDescent="0.25">
      <c r="B200"/>
      <c r="C200" s="14" t="s">
        <v>3546</v>
      </c>
    </row>
    <row r="201" spans="2:3" x14ac:dyDescent="0.25">
      <c r="B201"/>
      <c r="C201" s="14" t="s">
        <v>4514</v>
      </c>
    </row>
    <row r="202" spans="2:3" x14ac:dyDescent="0.25">
      <c r="B202"/>
      <c r="C202" s="14" t="s">
        <v>4518</v>
      </c>
    </row>
    <row r="203" spans="2:3" x14ac:dyDescent="0.25">
      <c r="B203"/>
      <c r="C203" s="14" t="s">
        <v>4645</v>
      </c>
    </row>
    <row r="204" spans="2:3" x14ac:dyDescent="0.25">
      <c r="B204"/>
      <c r="C204" s="14" t="s">
        <v>4646</v>
      </c>
    </row>
    <row r="205" spans="2:3" x14ac:dyDescent="0.25">
      <c r="B205"/>
      <c r="C205" s="14" t="s">
        <v>3547</v>
      </c>
    </row>
    <row r="206" spans="2:3" x14ac:dyDescent="0.25">
      <c r="B206"/>
      <c r="C206" s="14" t="s">
        <v>3534</v>
      </c>
    </row>
    <row r="207" spans="2:3" x14ac:dyDescent="0.25">
      <c r="B207"/>
      <c r="C207" s="14" t="s">
        <v>3548</v>
      </c>
    </row>
    <row r="208" spans="2:3" x14ac:dyDescent="0.25">
      <c r="B208"/>
      <c r="C208" s="14" t="s">
        <v>4349</v>
      </c>
    </row>
    <row r="209" spans="2:3" x14ac:dyDescent="0.25">
      <c r="B209"/>
      <c r="C209" s="14" t="s">
        <v>4352</v>
      </c>
    </row>
    <row r="210" spans="2:3" x14ac:dyDescent="0.25">
      <c r="B210"/>
      <c r="C210" s="14" t="s">
        <v>4351</v>
      </c>
    </row>
    <row r="211" spans="2:3" x14ac:dyDescent="0.25">
      <c r="B211"/>
      <c r="C211" s="14" t="s">
        <v>3882</v>
      </c>
    </row>
    <row r="212" spans="2:3" x14ac:dyDescent="0.25">
      <c r="B212"/>
      <c r="C212" s="14" t="s">
        <v>3884</v>
      </c>
    </row>
    <row r="213" spans="2:3" x14ac:dyDescent="0.25">
      <c r="B213"/>
      <c r="C213" s="14" t="s">
        <v>4167</v>
      </c>
    </row>
    <row r="214" spans="2:3" x14ac:dyDescent="0.25">
      <c r="B214"/>
      <c r="C214" s="14" t="s">
        <v>4170</v>
      </c>
    </row>
    <row r="215" spans="2:3" x14ac:dyDescent="0.25">
      <c r="B215"/>
      <c r="C215" s="14" t="s">
        <v>4688</v>
      </c>
    </row>
    <row r="216" spans="2:3" ht="30" x14ac:dyDescent="0.25">
      <c r="B216"/>
      <c r="C216" s="14" t="s">
        <v>4691</v>
      </c>
    </row>
    <row r="217" spans="2:3" x14ac:dyDescent="0.25">
      <c r="B217"/>
      <c r="C217" s="14" t="s">
        <v>4589</v>
      </c>
    </row>
    <row r="218" spans="2:3" x14ac:dyDescent="0.25">
      <c r="B218"/>
      <c r="C218" s="14" t="s">
        <v>4592</v>
      </c>
    </row>
    <row r="219" spans="2:3" x14ac:dyDescent="0.25">
      <c r="B219"/>
      <c r="C219" s="14" t="s">
        <v>3654</v>
      </c>
    </row>
    <row r="220" spans="2:3" x14ac:dyDescent="0.25">
      <c r="B220"/>
      <c r="C220" s="14" t="s">
        <v>3656</v>
      </c>
    </row>
    <row r="221" spans="2:3" x14ac:dyDescent="0.25">
      <c r="C221" s="14" t="s">
        <v>3285</v>
      </c>
    </row>
    <row r="222" spans="2:3" x14ac:dyDescent="0.25">
      <c r="C222" s="14" t="s">
        <v>4167</v>
      </c>
    </row>
    <row r="223" spans="2:3" x14ac:dyDescent="0.25">
      <c r="C223" s="14" t="s">
        <v>4171</v>
      </c>
    </row>
    <row r="224" spans="2:3" x14ac:dyDescent="0.25">
      <c r="C224" s="14" t="s">
        <v>3287</v>
      </c>
    </row>
    <row r="225" spans="3:3" x14ac:dyDescent="0.25">
      <c r="C225" s="14" t="s">
        <v>3286</v>
      </c>
    </row>
    <row r="226" spans="3:3" x14ac:dyDescent="0.25">
      <c r="C226" s="14" t="s">
        <v>3549</v>
      </c>
    </row>
    <row r="227" spans="3:3" x14ac:dyDescent="0.25">
      <c r="C227" s="14" t="s">
        <v>3534</v>
      </c>
    </row>
    <row r="228" spans="3:3" x14ac:dyDescent="0.25">
      <c r="C228" s="14" t="s">
        <v>3550</v>
      </c>
    </row>
    <row r="229" spans="3:3" x14ac:dyDescent="0.25">
      <c r="C229" s="14" t="s">
        <v>4167</v>
      </c>
    </row>
    <row r="230" spans="3:3" x14ac:dyDescent="0.25">
      <c r="C230" s="14" t="s">
        <v>4172</v>
      </c>
    </row>
    <row r="231" spans="3:3" x14ac:dyDescent="0.25">
      <c r="C231" s="14" t="s">
        <v>4732</v>
      </c>
    </row>
    <row r="232" spans="3:3" x14ac:dyDescent="0.25">
      <c r="C232" s="14" t="s">
        <v>4735</v>
      </c>
    </row>
    <row r="233" spans="3:3" x14ac:dyDescent="0.25">
      <c r="C233" s="14" t="s">
        <v>4265</v>
      </c>
    </row>
    <row r="234" spans="3:3" x14ac:dyDescent="0.25">
      <c r="C234" s="14" t="s">
        <v>4264</v>
      </c>
    </row>
    <row r="235" spans="3:3" x14ac:dyDescent="0.25">
      <c r="C235" s="14" t="s">
        <v>4589</v>
      </c>
    </row>
    <row r="236" spans="3:3" x14ac:dyDescent="0.25">
      <c r="C236" s="14" t="s">
        <v>4593</v>
      </c>
    </row>
    <row r="237" spans="3:3" x14ac:dyDescent="0.25">
      <c r="C237" s="14" t="s">
        <v>4559</v>
      </c>
    </row>
    <row r="238" spans="3:3" x14ac:dyDescent="0.25">
      <c r="C238" s="14" t="s">
        <v>4561</v>
      </c>
    </row>
    <row r="239" spans="3:3" x14ac:dyDescent="0.25">
      <c r="C239" s="14" t="s">
        <v>3657</v>
      </c>
    </row>
    <row r="240" spans="3:3" x14ac:dyDescent="0.25">
      <c r="C240" s="14" t="s">
        <v>4349</v>
      </c>
    </row>
    <row r="241" spans="3:3" x14ac:dyDescent="0.25">
      <c r="C241" s="14" t="s">
        <v>4353</v>
      </c>
    </row>
    <row r="242" spans="3:3" x14ac:dyDescent="0.25">
      <c r="C242" s="14" t="s">
        <v>3882</v>
      </c>
    </row>
    <row r="243" spans="3:3" x14ac:dyDescent="0.25">
      <c r="C243" s="14" t="s">
        <v>3885</v>
      </c>
    </row>
    <row r="244" spans="3:3" x14ac:dyDescent="0.25">
      <c r="C244" s="14" t="s">
        <v>4732</v>
      </c>
    </row>
    <row r="245" spans="3:3" x14ac:dyDescent="0.25">
      <c r="C245" s="14" t="s">
        <v>4736</v>
      </c>
    </row>
    <row r="246" spans="3:3" x14ac:dyDescent="0.25">
      <c r="C246" s="14" t="s">
        <v>4589</v>
      </c>
    </row>
    <row r="247" spans="3:3" x14ac:dyDescent="0.25">
      <c r="C247" s="14" t="s">
        <v>4594</v>
      </c>
    </row>
    <row r="248" spans="3:3" x14ac:dyDescent="0.25">
      <c r="C248" s="14" t="s">
        <v>3654</v>
      </c>
    </row>
    <row r="249" spans="3:3" x14ac:dyDescent="0.25">
      <c r="C249" s="14" t="s">
        <v>3658</v>
      </c>
    </row>
    <row r="250" spans="3:3" x14ac:dyDescent="0.25">
      <c r="C250" s="14" t="s">
        <v>4645</v>
      </c>
    </row>
    <row r="251" spans="3:3" x14ac:dyDescent="0.25">
      <c r="C251" s="14" t="s">
        <v>4647</v>
      </c>
    </row>
    <row r="252" spans="3:3" x14ac:dyDescent="0.25">
      <c r="C252" s="14" t="s">
        <v>3468</v>
      </c>
    </row>
    <row r="253" spans="3:3" x14ac:dyDescent="0.25">
      <c r="C253" s="14" t="s">
        <v>3467</v>
      </c>
    </row>
    <row r="254" spans="3:3" x14ac:dyDescent="0.25">
      <c r="C254" s="14" t="s">
        <v>3469</v>
      </c>
    </row>
    <row r="255" spans="3:3" x14ac:dyDescent="0.25">
      <c r="C255" s="14" t="s">
        <v>3534</v>
      </c>
    </row>
    <row r="256" spans="3:3" x14ac:dyDescent="0.25">
      <c r="C256" s="14" t="s">
        <v>3552</v>
      </c>
    </row>
    <row r="257" spans="3:3" x14ac:dyDescent="0.25">
      <c r="C257" s="14" t="s">
        <v>3551</v>
      </c>
    </row>
    <row r="258" spans="3:3" x14ac:dyDescent="0.25">
      <c r="C258" s="14" t="s">
        <v>4061</v>
      </c>
    </row>
    <row r="259" spans="3:3" x14ac:dyDescent="0.25">
      <c r="C259" s="14" t="s">
        <v>4065</v>
      </c>
    </row>
    <row r="260" spans="3:3" x14ac:dyDescent="0.25">
      <c r="C260" s="14" t="s">
        <v>4066</v>
      </c>
    </row>
    <row r="261" spans="3:3" x14ac:dyDescent="0.25">
      <c r="C261" s="14" t="s">
        <v>4167</v>
      </c>
    </row>
    <row r="262" spans="3:3" x14ac:dyDescent="0.25">
      <c r="C262" s="14" t="s">
        <v>4173</v>
      </c>
    </row>
    <row r="263" spans="3:3" x14ac:dyDescent="0.25">
      <c r="C263" s="14" t="s">
        <v>3750</v>
      </c>
    </row>
    <row r="264" spans="3:3" x14ac:dyDescent="0.25">
      <c r="C264" s="14" t="s">
        <v>3753</v>
      </c>
    </row>
    <row r="265" spans="3:3" x14ac:dyDescent="0.25">
      <c r="C265" s="14" t="s">
        <v>4589</v>
      </c>
    </row>
    <row r="266" spans="3:3" x14ac:dyDescent="0.25">
      <c r="C266" s="14" t="s">
        <v>4595</v>
      </c>
    </row>
    <row r="267" spans="3:3" x14ac:dyDescent="0.25">
      <c r="C267" s="14" t="s">
        <v>3654</v>
      </c>
    </row>
    <row r="268" spans="3:3" x14ac:dyDescent="0.25">
      <c r="C268" s="14" t="s">
        <v>3659</v>
      </c>
    </row>
    <row r="269" spans="3:3" x14ac:dyDescent="0.25">
      <c r="C269" s="14" t="s">
        <v>3372</v>
      </c>
    </row>
    <row r="270" spans="3:3" x14ac:dyDescent="0.25">
      <c r="C270" s="14" t="s">
        <v>3365</v>
      </c>
    </row>
    <row r="271" spans="3:3" x14ac:dyDescent="0.25">
      <c r="C271" s="14" t="s">
        <v>3374</v>
      </c>
    </row>
    <row r="272" spans="3:3" x14ac:dyDescent="0.25">
      <c r="C272" s="14" t="s">
        <v>3373</v>
      </c>
    </row>
    <row r="273" spans="3:3" x14ac:dyDescent="0.25">
      <c r="C273" s="14" t="s">
        <v>4304</v>
      </c>
    </row>
    <row r="274" spans="3:3" x14ac:dyDescent="0.25">
      <c r="C274" s="14" t="s">
        <v>4306</v>
      </c>
    </row>
    <row r="275" spans="3:3" x14ac:dyDescent="0.25">
      <c r="C275" s="14" t="s">
        <v>4104</v>
      </c>
    </row>
    <row r="276" spans="3:3" x14ac:dyDescent="0.25">
      <c r="C276" s="14" t="s">
        <v>4109</v>
      </c>
    </row>
    <row r="277" spans="3:3" x14ac:dyDescent="0.25">
      <c r="C277" s="14" t="s">
        <v>3470</v>
      </c>
    </row>
    <row r="278" spans="3:3" x14ac:dyDescent="0.25">
      <c r="C278" s="14" t="s">
        <v>3467</v>
      </c>
    </row>
    <row r="279" spans="3:3" x14ac:dyDescent="0.25">
      <c r="C279" s="14" t="s">
        <v>3471</v>
      </c>
    </row>
    <row r="280" spans="3:3" x14ac:dyDescent="0.25">
      <c r="C280" s="14" t="s">
        <v>3882</v>
      </c>
    </row>
    <row r="281" spans="3:3" x14ac:dyDescent="0.25">
      <c r="C281" s="14" t="s">
        <v>3886</v>
      </c>
    </row>
    <row r="282" spans="3:3" x14ac:dyDescent="0.25">
      <c r="C282" s="14" t="s">
        <v>4304</v>
      </c>
    </row>
    <row r="283" spans="3:3" x14ac:dyDescent="0.25">
      <c r="C283" s="14" t="s">
        <v>4307</v>
      </c>
    </row>
    <row r="284" spans="3:3" x14ac:dyDescent="0.25">
      <c r="C284" s="14" t="s">
        <v>4207</v>
      </c>
    </row>
    <row r="285" spans="3:3" x14ac:dyDescent="0.25">
      <c r="C285" s="14" t="s">
        <v>4209</v>
      </c>
    </row>
    <row r="286" spans="3:3" x14ac:dyDescent="0.25">
      <c r="C286" s="14" t="s">
        <v>4688</v>
      </c>
    </row>
    <row r="287" spans="3:3" x14ac:dyDescent="0.25">
      <c r="C287" s="14" t="s">
        <v>4692</v>
      </c>
    </row>
    <row r="288" spans="3:3" x14ac:dyDescent="0.25">
      <c r="C288" s="14" t="s">
        <v>4514</v>
      </c>
    </row>
    <row r="289" spans="3:3" x14ac:dyDescent="0.25">
      <c r="C289" s="14" t="s">
        <v>4519</v>
      </c>
    </row>
    <row r="290" spans="3:3" x14ac:dyDescent="0.25">
      <c r="C290" s="14" t="s">
        <v>4228</v>
      </c>
    </row>
    <row r="291" spans="3:3" x14ac:dyDescent="0.25">
      <c r="C291" s="14" t="s">
        <v>4230</v>
      </c>
    </row>
    <row r="292" spans="3:3" x14ac:dyDescent="0.25">
      <c r="C292" s="14" t="s">
        <v>4559</v>
      </c>
    </row>
    <row r="293" spans="3:3" x14ac:dyDescent="0.25">
      <c r="C293" s="14" t="s">
        <v>4562</v>
      </c>
    </row>
    <row r="294" spans="3:3" x14ac:dyDescent="0.25">
      <c r="C294" s="14" t="s">
        <v>3375</v>
      </c>
    </row>
    <row r="295" spans="3:3" x14ac:dyDescent="0.25">
      <c r="C295" s="14" t="s">
        <v>3365</v>
      </c>
    </row>
    <row r="296" spans="3:3" x14ac:dyDescent="0.25">
      <c r="C296" s="14" t="s">
        <v>3376</v>
      </c>
    </row>
    <row r="297" spans="3:3" x14ac:dyDescent="0.25">
      <c r="C297" s="14" t="s">
        <v>3534</v>
      </c>
    </row>
    <row r="298" spans="3:3" x14ac:dyDescent="0.25">
      <c r="C298" s="14" t="s">
        <v>3553</v>
      </c>
    </row>
    <row r="299" spans="3:3" x14ac:dyDescent="0.25">
      <c r="C299" s="14" t="s">
        <v>4349</v>
      </c>
    </row>
    <row r="300" spans="3:3" x14ac:dyDescent="0.25">
      <c r="C300" s="14" t="s">
        <v>4354</v>
      </c>
    </row>
    <row r="301" spans="3:3" x14ac:dyDescent="0.25">
      <c r="C301" s="14" t="s">
        <v>3882</v>
      </c>
    </row>
    <row r="302" spans="3:3" x14ac:dyDescent="0.25">
      <c r="C302" s="14" t="s">
        <v>3887</v>
      </c>
    </row>
    <row r="303" spans="3:3" x14ac:dyDescent="0.25">
      <c r="C303" s="14" t="s">
        <v>3977</v>
      </c>
    </row>
    <row r="304" spans="3:3" x14ac:dyDescent="0.25">
      <c r="C304" s="14" t="s">
        <v>3980</v>
      </c>
    </row>
    <row r="305" spans="3:3" x14ac:dyDescent="0.25">
      <c r="C305" s="14" t="s">
        <v>4514</v>
      </c>
    </row>
    <row r="306" spans="3:3" x14ac:dyDescent="0.25">
      <c r="C306" s="14" t="s">
        <v>4520</v>
      </c>
    </row>
    <row r="307" spans="3:3" x14ac:dyDescent="0.25">
      <c r="C307" s="14" t="s">
        <v>4265</v>
      </c>
    </row>
    <row r="308" spans="3:3" x14ac:dyDescent="0.25">
      <c r="C308" s="14" t="s">
        <v>4266</v>
      </c>
    </row>
    <row r="309" spans="3:3" x14ac:dyDescent="0.25">
      <c r="C309" s="14" t="s">
        <v>4645</v>
      </c>
    </row>
    <row r="310" spans="3:3" x14ac:dyDescent="0.25">
      <c r="C310" s="14" t="s">
        <v>4648</v>
      </c>
    </row>
    <row r="311" spans="3:3" x14ac:dyDescent="0.25">
      <c r="C311" s="14" t="s">
        <v>3288</v>
      </c>
    </row>
    <row r="312" spans="3:3" x14ac:dyDescent="0.25">
      <c r="C312" s="14" t="s">
        <v>3365</v>
      </c>
    </row>
    <row r="313" spans="3:3" x14ac:dyDescent="0.25">
      <c r="C313" s="14" t="s">
        <v>3377</v>
      </c>
    </row>
    <row r="314" spans="3:3" x14ac:dyDescent="0.25">
      <c r="C314" s="14" t="s">
        <v>3534</v>
      </c>
    </row>
    <row r="315" spans="3:3" x14ac:dyDescent="0.25">
      <c r="C315" s="14" t="s">
        <v>3554</v>
      </c>
    </row>
    <row r="316" spans="3:3" x14ac:dyDescent="0.25">
      <c r="C316" s="14" t="s">
        <v>3582</v>
      </c>
    </row>
    <row r="317" spans="3:3" x14ac:dyDescent="0.25">
      <c r="C317" s="14" t="s">
        <v>3583</v>
      </c>
    </row>
    <row r="318" spans="3:3" x14ac:dyDescent="0.25">
      <c r="C318" s="14" t="s">
        <v>3882</v>
      </c>
    </row>
    <row r="319" spans="3:3" x14ac:dyDescent="0.25">
      <c r="C319" s="14" t="s">
        <v>3888</v>
      </c>
    </row>
    <row r="320" spans="3:3" x14ac:dyDescent="0.25">
      <c r="C320" s="14" t="s">
        <v>4167</v>
      </c>
    </row>
    <row r="321" spans="3:3" x14ac:dyDescent="0.25">
      <c r="C321" s="14" t="s">
        <v>4174</v>
      </c>
    </row>
    <row r="322" spans="3:3" x14ac:dyDescent="0.25">
      <c r="C322" s="14" t="s">
        <v>3977</v>
      </c>
    </row>
    <row r="323" spans="3:3" x14ac:dyDescent="0.25">
      <c r="C323" s="14" t="s">
        <v>3981</v>
      </c>
    </row>
    <row r="324" spans="3:3" x14ac:dyDescent="0.25">
      <c r="C324" s="14" t="s">
        <v>4688</v>
      </c>
    </row>
    <row r="325" spans="3:3" x14ac:dyDescent="0.25">
      <c r="C325" s="14" t="s">
        <v>4693</v>
      </c>
    </row>
    <row r="326" spans="3:3" x14ac:dyDescent="0.25">
      <c r="C326" s="14" t="s">
        <v>4514</v>
      </c>
    </row>
    <row r="327" spans="3:3" x14ac:dyDescent="0.25">
      <c r="C327" s="14" t="s">
        <v>4521</v>
      </c>
    </row>
    <row r="328" spans="3:3" x14ac:dyDescent="0.25">
      <c r="C328" s="14" t="s">
        <v>4104</v>
      </c>
    </row>
    <row r="329" spans="3:3" x14ac:dyDescent="0.25">
      <c r="C329" s="14" t="s">
        <v>4110</v>
      </c>
    </row>
    <row r="330" spans="3:3" x14ac:dyDescent="0.25">
      <c r="C330" s="14" t="s">
        <v>4459</v>
      </c>
    </row>
    <row r="331" spans="3:3" x14ac:dyDescent="0.25">
      <c r="C331" s="14" t="s">
        <v>4461</v>
      </c>
    </row>
    <row r="332" spans="3:3" x14ac:dyDescent="0.25">
      <c r="C332" s="14" t="s">
        <v>4559</v>
      </c>
    </row>
    <row r="333" spans="3:3" x14ac:dyDescent="0.25">
      <c r="C333" s="14" t="s">
        <v>4563</v>
      </c>
    </row>
    <row r="334" spans="3:3" x14ac:dyDescent="0.25">
      <c r="C334" s="14" t="s">
        <v>3287</v>
      </c>
    </row>
    <row r="335" spans="3:3" x14ac:dyDescent="0.25">
      <c r="C335" s="14" t="s">
        <v>3289</v>
      </c>
    </row>
    <row r="336" spans="3:3" x14ac:dyDescent="0.25">
      <c r="C336" s="14" t="s">
        <v>4022</v>
      </c>
    </row>
    <row r="337" spans="3:3" x14ac:dyDescent="0.25">
      <c r="C337" s="14" t="s">
        <v>4025</v>
      </c>
    </row>
    <row r="338" spans="3:3" x14ac:dyDescent="0.25">
      <c r="C338" s="14" t="s">
        <v>4175</v>
      </c>
    </row>
    <row r="339" spans="3:3" x14ac:dyDescent="0.25">
      <c r="C339" s="14" t="s">
        <v>4167</v>
      </c>
    </row>
    <row r="340" spans="3:3" x14ac:dyDescent="0.25">
      <c r="C340" s="14" t="s">
        <v>4176</v>
      </c>
    </row>
    <row r="341" spans="3:3" x14ac:dyDescent="0.25">
      <c r="C341" s="14" t="s">
        <v>3555</v>
      </c>
    </row>
    <row r="342" spans="3:3" x14ac:dyDescent="0.25">
      <c r="C342" s="14" t="s">
        <v>3534</v>
      </c>
    </row>
    <row r="343" spans="3:3" x14ac:dyDescent="0.25">
      <c r="C343" s="14" t="s">
        <v>3556</v>
      </c>
    </row>
    <row r="344" spans="3:3" x14ac:dyDescent="0.25">
      <c r="C344" s="14" t="s">
        <v>3582</v>
      </c>
    </row>
    <row r="345" spans="3:3" x14ac:dyDescent="0.25">
      <c r="C345" s="14" t="s">
        <v>3584</v>
      </c>
    </row>
    <row r="346" spans="3:3" x14ac:dyDescent="0.25">
      <c r="C346" s="14" t="s">
        <v>3585</v>
      </c>
    </row>
    <row r="347" spans="3:3" x14ac:dyDescent="0.25">
      <c r="C347" s="14" t="s">
        <v>4304</v>
      </c>
    </row>
    <row r="348" spans="3:3" x14ac:dyDescent="0.25">
      <c r="C348" s="14" t="s">
        <v>4308</v>
      </c>
    </row>
    <row r="349" spans="3:3" x14ac:dyDescent="0.25">
      <c r="C349" s="14" t="s">
        <v>4514</v>
      </c>
    </row>
    <row r="350" spans="3:3" x14ac:dyDescent="0.25">
      <c r="C350" s="14" t="s">
        <v>4522</v>
      </c>
    </row>
    <row r="351" spans="3:3" x14ac:dyDescent="0.25">
      <c r="C351" s="14" t="s">
        <v>4589</v>
      </c>
    </row>
    <row r="352" spans="3:3" x14ac:dyDescent="0.25">
      <c r="C352" s="14" t="s">
        <v>4596</v>
      </c>
    </row>
    <row r="353" spans="3:3" x14ac:dyDescent="0.25">
      <c r="C353" s="14" t="s">
        <v>4559</v>
      </c>
    </row>
    <row r="354" spans="3:3" x14ac:dyDescent="0.25">
      <c r="C354" s="14" t="s">
        <v>4564</v>
      </c>
    </row>
    <row r="355" spans="3:3" x14ac:dyDescent="0.25">
      <c r="C355" s="14" t="s">
        <v>4645</v>
      </c>
    </row>
    <row r="356" spans="3:3" x14ac:dyDescent="0.25">
      <c r="C356" s="14" t="s">
        <v>4649</v>
      </c>
    </row>
    <row r="357" spans="3:3" x14ac:dyDescent="0.25">
      <c r="C357" s="14" t="s">
        <v>3586</v>
      </c>
    </row>
    <row r="358" spans="3:3" x14ac:dyDescent="0.25">
      <c r="C358" s="14" t="s">
        <v>3582</v>
      </c>
    </row>
    <row r="359" spans="3:3" x14ac:dyDescent="0.25">
      <c r="C359" s="14" t="s">
        <v>3587</v>
      </c>
    </row>
    <row r="360" spans="3:3" x14ac:dyDescent="0.25">
      <c r="C360" s="14" t="s">
        <v>4104</v>
      </c>
    </row>
    <row r="361" spans="3:3" x14ac:dyDescent="0.25">
      <c r="C361" s="14" t="s">
        <v>4112</v>
      </c>
    </row>
    <row r="362" spans="3:3" x14ac:dyDescent="0.25">
      <c r="C362" s="14" t="s">
        <v>4113</v>
      </c>
    </row>
    <row r="363" spans="3:3" x14ac:dyDescent="0.25">
      <c r="C363" s="14" t="s">
        <v>4111</v>
      </c>
    </row>
    <row r="364" spans="3:3" x14ac:dyDescent="0.25">
      <c r="C364" s="14" t="s">
        <v>3472</v>
      </c>
    </row>
    <row r="365" spans="3:3" x14ac:dyDescent="0.25">
      <c r="C365" s="14" t="s">
        <v>3467</v>
      </c>
    </row>
    <row r="366" spans="3:3" x14ac:dyDescent="0.25">
      <c r="C366" s="14" t="s">
        <v>3473</v>
      </c>
    </row>
    <row r="367" spans="3:3" x14ac:dyDescent="0.25">
      <c r="C367" s="14" t="s">
        <v>3582</v>
      </c>
    </row>
    <row r="368" spans="3:3" x14ac:dyDescent="0.25">
      <c r="C368" s="14" t="s">
        <v>3588</v>
      </c>
    </row>
    <row r="369" spans="3:3" x14ac:dyDescent="0.25">
      <c r="C369" s="14" t="s">
        <v>3882</v>
      </c>
    </row>
    <row r="370" spans="3:3" x14ac:dyDescent="0.25">
      <c r="C370" s="14" t="s">
        <v>3889</v>
      </c>
    </row>
    <row r="371" spans="3:3" x14ac:dyDescent="0.25">
      <c r="C371" s="14" t="s">
        <v>4304</v>
      </c>
    </row>
    <row r="372" spans="3:3" x14ac:dyDescent="0.25">
      <c r="C372" s="14" t="s">
        <v>4310</v>
      </c>
    </row>
    <row r="373" spans="3:3" x14ac:dyDescent="0.25">
      <c r="C373" s="14" t="s">
        <v>4309</v>
      </c>
    </row>
    <row r="374" spans="3:3" x14ac:dyDescent="0.25">
      <c r="C374" s="14" t="s">
        <v>3977</v>
      </c>
    </row>
    <row r="375" spans="3:3" x14ac:dyDescent="0.25">
      <c r="C375" s="14" t="s">
        <v>3982</v>
      </c>
    </row>
    <row r="376" spans="3:3" x14ac:dyDescent="0.25">
      <c r="C376" s="14" t="s">
        <v>3750</v>
      </c>
    </row>
    <row r="377" spans="3:3" x14ac:dyDescent="0.25">
      <c r="C377" s="14" t="s">
        <v>3754</v>
      </c>
    </row>
    <row r="378" spans="3:3" x14ac:dyDescent="0.25">
      <c r="C378" s="14" t="s">
        <v>4688</v>
      </c>
    </row>
    <row r="379" spans="3:3" x14ac:dyDescent="0.25">
      <c r="C379" s="14" t="s">
        <v>4694</v>
      </c>
    </row>
    <row r="380" spans="3:3" x14ac:dyDescent="0.25">
      <c r="C380" s="14" t="s">
        <v>4228</v>
      </c>
    </row>
    <row r="381" spans="3:3" x14ac:dyDescent="0.25">
      <c r="C381" s="14" t="s">
        <v>4231</v>
      </c>
    </row>
    <row r="382" spans="3:3" x14ac:dyDescent="0.25">
      <c r="C382" s="14" t="s">
        <v>4265</v>
      </c>
    </row>
    <row r="383" spans="3:3" x14ac:dyDescent="0.25">
      <c r="C383" s="14" t="s">
        <v>4267</v>
      </c>
    </row>
    <row r="384" spans="3:3" x14ac:dyDescent="0.25">
      <c r="C384" s="14" t="s">
        <v>4104</v>
      </c>
    </row>
    <row r="385" spans="3:3" x14ac:dyDescent="0.25">
      <c r="C385" s="14" t="s">
        <v>4117</v>
      </c>
    </row>
    <row r="386" spans="3:3" x14ac:dyDescent="0.25">
      <c r="C386" s="14" t="s">
        <v>4114</v>
      </c>
    </row>
    <row r="387" spans="3:3" x14ac:dyDescent="0.25">
      <c r="C387" s="14" t="s">
        <v>4116</v>
      </c>
    </row>
    <row r="388" spans="3:3" x14ac:dyDescent="0.25">
      <c r="C388" s="14" t="s">
        <v>4115</v>
      </c>
    </row>
    <row r="389" spans="3:3" x14ac:dyDescent="0.25">
      <c r="C389" s="14" t="s">
        <v>4459</v>
      </c>
    </row>
    <row r="390" spans="3:3" x14ac:dyDescent="0.25">
      <c r="C390" s="14" t="s">
        <v>4462</v>
      </c>
    </row>
    <row r="391" spans="3:3" x14ac:dyDescent="0.25">
      <c r="C391" s="14" t="s">
        <v>4645</v>
      </c>
    </row>
    <row r="392" spans="3:3" x14ac:dyDescent="0.25">
      <c r="C392" s="14" t="s">
        <v>4650</v>
      </c>
    </row>
    <row r="393" spans="3:3" x14ac:dyDescent="0.25">
      <c r="C393" s="14" t="s">
        <v>4022</v>
      </c>
    </row>
    <row r="394" spans="3:3" x14ac:dyDescent="0.25">
      <c r="C394" s="14" t="s">
        <v>4026</v>
      </c>
    </row>
    <row r="395" spans="3:3" x14ac:dyDescent="0.25">
      <c r="C395" s="14" t="s">
        <v>3290</v>
      </c>
    </row>
    <row r="396" spans="3:3" x14ac:dyDescent="0.25">
      <c r="C396" s="14" t="s">
        <v>3467</v>
      </c>
    </row>
    <row r="397" spans="3:3" x14ac:dyDescent="0.25">
      <c r="C397" s="14" t="s">
        <v>3475</v>
      </c>
    </row>
    <row r="398" spans="3:3" ht="30" x14ac:dyDescent="0.25">
      <c r="C398" s="14" t="s">
        <v>3474</v>
      </c>
    </row>
    <row r="399" spans="3:3" x14ac:dyDescent="0.25">
      <c r="C399" s="14" t="s">
        <v>3781</v>
      </c>
    </row>
    <row r="400" spans="3:3" x14ac:dyDescent="0.25">
      <c r="C400" s="14" t="s">
        <v>3791</v>
      </c>
    </row>
    <row r="401" spans="3:3" x14ac:dyDescent="0.25">
      <c r="C401" s="14" t="s">
        <v>3790</v>
      </c>
    </row>
    <row r="402" spans="3:3" x14ac:dyDescent="0.25">
      <c r="C402" s="14" t="s">
        <v>3882</v>
      </c>
    </row>
    <row r="403" spans="3:3" x14ac:dyDescent="0.25">
      <c r="C403" s="14" t="s">
        <v>3890</v>
      </c>
    </row>
    <row r="404" spans="3:3" x14ac:dyDescent="0.25">
      <c r="C404" s="14" t="s">
        <v>3891</v>
      </c>
    </row>
    <row r="405" spans="3:3" x14ac:dyDescent="0.25">
      <c r="C405" s="14" t="s">
        <v>4167</v>
      </c>
    </row>
    <row r="406" spans="3:3" x14ac:dyDescent="0.25">
      <c r="C406" s="14" t="s">
        <v>4177</v>
      </c>
    </row>
    <row r="407" spans="3:3" x14ac:dyDescent="0.25">
      <c r="C407" s="14" t="s">
        <v>3750</v>
      </c>
    </row>
    <row r="408" spans="3:3" x14ac:dyDescent="0.25">
      <c r="C408" s="14" t="s">
        <v>3755</v>
      </c>
    </row>
    <row r="409" spans="3:3" x14ac:dyDescent="0.25">
      <c r="C409" s="14" t="s">
        <v>4688</v>
      </c>
    </row>
    <row r="410" spans="3:3" x14ac:dyDescent="0.25">
      <c r="C410" s="14" t="s">
        <v>4695</v>
      </c>
    </row>
    <row r="411" spans="3:3" x14ac:dyDescent="0.25">
      <c r="C411" s="14" t="s">
        <v>4265</v>
      </c>
    </row>
    <row r="412" spans="3:3" x14ac:dyDescent="0.25">
      <c r="C412" s="14" t="s">
        <v>4268</v>
      </c>
    </row>
    <row r="413" spans="3:3" x14ac:dyDescent="0.25">
      <c r="C413" s="14" t="s">
        <v>4459</v>
      </c>
    </row>
    <row r="414" spans="3:3" x14ac:dyDescent="0.25">
      <c r="C414" s="14" t="s">
        <v>4463</v>
      </c>
    </row>
    <row r="415" spans="3:3" x14ac:dyDescent="0.25">
      <c r="C415" s="14" t="s">
        <v>3287</v>
      </c>
    </row>
    <row r="416" spans="3:3" x14ac:dyDescent="0.25">
      <c r="C416" s="14" t="s">
        <v>3291</v>
      </c>
    </row>
    <row r="417" spans="3:3" x14ac:dyDescent="0.25">
      <c r="C417" s="14" t="s">
        <v>3378</v>
      </c>
    </row>
    <row r="418" spans="3:3" x14ac:dyDescent="0.25">
      <c r="C418" s="14" t="s">
        <v>3467</v>
      </c>
    </row>
    <row r="419" spans="3:3" ht="45" x14ac:dyDescent="0.25">
      <c r="C419" s="14" t="s">
        <v>3476</v>
      </c>
    </row>
    <row r="420" spans="3:3" x14ac:dyDescent="0.25">
      <c r="C420" s="14" t="s">
        <v>3365</v>
      </c>
    </row>
    <row r="421" spans="3:3" x14ac:dyDescent="0.25">
      <c r="C421" s="14" t="s">
        <v>3379</v>
      </c>
    </row>
    <row r="422" spans="3:3" x14ac:dyDescent="0.25">
      <c r="C422" s="14" t="s">
        <v>3380</v>
      </c>
    </row>
    <row r="423" spans="3:3" x14ac:dyDescent="0.25">
      <c r="C423" s="14" t="s">
        <v>3716</v>
      </c>
    </row>
    <row r="424" spans="3:3" x14ac:dyDescent="0.25">
      <c r="C424" s="14" t="s">
        <v>3715</v>
      </c>
    </row>
    <row r="425" spans="3:3" x14ac:dyDescent="0.25">
      <c r="C425" s="14" t="s">
        <v>4349</v>
      </c>
    </row>
    <row r="426" spans="3:3" x14ac:dyDescent="0.25">
      <c r="C426" s="14" t="s">
        <v>4355</v>
      </c>
    </row>
    <row r="427" spans="3:3" x14ac:dyDescent="0.25">
      <c r="C427" s="14" t="s">
        <v>4357</v>
      </c>
    </row>
    <row r="428" spans="3:3" x14ac:dyDescent="0.25">
      <c r="C428" s="14" t="s">
        <v>4356</v>
      </c>
    </row>
    <row r="429" spans="3:3" x14ac:dyDescent="0.25">
      <c r="C429" s="14" t="s">
        <v>3781</v>
      </c>
    </row>
    <row r="430" spans="3:3" x14ac:dyDescent="0.25">
      <c r="C430" s="14" t="s">
        <v>3792</v>
      </c>
    </row>
    <row r="431" spans="3:3" x14ac:dyDescent="0.25">
      <c r="C431" s="14" t="s">
        <v>4061</v>
      </c>
    </row>
    <row r="432" spans="3:3" x14ac:dyDescent="0.25">
      <c r="C432" s="14" t="s">
        <v>4067</v>
      </c>
    </row>
    <row r="433" spans="3:3" x14ac:dyDescent="0.25">
      <c r="C433" s="14" t="s">
        <v>4167</v>
      </c>
    </row>
    <row r="434" spans="3:3" x14ac:dyDescent="0.25">
      <c r="C434" s="14" t="s">
        <v>4178</v>
      </c>
    </row>
    <row r="435" spans="3:3" x14ac:dyDescent="0.25">
      <c r="C435" s="14" t="s">
        <v>4207</v>
      </c>
    </row>
    <row r="436" spans="3:3" x14ac:dyDescent="0.25">
      <c r="C436" s="14" t="s">
        <v>4211</v>
      </c>
    </row>
    <row r="437" spans="3:3" x14ac:dyDescent="0.25">
      <c r="C437" s="14" t="s">
        <v>4210</v>
      </c>
    </row>
    <row r="438" spans="3:3" x14ac:dyDescent="0.25">
      <c r="C438" s="14" t="s">
        <v>3851</v>
      </c>
    </row>
    <row r="439" spans="3:3" x14ac:dyDescent="0.25">
      <c r="C439" s="14" t="s">
        <v>3853</v>
      </c>
    </row>
    <row r="440" spans="3:3" x14ac:dyDescent="0.25">
      <c r="C440" s="14" t="s">
        <v>4514</v>
      </c>
    </row>
    <row r="441" spans="3:3" x14ac:dyDescent="0.25">
      <c r="C441" s="14" t="s">
        <v>4523</v>
      </c>
    </row>
    <row r="442" spans="3:3" x14ac:dyDescent="0.25">
      <c r="C442" s="14" t="s">
        <v>4732</v>
      </c>
    </row>
    <row r="443" spans="3:3" x14ac:dyDescent="0.25">
      <c r="C443" s="14" t="s">
        <v>4737</v>
      </c>
    </row>
    <row r="444" spans="3:3" x14ac:dyDescent="0.25">
      <c r="C444" s="14" t="s">
        <v>4421</v>
      </c>
    </row>
    <row r="445" spans="3:3" ht="30" x14ac:dyDescent="0.25">
      <c r="C445" s="14" t="s">
        <v>4426</v>
      </c>
    </row>
    <row r="446" spans="3:3" x14ac:dyDescent="0.25">
      <c r="C446" s="14" t="s">
        <v>4459</v>
      </c>
    </row>
    <row r="447" spans="3:3" x14ac:dyDescent="0.25">
      <c r="C447" s="14" t="s">
        <v>4465</v>
      </c>
    </row>
    <row r="448" spans="3:3" x14ac:dyDescent="0.25">
      <c r="C448" s="14" t="s">
        <v>4464</v>
      </c>
    </row>
    <row r="449" spans="3:3" x14ac:dyDescent="0.25">
      <c r="C449" s="14" t="s">
        <v>4589</v>
      </c>
    </row>
    <row r="450" spans="3:3" ht="30" x14ac:dyDescent="0.25">
      <c r="C450" s="14" t="s">
        <v>4597</v>
      </c>
    </row>
    <row r="451" spans="3:3" x14ac:dyDescent="0.25">
      <c r="C451" s="14" t="s">
        <v>4559</v>
      </c>
    </row>
    <row r="452" spans="3:3" x14ac:dyDescent="0.25">
      <c r="C452" s="14" t="s">
        <v>4565</v>
      </c>
    </row>
    <row r="453" spans="3:3" x14ac:dyDescent="0.25">
      <c r="C453" s="14" t="s">
        <v>3654</v>
      </c>
    </row>
    <row r="454" spans="3:3" x14ac:dyDescent="0.25">
      <c r="C454" s="14" t="s">
        <v>3660</v>
      </c>
    </row>
    <row r="455" spans="3:3" x14ac:dyDescent="0.25">
      <c r="C455" s="14" t="s">
        <v>4645</v>
      </c>
    </row>
    <row r="456" spans="3:3" x14ac:dyDescent="0.25">
      <c r="C456" s="14" t="s">
        <v>4651</v>
      </c>
    </row>
    <row r="457" spans="3:3" x14ac:dyDescent="0.25">
      <c r="C457" s="14" t="s">
        <v>4022</v>
      </c>
    </row>
    <row r="458" spans="3:3" x14ac:dyDescent="0.25">
      <c r="C458" s="14" t="s">
        <v>4027</v>
      </c>
    </row>
    <row r="459" spans="3:3" x14ac:dyDescent="0.25">
      <c r="C459" s="14" t="s">
        <v>4269</v>
      </c>
    </row>
    <row r="460" spans="3:3" x14ac:dyDescent="0.25">
      <c r="C460" s="14" t="s">
        <v>4265</v>
      </c>
    </row>
    <row r="461" spans="3:3" x14ac:dyDescent="0.25">
      <c r="C461" s="14" t="s">
        <v>4270</v>
      </c>
    </row>
    <row r="462" spans="3:3" x14ac:dyDescent="0.25">
      <c r="C462" s="14" t="s">
        <v>3381</v>
      </c>
    </row>
    <row r="463" spans="3:3" x14ac:dyDescent="0.25">
      <c r="C463" s="14" t="s">
        <v>3365</v>
      </c>
    </row>
    <row r="464" spans="3:3" x14ac:dyDescent="0.25">
      <c r="C464" s="14" t="s">
        <v>3383</v>
      </c>
    </row>
    <row r="465" spans="3:3" x14ac:dyDescent="0.25">
      <c r="C465" s="14" t="s">
        <v>3382</v>
      </c>
    </row>
    <row r="466" spans="3:3" x14ac:dyDescent="0.25">
      <c r="C466" s="14" t="s">
        <v>4349</v>
      </c>
    </row>
    <row r="467" spans="3:3" x14ac:dyDescent="0.25">
      <c r="C467" s="14" t="s">
        <v>4358</v>
      </c>
    </row>
    <row r="468" spans="3:3" x14ac:dyDescent="0.25">
      <c r="C468" s="14" t="s">
        <v>4228</v>
      </c>
    </row>
    <row r="469" spans="3:3" x14ac:dyDescent="0.25">
      <c r="C469" s="14" t="s">
        <v>4232</v>
      </c>
    </row>
    <row r="470" spans="3:3" x14ac:dyDescent="0.25">
      <c r="C470" s="14" t="s">
        <v>4104</v>
      </c>
    </row>
    <row r="471" spans="3:3" x14ac:dyDescent="0.25">
      <c r="C471" s="14" t="s">
        <v>4119</v>
      </c>
    </row>
    <row r="472" spans="3:3" ht="30" x14ac:dyDescent="0.25">
      <c r="C472" s="14" t="s">
        <v>4118</v>
      </c>
    </row>
    <row r="473" spans="3:3" x14ac:dyDescent="0.25">
      <c r="C473" s="14" t="s">
        <v>4589</v>
      </c>
    </row>
    <row r="474" spans="3:3" x14ac:dyDescent="0.25">
      <c r="C474" s="14" t="s">
        <v>4598</v>
      </c>
    </row>
    <row r="475" spans="3:3" x14ac:dyDescent="0.25">
      <c r="C475" s="14" t="s">
        <v>3292</v>
      </c>
    </row>
    <row r="476" spans="3:3" x14ac:dyDescent="0.25">
      <c r="C476" s="14" t="s">
        <v>3467</v>
      </c>
    </row>
    <row r="477" spans="3:3" x14ac:dyDescent="0.25">
      <c r="C477" s="14" t="s">
        <v>3477</v>
      </c>
    </row>
    <row r="478" spans="3:3" x14ac:dyDescent="0.25">
      <c r="C478" s="14" t="s">
        <v>3582</v>
      </c>
    </row>
    <row r="479" spans="3:3" ht="45" x14ac:dyDescent="0.25">
      <c r="C479" s="14" t="s">
        <v>3589</v>
      </c>
    </row>
    <row r="480" spans="3:3" x14ac:dyDescent="0.25">
      <c r="C480" s="14" t="s">
        <v>3590</v>
      </c>
    </row>
    <row r="481" spans="3:3" x14ac:dyDescent="0.25">
      <c r="C481" s="14" t="s">
        <v>3882</v>
      </c>
    </row>
    <row r="482" spans="3:3" ht="30" x14ac:dyDescent="0.25">
      <c r="C482" s="14" t="s">
        <v>3893</v>
      </c>
    </row>
    <row r="483" spans="3:3" x14ac:dyDescent="0.25">
      <c r="C483" s="14" t="s">
        <v>3892</v>
      </c>
    </row>
    <row r="484" spans="3:3" x14ac:dyDescent="0.25">
      <c r="C484" s="14" t="s">
        <v>4061</v>
      </c>
    </row>
    <row r="485" spans="3:3" ht="30" x14ac:dyDescent="0.25">
      <c r="C485" s="14" t="s">
        <v>4069</v>
      </c>
    </row>
    <row r="486" spans="3:3" ht="30" x14ac:dyDescent="0.25">
      <c r="C486" s="14" t="s">
        <v>4068</v>
      </c>
    </row>
    <row r="487" spans="3:3" x14ac:dyDescent="0.25">
      <c r="C487" s="14" t="s">
        <v>4167</v>
      </c>
    </row>
    <row r="488" spans="3:3" ht="30" x14ac:dyDescent="0.25">
      <c r="C488" s="14" t="s">
        <v>4179</v>
      </c>
    </row>
    <row r="489" spans="3:3" x14ac:dyDescent="0.25">
      <c r="C489" s="14" t="s">
        <v>3977</v>
      </c>
    </row>
    <row r="490" spans="3:3" x14ac:dyDescent="0.25">
      <c r="C490" s="14" t="s">
        <v>3985</v>
      </c>
    </row>
    <row r="491" spans="3:3" ht="60" x14ac:dyDescent="0.25">
      <c r="C491" s="14" t="s">
        <v>3984</v>
      </c>
    </row>
    <row r="492" spans="3:3" x14ac:dyDescent="0.25">
      <c r="C492" s="14" t="s">
        <v>3983</v>
      </c>
    </row>
    <row r="493" spans="3:3" x14ac:dyDescent="0.25">
      <c r="C493" s="14" t="s">
        <v>4207</v>
      </c>
    </row>
    <row r="494" spans="3:3" x14ac:dyDescent="0.25">
      <c r="C494" s="14" t="s">
        <v>4213</v>
      </c>
    </row>
    <row r="495" spans="3:3" x14ac:dyDescent="0.25">
      <c r="C495" s="14" t="s">
        <v>4212</v>
      </c>
    </row>
    <row r="496" spans="3:3" x14ac:dyDescent="0.25">
      <c r="C496" s="14" t="s">
        <v>4214</v>
      </c>
    </row>
    <row r="497" spans="3:3" x14ac:dyDescent="0.25">
      <c r="C497" s="14" t="s">
        <v>3750</v>
      </c>
    </row>
    <row r="498" spans="3:3" ht="45" x14ac:dyDescent="0.25">
      <c r="C498" s="14" t="s">
        <v>3756</v>
      </c>
    </row>
    <row r="499" spans="3:3" x14ac:dyDescent="0.25">
      <c r="C499" s="14" t="s">
        <v>4688</v>
      </c>
    </row>
    <row r="500" spans="3:3" ht="45" x14ac:dyDescent="0.25">
      <c r="C500" s="14" t="s">
        <v>4696</v>
      </c>
    </row>
    <row r="501" spans="3:3" x14ac:dyDescent="0.25">
      <c r="C501" s="14" t="s">
        <v>4514</v>
      </c>
    </row>
    <row r="502" spans="3:3" ht="45" x14ac:dyDescent="0.25">
      <c r="C502" s="14" t="s">
        <v>4524</v>
      </c>
    </row>
    <row r="503" spans="3:3" x14ac:dyDescent="0.25">
      <c r="C503" s="14" t="s">
        <v>4228</v>
      </c>
    </row>
    <row r="504" spans="3:3" ht="60" x14ac:dyDescent="0.25">
      <c r="C504" s="14" t="s">
        <v>4233</v>
      </c>
    </row>
    <row r="505" spans="3:3" x14ac:dyDescent="0.25">
      <c r="C505" s="14" t="s">
        <v>4265</v>
      </c>
    </row>
    <row r="506" spans="3:3" ht="30" x14ac:dyDescent="0.25">
      <c r="C506" s="14" t="s">
        <v>4271</v>
      </c>
    </row>
    <row r="507" spans="3:3" x14ac:dyDescent="0.25">
      <c r="C507" s="14" t="s">
        <v>4421</v>
      </c>
    </row>
    <row r="508" spans="3:3" x14ac:dyDescent="0.25">
      <c r="C508" s="14" t="s">
        <v>4428</v>
      </c>
    </row>
    <row r="509" spans="3:3" x14ac:dyDescent="0.25">
      <c r="C509" s="14" t="s">
        <v>4427</v>
      </c>
    </row>
    <row r="510" spans="3:3" x14ac:dyDescent="0.25">
      <c r="C510" s="14" t="s">
        <v>4104</v>
      </c>
    </row>
    <row r="511" spans="3:3" x14ac:dyDescent="0.25">
      <c r="C511" s="14" t="s">
        <v>4120</v>
      </c>
    </row>
    <row r="512" spans="3:3" ht="30" x14ac:dyDescent="0.25">
      <c r="C512" s="14" t="s">
        <v>4121</v>
      </c>
    </row>
    <row r="513" spans="3:3" x14ac:dyDescent="0.25">
      <c r="C513" s="14" t="s">
        <v>4589</v>
      </c>
    </row>
    <row r="514" spans="3:3" x14ac:dyDescent="0.25">
      <c r="C514" s="14" t="s">
        <v>4599</v>
      </c>
    </row>
    <row r="515" spans="3:3" x14ac:dyDescent="0.25">
      <c r="C515" s="14" t="s">
        <v>4600</v>
      </c>
    </row>
    <row r="516" spans="3:3" x14ac:dyDescent="0.25">
      <c r="C516" s="14" t="s">
        <v>4559</v>
      </c>
    </row>
    <row r="517" spans="3:3" ht="30" x14ac:dyDescent="0.25">
      <c r="C517" s="14" t="s">
        <v>4566</v>
      </c>
    </row>
    <row r="518" spans="3:3" x14ac:dyDescent="0.25">
      <c r="C518" s="14" t="s">
        <v>3287</v>
      </c>
    </row>
    <row r="519" spans="3:3" ht="45" x14ac:dyDescent="0.25">
      <c r="C519" s="14" t="s">
        <v>3293</v>
      </c>
    </row>
    <row r="520" spans="3:3" x14ac:dyDescent="0.25">
      <c r="C520" s="14" t="s">
        <v>3654</v>
      </c>
    </row>
    <row r="521" spans="3:3" ht="45" x14ac:dyDescent="0.25">
      <c r="C521" s="14" t="s">
        <v>3661</v>
      </c>
    </row>
    <row r="522" spans="3:3" x14ac:dyDescent="0.25">
      <c r="C522" s="14" t="s">
        <v>4645</v>
      </c>
    </row>
    <row r="523" spans="3:3" ht="60" x14ac:dyDescent="0.25">
      <c r="C523" s="14" t="s">
        <v>4652</v>
      </c>
    </row>
    <row r="524" spans="3:3" x14ac:dyDescent="0.25">
      <c r="C524" s="14" t="s">
        <v>3384</v>
      </c>
    </row>
    <row r="525" spans="3:3" x14ac:dyDescent="0.25">
      <c r="C525" s="14" t="s">
        <v>3467</v>
      </c>
    </row>
    <row r="526" spans="3:3" x14ac:dyDescent="0.25">
      <c r="C526" s="14" t="s">
        <v>3478</v>
      </c>
    </row>
    <row r="527" spans="3:3" x14ac:dyDescent="0.25">
      <c r="C527" s="14" t="s">
        <v>3365</v>
      </c>
    </row>
    <row r="528" spans="3:3" x14ac:dyDescent="0.25">
      <c r="C528" s="14" t="s">
        <v>3387</v>
      </c>
    </row>
    <row r="529" spans="3:3" x14ac:dyDescent="0.25">
      <c r="C529" s="14" t="s">
        <v>3388</v>
      </c>
    </row>
    <row r="530" spans="3:3" x14ac:dyDescent="0.25">
      <c r="C530" s="14" t="s">
        <v>3385</v>
      </c>
    </row>
    <row r="531" spans="3:3" x14ac:dyDescent="0.25">
      <c r="C531" s="14" t="s">
        <v>3386</v>
      </c>
    </row>
    <row r="532" spans="3:3" x14ac:dyDescent="0.25">
      <c r="C532" s="14" t="s">
        <v>3716</v>
      </c>
    </row>
    <row r="533" spans="3:3" ht="30" x14ac:dyDescent="0.25">
      <c r="C533" s="14" t="s">
        <v>3717</v>
      </c>
    </row>
    <row r="534" spans="3:3" x14ac:dyDescent="0.25">
      <c r="C534" s="14" t="s">
        <v>3781</v>
      </c>
    </row>
    <row r="535" spans="3:3" x14ac:dyDescent="0.25">
      <c r="C535" s="14" t="s">
        <v>3794</v>
      </c>
    </row>
    <row r="536" spans="3:3" x14ac:dyDescent="0.25">
      <c r="C536" s="14" t="s">
        <v>3793</v>
      </c>
    </row>
    <row r="537" spans="3:3" x14ac:dyDescent="0.25">
      <c r="C537" s="14" t="s">
        <v>3882</v>
      </c>
    </row>
    <row r="538" spans="3:3" ht="30" x14ac:dyDescent="0.25">
      <c r="C538" s="14" t="s">
        <v>3894</v>
      </c>
    </row>
    <row r="539" spans="3:3" x14ac:dyDescent="0.25">
      <c r="C539" s="14" t="s">
        <v>4061</v>
      </c>
    </row>
    <row r="540" spans="3:3" x14ac:dyDescent="0.25">
      <c r="C540" s="14" t="s">
        <v>4070</v>
      </c>
    </row>
    <row r="541" spans="3:3" x14ac:dyDescent="0.25">
      <c r="C541" s="14" t="s">
        <v>4304</v>
      </c>
    </row>
    <row r="542" spans="3:3" x14ac:dyDescent="0.25">
      <c r="C542" s="14" t="s">
        <v>4311</v>
      </c>
    </row>
    <row r="543" spans="3:3" x14ac:dyDescent="0.25">
      <c r="C543" s="14" t="s">
        <v>4514</v>
      </c>
    </row>
    <row r="544" spans="3:3" ht="60" x14ac:dyDescent="0.25">
      <c r="C544" s="14" t="s">
        <v>4525</v>
      </c>
    </row>
    <row r="545" spans="3:3" x14ac:dyDescent="0.25">
      <c r="C545" s="14" t="s">
        <v>4732</v>
      </c>
    </row>
    <row r="546" spans="3:3" x14ac:dyDescent="0.25">
      <c r="C546" s="14" t="s">
        <v>4738</v>
      </c>
    </row>
    <row r="547" spans="3:3" x14ac:dyDescent="0.25">
      <c r="C547" s="14" t="s">
        <v>3654</v>
      </c>
    </row>
    <row r="548" spans="3:3" ht="30" x14ac:dyDescent="0.25">
      <c r="C548" s="14" t="s">
        <v>3662</v>
      </c>
    </row>
    <row r="549" spans="3:3" x14ac:dyDescent="0.25">
      <c r="C549" s="14" t="s">
        <v>4645</v>
      </c>
    </row>
    <row r="550" spans="3:3" ht="30" x14ac:dyDescent="0.25">
      <c r="C550" s="14" t="s">
        <v>4653</v>
      </c>
    </row>
    <row r="551" spans="3:3" x14ac:dyDescent="0.25">
      <c r="C551" s="14" t="s">
        <v>3795</v>
      </c>
    </row>
    <row r="552" spans="3:3" x14ac:dyDescent="0.25">
      <c r="C552" s="14" t="s">
        <v>4349</v>
      </c>
    </row>
    <row r="553" spans="3:3" x14ac:dyDescent="0.25">
      <c r="C553" s="14" t="s">
        <v>4359</v>
      </c>
    </row>
    <row r="554" spans="3:3" x14ac:dyDescent="0.25">
      <c r="C554" s="14" t="s">
        <v>3781</v>
      </c>
    </row>
    <row r="555" spans="3:3" x14ac:dyDescent="0.25">
      <c r="C555" s="14" t="s">
        <v>3798</v>
      </c>
    </row>
    <row r="556" spans="3:3" x14ac:dyDescent="0.25">
      <c r="C556" s="14" t="s">
        <v>3796</v>
      </c>
    </row>
    <row r="557" spans="3:3" x14ac:dyDescent="0.25">
      <c r="C557" s="14" t="s">
        <v>3799</v>
      </c>
    </row>
    <row r="558" spans="3:3" x14ac:dyDescent="0.25">
      <c r="C558" s="14" t="s">
        <v>3797</v>
      </c>
    </row>
    <row r="559" spans="3:3" x14ac:dyDescent="0.25">
      <c r="C559" s="14" t="s">
        <v>4061</v>
      </c>
    </row>
    <row r="560" spans="3:3" x14ac:dyDescent="0.25">
      <c r="C560" s="14" t="s">
        <v>4071</v>
      </c>
    </row>
    <row r="561" spans="3:3" x14ac:dyDescent="0.25">
      <c r="C561" s="14" t="s">
        <v>4167</v>
      </c>
    </row>
    <row r="562" spans="3:3" x14ac:dyDescent="0.25">
      <c r="C562" s="14" t="s">
        <v>4180</v>
      </c>
    </row>
    <row r="563" spans="3:3" x14ac:dyDescent="0.25">
      <c r="C563" s="14" t="s">
        <v>4207</v>
      </c>
    </row>
    <row r="564" spans="3:3" x14ac:dyDescent="0.25">
      <c r="C564" s="14" t="s">
        <v>4216</v>
      </c>
    </row>
    <row r="565" spans="3:3" x14ac:dyDescent="0.25">
      <c r="C565" s="14" t="s">
        <v>4217</v>
      </c>
    </row>
    <row r="566" spans="3:3" x14ac:dyDescent="0.25">
      <c r="C566" s="14" t="s">
        <v>4215</v>
      </c>
    </row>
    <row r="567" spans="3:3" x14ac:dyDescent="0.25">
      <c r="C567" s="14" t="s">
        <v>4265</v>
      </c>
    </row>
    <row r="568" spans="3:3" x14ac:dyDescent="0.25">
      <c r="C568" s="14" t="s">
        <v>4272</v>
      </c>
    </row>
    <row r="569" spans="3:3" x14ac:dyDescent="0.25">
      <c r="C569" s="14" t="s">
        <v>4421</v>
      </c>
    </row>
    <row r="570" spans="3:3" x14ac:dyDescent="0.25">
      <c r="C570" s="14" t="s">
        <v>4429</v>
      </c>
    </row>
    <row r="571" spans="3:3" x14ac:dyDescent="0.25">
      <c r="C571" s="14" t="s">
        <v>3479</v>
      </c>
    </row>
    <row r="572" spans="3:3" x14ac:dyDescent="0.25">
      <c r="C572" s="14" t="s">
        <v>3467</v>
      </c>
    </row>
    <row r="573" spans="3:3" ht="45" x14ac:dyDescent="0.25">
      <c r="C573" s="14" t="s">
        <v>3480</v>
      </c>
    </row>
    <row r="574" spans="3:3" x14ac:dyDescent="0.25">
      <c r="C574" s="14" t="s">
        <v>3534</v>
      </c>
    </row>
    <row r="575" spans="3:3" x14ac:dyDescent="0.25">
      <c r="C575" s="14" t="s">
        <v>3557</v>
      </c>
    </row>
    <row r="576" spans="3:3" x14ac:dyDescent="0.25">
      <c r="C576" s="14" t="s">
        <v>4349</v>
      </c>
    </row>
    <row r="577" spans="3:3" x14ac:dyDescent="0.25">
      <c r="C577" s="14" t="s">
        <v>4361</v>
      </c>
    </row>
    <row r="578" spans="3:3" x14ac:dyDescent="0.25">
      <c r="C578" s="14" t="s">
        <v>4360</v>
      </c>
    </row>
    <row r="579" spans="3:3" x14ac:dyDescent="0.25">
      <c r="C579" s="14" t="s">
        <v>4061</v>
      </c>
    </row>
    <row r="580" spans="3:3" x14ac:dyDescent="0.25">
      <c r="C580" s="14" t="s">
        <v>4073</v>
      </c>
    </row>
    <row r="581" spans="3:3" x14ac:dyDescent="0.25">
      <c r="C581" s="14" t="s">
        <v>4072</v>
      </c>
    </row>
    <row r="582" spans="3:3" x14ac:dyDescent="0.25">
      <c r="C582" s="14" t="s">
        <v>4167</v>
      </c>
    </row>
    <row r="583" spans="3:3" x14ac:dyDescent="0.25">
      <c r="C583" s="14" t="s">
        <v>4181</v>
      </c>
    </row>
    <row r="584" spans="3:3" x14ac:dyDescent="0.25">
      <c r="C584" s="14" t="s">
        <v>3977</v>
      </c>
    </row>
    <row r="585" spans="3:3" x14ac:dyDescent="0.25">
      <c r="C585" s="14" t="s">
        <v>3986</v>
      </c>
    </row>
    <row r="586" spans="3:3" x14ac:dyDescent="0.25">
      <c r="C586" s="14" t="s">
        <v>3851</v>
      </c>
    </row>
    <row r="587" spans="3:3" ht="30" x14ac:dyDescent="0.25">
      <c r="C587" s="14" t="s">
        <v>3854</v>
      </c>
    </row>
    <row r="588" spans="3:3" x14ac:dyDescent="0.25">
      <c r="C588" s="14" t="s">
        <v>4228</v>
      </c>
    </row>
    <row r="589" spans="3:3" x14ac:dyDescent="0.25">
      <c r="C589" s="14" t="s">
        <v>4234</v>
      </c>
    </row>
    <row r="590" spans="3:3" x14ac:dyDescent="0.25">
      <c r="C590" s="14" t="s">
        <v>4104</v>
      </c>
    </row>
    <row r="591" spans="3:3" x14ac:dyDescent="0.25">
      <c r="C591" s="14" t="s">
        <v>4122</v>
      </c>
    </row>
    <row r="592" spans="3:3" x14ac:dyDescent="0.25">
      <c r="C592" s="14" t="s">
        <v>4589</v>
      </c>
    </row>
    <row r="593" spans="3:3" x14ac:dyDescent="0.25">
      <c r="C593" s="14" t="s">
        <v>4601</v>
      </c>
    </row>
    <row r="594" spans="3:3" x14ac:dyDescent="0.25">
      <c r="C594" s="14" t="s">
        <v>3800</v>
      </c>
    </row>
    <row r="595" spans="3:3" x14ac:dyDescent="0.25">
      <c r="C595" s="14" t="s">
        <v>3781</v>
      </c>
    </row>
    <row r="596" spans="3:3" x14ac:dyDescent="0.25">
      <c r="C596" s="14" t="s">
        <v>3802</v>
      </c>
    </row>
    <row r="597" spans="3:3" x14ac:dyDescent="0.25">
      <c r="C597" s="14" t="s">
        <v>3801</v>
      </c>
    </row>
    <row r="598" spans="3:3" x14ac:dyDescent="0.25">
      <c r="C598" s="14" t="s">
        <v>4304</v>
      </c>
    </row>
    <row r="599" spans="3:3" x14ac:dyDescent="0.25">
      <c r="C599" s="14" t="s">
        <v>4312</v>
      </c>
    </row>
    <row r="600" spans="3:3" x14ac:dyDescent="0.25">
      <c r="C600" s="14" t="s">
        <v>4514</v>
      </c>
    </row>
    <row r="601" spans="3:3" x14ac:dyDescent="0.25">
      <c r="C601" s="14" t="s">
        <v>4526</v>
      </c>
    </row>
    <row r="602" spans="3:3" x14ac:dyDescent="0.25">
      <c r="C602" s="14" t="s">
        <v>4421</v>
      </c>
    </row>
    <row r="603" spans="3:3" ht="30" x14ac:dyDescent="0.25">
      <c r="C603" s="14" t="s">
        <v>4430</v>
      </c>
    </row>
    <row r="604" spans="3:3" x14ac:dyDescent="0.25">
      <c r="C604" s="14" t="s">
        <v>4104</v>
      </c>
    </row>
    <row r="605" spans="3:3" x14ac:dyDescent="0.25">
      <c r="C605" s="14" t="s">
        <v>4123</v>
      </c>
    </row>
    <row r="606" spans="3:3" x14ac:dyDescent="0.25">
      <c r="C606" s="14" t="s">
        <v>4645</v>
      </c>
    </row>
    <row r="607" spans="3:3" x14ac:dyDescent="0.25">
      <c r="C607" s="14" t="s">
        <v>4654</v>
      </c>
    </row>
    <row r="608" spans="3:3" x14ac:dyDescent="0.25">
      <c r="C608" s="14" t="s">
        <v>3558</v>
      </c>
    </row>
    <row r="609" spans="3:3" x14ac:dyDescent="0.25">
      <c r="C609" s="14" t="s">
        <v>3534</v>
      </c>
    </row>
    <row r="610" spans="3:3" ht="60" x14ac:dyDescent="0.25">
      <c r="C610" s="14" t="s">
        <v>3559</v>
      </c>
    </row>
    <row r="611" spans="3:3" x14ac:dyDescent="0.25">
      <c r="C611" s="14" t="s">
        <v>4349</v>
      </c>
    </row>
    <row r="612" spans="3:3" x14ac:dyDescent="0.25">
      <c r="C612" s="14" t="s">
        <v>4362</v>
      </c>
    </row>
    <row r="613" spans="3:3" x14ac:dyDescent="0.25">
      <c r="C613" s="14" t="s">
        <v>3781</v>
      </c>
    </row>
    <row r="614" spans="3:3" ht="45" x14ac:dyDescent="0.25">
      <c r="C614" s="14" t="s">
        <v>3803</v>
      </c>
    </row>
    <row r="615" spans="3:3" ht="30" x14ac:dyDescent="0.25">
      <c r="C615" s="14" t="s">
        <v>3805</v>
      </c>
    </row>
    <row r="616" spans="3:3" x14ac:dyDescent="0.25">
      <c r="C616" s="14" t="s">
        <v>3804</v>
      </c>
    </row>
    <row r="617" spans="3:3" x14ac:dyDescent="0.25">
      <c r="C617" s="14" t="s">
        <v>4304</v>
      </c>
    </row>
    <row r="618" spans="3:3" ht="30" x14ac:dyDescent="0.25">
      <c r="C618" s="14" t="s">
        <v>4313</v>
      </c>
    </row>
    <row r="619" spans="3:3" x14ac:dyDescent="0.25">
      <c r="C619" s="14" t="s">
        <v>3851</v>
      </c>
    </row>
    <row r="620" spans="3:3" ht="60" x14ac:dyDescent="0.25">
      <c r="C620" s="14" t="s">
        <v>3855</v>
      </c>
    </row>
    <row r="621" spans="3:3" x14ac:dyDescent="0.25">
      <c r="C621" s="14" t="s">
        <v>4459</v>
      </c>
    </row>
    <row r="622" spans="3:3" ht="45" x14ac:dyDescent="0.25">
      <c r="C622" s="14" t="s">
        <v>4466</v>
      </c>
    </row>
    <row r="623" spans="3:3" x14ac:dyDescent="0.25">
      <c r="C623" s="14" t="s">
        <v>4559</v>
      </c>
    </row>
    <row r="624" spans="3:3" ht="45" x14ac:dyDescent="0.25">
      <c r="C624" s="14" t="s">
        <v>4567</v>
      </c>
    </row>
    <row r="625" spans="3:3" x14ac:dyDescent="0.25">
      <c r="C625" s="14" t="s">
        <v>4022</v>
      </c>
    </row>
    <row r="626" spans="3:3" x14ac:dyDescent="0.25">
      <c r="C626" s="14" t="s">
        <v>4028</v>
      </c>
    </row>
    <row r="627" spans="3:3" x14ac:dyDescent="0.25">
      <c r="C627" s="14" t="s">
        <v>3757</v>
      </c>
    </row>
    <row r="628" spans="3:3" x14ac:dyDescent="0.25">
      <c r="C628" s="14" t="s">
        <v>3851</v>
      </c>
    </row>
    <row r="629" spans="3:3" ht="30" x14ac:dyDescent="0.25">
      <c r="C629" s="14" t="s">
        <v>3856</v>
      </c>
    </row>
    <row r="630" spans="3:3" x14ac:dyDescent="0.25">
      <c r="C630" s="14" t="s">
        <v>3750</v>
      </c>
    </row>
    <row r="631" spans="3:3" x14ac:dyDescent="0.25">
      <c r="C631" s="14" t="s">
        <v>3758</v>
      </c>
    </row>
    <row r="632" spans="3:3" x14ac:dyDescent="0.25">
      <c r="C632" s="14" t="s">
        <v>4514</v>
      </c>
    </row>
    <row r="633" spans="3:3" x14ac:dyDescent="0.25">
      <c r="C633" s="14" t="s">
        <v>4527</v>
      </c>
    </row>
    <row r="634" spans="3:3" x14ac:dyDescent="0.25">
      <c r="C634" s="14" t="s">
        <v>4732</v>
      </c>
    </row>
    <row r="635" spans="3:3" x14ac:dyDescent="0.25">
      <c r="C635" s="14" t="s">
        <v>4739</v>
      </c>
    </row>
    <row r="636" spans="3:3" x14ac:dyDescent="0.25">
      <c r="C636" s="14" t="s">
        <v>4421</v>
      </c>
    </row>
    <row r="637" spans="3:3" x14ac:dyDescent="0.25">
      <c r="C637" s="14" t="s">
        <v>4431</v>
      </c>
    </row>
    <row r="638" spans="3:3" x14ac:dyDescent="0.25">
      <c r="C638" s="14" t="s">
        <v>4459</v>
      </c>
    </row>
    <row r="639" spans="3:3" x14ac:dyDescent="0.25">
      <c r="C639" s="14" t="s">
        <v>4467</v>
      </c>
    </row>
    <row r="640" spans="3:3" x14ac:dyDescent="0.25">
      <c r="C640" s="14" t="s">
        <v>3806</v>
      </c>
    </row>
    <row r="641" spans="3:3" x14ac:dyDescent="0.25">
      <c r="C641" s="14" t="s">
        <v>4349</v>
      </c>
    </row>
    <row r="642" spans="3:3" x14ac:dyDescent="0.25">
      <c r="C642" s="14" t="s">
        <v>4363</v>
      </c>
    </row>
    <row r="643" spans="3:3" x14ac:dyDescent="0.25">
      <c r="C643" s="14" t="s">
        <v>3781</v>
      </c>
    </row>
    <row r="644" spans="3:3" x14ac:dyDescent="0.25">
      <c r="C644" s="14" t="s">
        <v>3807</v>
      </c>
    </row>
    <row r="645" spans="3:3" x14ac:dyDescent="0.25">
      <c r="C645" s="14" t="s">
        <v>4167</v>
      </c>
    </row>
    <row r="646" spans="3:3" x14ac:dyDescent="0.25">
      <c r="C646" s="14" t="s">
        <v>4182</v>
      </c>
    </row>
    <row r="647" spans="3:3" x14ac:dyDescent="0.25">
      <c r="C647" s="14" t="s">
        <v>4207</v>
      </c>
    </row>
    <row r="648" spans="3:3" x14ac:dyDescent="0.25">
      <c r="C648" s="14" t="s">
        <v>4218</v>
      </c>
    </row>
    <row r="649" spans="3:3" x14ac:dyDescent="0.25">
      <c r="C649" s="14" t="s">
        <v>4688</v>
      </c>
    </row>
    <row r="650" spans="3:3" x14ac:dyDescent="0.25">
      <c r="C650" s="14" t="s">
        <v>4697</v>
      </c>
    </row>
    <row r="651" spans="3:3" x14ac:dyDescent="0.25">
      <c r="C651" s="14" t="s">
        <v>4459</v>
      </c>
    </row>
    <row r="652" spans="3:3" x14ac:dyDescent="0.25">
      <c r="C652" s="14" t="s">
        <v>4468</v>
      </c>
    </row>
    <row r="653" spans="3:3" x14ac:dyDescent="0.25">
      <c r="C653" s="14" t="s">
        <v>4022</v>
      </c>
    </row>
    <row r="654" spans="3:3" x14ac:dyDescent="0.25">
      <c r="C654" s="14" t="s">
        <v>4029</v>
      </c>
    </row>
    <row r="655" spans="3:3" x14ac:dyDescent="0.25">
      <c r="C655" s="14" t="s">
        <v>3591</v>
      </c>
    </row>
    <row r="656" spans="3:3" x14ac:dyDescent="0.25">
      <c r="C656" s="14" t="s">
        <v>4349</v>
      </c>
    </row>
    <row r="657" spans="3:3" x14ac:dyDescent="0.25">
      <c r="C657" s="14" t="s">
        <v>4364</v>
      </c>
    </row>
    <row r="658" spans="3:3" x14ac:dyDescent="0.25">
      <c r="C658" s="14" t="s">
        <v>3582</v>
      </c>
    </row>
    <row r="659" spans="3:3" ht="30" x14ac:dyDescent="0.25">
      <c r="C659" s="14" t="s">
        <v>3592</v>
      </c>
    </row>
    <row r="660" spans="3:3" x14ac:dyDescent="0.25">
      <c r="C660" s="14" t="s">
        <v>4167</v>
      </c>
    </row>
    <row r="661" spans="3:3" x14ac:dyDescent="0.25">
      <c r="C661" s="14" t="s">
        <v>4183</v>
      </c>
    </row>
    <row r="662" spans="3:3" x14ac:dyDescent="0.25">
      <c r="C662" s="14" t="s">
        <v>3851</v>
      </c>
    </row>
    <row r="663" spans="3:3" x14ac:dyDescent="0.25">
      <c r="C663" s="14" t="s">
        <v>3857</v>
      </c>
    </row>
    <row r="664" spans="3:3" x14ac:dyDescent="0.25">
      <c r="C664" s="14" t="s">
        <v>4265</v>
      </c>
    </row>
    <row r="665" spans="3:3" x14ac:dyDescent="0.25">
      <c r="C665" s="14" t="s">
        <v>4273</v>
      </c>
    </row>
    <row r="666" spans="3:3" x14ac:dyDescent="0.25">
      <c r="C666" s="14" t="s">
        <v>4421</v>
      </c>
    </row>
    <row r="667" spans="3:3" x14ac:dyDescent="0.25">
      <c r="C667" s="14" t="s">
        <v>4432</v>
      </c>
    </row>
    <row r="668" spans="3:3" x14ac:dyDescent="0.25">
      <c r="C668" s="14" t="s">
        <v>4459</v>
      </c>
    </row>
    <row r="669" spans="3:3" x14ac:dyDescent="0.25">
      <c r="C669" s="14" t="s">
        <v>4469</v>
      </c>
    </row>
    <row r="670" spans="3:3" x14ac:dyDescent="0.25">
      <c r="C670" s="14" t="s">
        <v>4589</v>
      </c>
    </row>
    <row r="671" spans="3:3" x14ac:dyDescent="0.25">
      <c r="C671" s="14" t="s">
        <v>4602</v>
      </c>
    </row>
    <row r="672" spans="3:3" x14ac:dyDescent="0.25">
      <c r="C672" s="14" t="s">
        <v>4559</v>
      </c>
    </row>
    <row r="673" spans="3:3" x14ac:dyDescent="0.25">
      <c r="C673" s="14" t="s">
        <v>4568</v>
      </c>
    </row>
    <row r="674" spans="3:3" x14ac:dyDescent="0.25">
      <c r="C674" s="14" t="s">
        <v>4022</v>
      </c>
    </row>
    <row r="675" spans="3:3" x14ac:dyDescent="0.25">
      <c r="C675" s="14" t="s">
        <v>4030</v>
      </c>
    </row>
    <row r="676" spans="3:3" x14ac:dyDescent="0.25">
      <c r="C676" s="14" t="s">
        <v>3294</v>
      </c>
    </row>
    <row r="677" spans="3:3" x14ac:dyDescent="0.25">
      <c r="C677" s="14" t="s">
        <v>3467</v>
      </c>
    </row>
    <row r="678" spans="3:3" ht="45" x14ac:dyDescent="0.25">
      <c r="C678" s="14" t="s">
        <v>3483</v>
      </c>
    </row>
    <row r="679" spans="3:3" x14ac:dyDescent="0.25">
      <c r="C679" s="14" t="s">
        <v>3481</v>
      </c>
    </row>
    <row r="680" spans="3:3" ht="30" x14ac:dyDescent="0.25">
      <c r="C680" s="14" t="s">
        <v>3482</v>
      </c>
    </row>
    <row r="681" spans="3:3" x14ac:dyDescent="0.25">
      <c r="C681" s="14" t="s">
        <v>3365</v>
      </c>
    </row>
    <row r="682" spans="3:3" x14ac:dyDescent="0.25">
      <c r="C682" s="14" t="s">
        <v>3389</v>
      </c>
    </row>
    <row r="683" spans="3:3" x14ac:dyDescent="0.25">
      <c r="C683" s="14" t="s">
        <v>3391</v>
      </c>
    </row>
    <row r="684" spans="3:3" x14ac:dyDescent="0.25">
      <c r="C684" s="14" t="s">
        <v>3393</v>
      </c>
    </row>
    <row r="685" spans="3:3" x14ac:dyDescent="0.25">
      <c r="C685" s="14" t="s">
        <v>3394</v>
      </c>
    </row>
    <row r="686" spans="3:3" x14ac:dyDescent="0.25">
      <c r="C686" s="14" t="s">
        <v>3390</v>
      </c>
    </row>
    <row r="687" spans="3:3" ht="45" x14ac:dyDescent="0.25">
      <c r="C687" s="14" t="s">
        <v>3392</v>
      </c>
    </row>
    <row r="688" spans="3:3" x14ac:dyDescent="0.25">
      <c r="C688" s="14" t="s">
        <v>3582</v>
      </c>
    </row>
    <row r="689" spans="3:3" x14ac:dyDescent="0.25">
      <c r="C689" s="14" t="s">
        <v>3593</v>
      </c>
    </row>
    <row r="690" spans="3:3" x14ac:dyDescent="0.25">
      <c r="C690" s="14" t="s">
        <v>3882</v>
      </c>
    </row>
    <row r="691" spans="3:3" x14ac:dyDescent="0.25">
      <c r="C691" s="14" t="s">
        <v>3896</v>
      </c>
    </row>
    <row r="692" spans="3:3" x14ac:dyDescent="0.25">
      <c r="C692" s="14" t="s">
        <v>3895</v>
      </c>
    </row>
    <row r="693" spans="3:3" x14ac:dyDescent="0.25">
      <c r="C693" s="14" t="s">
        <v>4304</v>
      </c>
    </row>
    <row r="694" spans="3:3" ht="30" x14ac:dyDescent="0.25">
      <c r="C694" s="14" t="s">
        <v>4314</v>
      </c>
    </row>
    <row r="695" spans="3:3" x14ac:dyDescent="0.25">
      <c r="C695" s="14" t="s">
        <v>4167</v>
      </c>
    </row>
    <row r="696" spans="3:3" x14ac:dyDescent="0.25">
      <c r="C696" s="14" t="s">
        <v>4184</v>
      </c>
    </row>
    <row r="697" spans="3:3" x14ac:dyDescent="0.25">
      <c r="C697" s="14" t="s">
        <v>4207</v>
      </c>
    </row>
    <row r="698" spans="3:3" x14ac:dyDescent="0.25">
      <c r="C698" s="14" t="s">
        <v>4219</v>
      </c>
    </row>
    <row r="699" spans="3:3" x14ac:dyDescent="0.25">
      <c r="C699" s="14" t="s">
        <v>3851</v>
      </c>
    </row>
    <row r="700" spans="3:3" x14ac:dyDescent="0.25">
      <c r="C700" s="14" t="s">
        <v>3858</v>
      </c>
    </row>
    <row r="701" spans="3:3" x14ac:dyDescent="0.25">
      <c r="C701" s="14" t="s">
        <v>4732</v>
      </c>
    </row>
    <row r="702" spans="3:3" x14ac:dyDescent="0.25">
      <c r="C702" s="14" t="s">
        <v>4740</v>
      </c>
    </row>
    <row r="703" spans="3:3" x14ac:dyDescent="0.25">
      <c r="C703" s="14" t="s">
        <v>3287</v>
      </c>
    </row>
    <row r="704" spans="3:3" ht="60" x14ac:dyDescent="0.25">
      <c r="C704" s="14" t="s">
        <v>3295</v>
      </c>
    </row>
    <row r="705" spans="3:3" x14ac:dyDescent="0.25">
      <c r="C705" s="14" t="s">
        <v>4645</v>
      </c>
    </row>
    <row r="706" spans="3:3" x14ac:dyDescent="0.25">
      <c r="C706" s="14" t="s">
        <v>4655</v>
      </c>
    </row>
    <row r="707" spans="3:3" x14ac:dyDescent="0.25">
      <c r="C707" s="14" t="s">
        <v>4022</v>
      </c>
    </row>
    <row r="708" spans="3:3" ht="30" x14ac:dyDescent="0.25">
      <c r="C708" s="14" t="s">
        <v>4031</v>
      </c>
    </row>
    <row r="709" spans="3:3" x14ac:dyDescent="0.25">
      <c r="C709" s="14" t="s">
        <v>3663</v>
      </c>
    </row>
    <row r="710" spans="3:3" x14ac:dyDescent="0.25">
      <c r="C710" s="14" t="s">
        <v>3781</v>
      </c>
    </row>
    <row r="711" spans="3:3" x14ac:dyDescent="0.25">
      <c r="C711" s="14" t="s">
        <v>3808</v>
      </c>
    </row>
    <row r="712" spans="3:3" x14ac:dyDescent="0.25">
      <c r="C712" s="14" t="s">
        <v>4265</v>
      </c>
    </row>
    <row r="713" spans="3:3" ht="45" x14ac:dyDescent="0.25">
      <c r="C713" s="14" t="s">
        <v>4274</v>
      </c>
    </row>
    <row r="714" spans="3:3" x14ac:dyDescent="0.25">
      <c r="C714" s="14" t="s">
        <v>4589</v>
      </c>
    </row>
    <row r="715" spans="3:3" ht="45" x14ac:dyDescent="0.25">
      <c r="C715" s="14" t="s">
        <v>4603</v>
      </c>
    </row>
    <row r="716" spans="3:3" x14ac:dyDescent="0.25">
      <c r="C716" s="14" t="s">
        <v>3654</v>
      </c>
    </row>
    <row r="717" spans="3:3" x14ac:dyDescent="0.25">
      <c r="C717" s="14" t="s">
        <v>3664</v>
      </c>
    </row>
    <row r="718" spans="3:3" x14ac:dyDescent="0.25">
      <c r="C718" s="14" t="s">
        <v>3395</v>
      </c>
    </row>
    <row r="719" spans="3:3" x14ac:dyDescent="0.25">
      <c r="C719" s="14" t="s">
        <v>3365</v>
      </c>
    </row>
    <row r="720" spans="3:3" x14ac:dyDescent="0.25">
      <c r="C720" s="14" t="s">
        <v>3397</v>
      </c>
    </row>
    <row r="721" spans="3:3" x14ac:dyDescent="0.25">
      <c r="C721" s="14" t="s">
        <v>3398</v>
      </c>
    </row>
    <row r="722" spans="3:3" x14ac:dyDescent="0.25">
      <c r="C722" s="14" t="s">
        <v>3396</v>
      </c>
    </row>
    <row r="723" spans="3:3" x14ac:dyDescent="0.25">
      <c r="C723" s="14" t="s">
        <v>3716</v>
      </c>
    </row>
    <row r="724" spans="3:3" ht="30" x14ac:dyDescent="0.25">
      <c r="C724" s="14" t="s">
        <v>3718</v>
      </c>
    </row>
    <row r="725" spans="3:3" x14ac:dyDescent="0.25">
      <c r="C725" s="14" t="s">
        <v>4349</v>
      </c>
    </row>
    <row r="726" spans="3:3" x14ac:dyDescent="0.25">
      <c r="C726" s="14" t="s">
        <v>4369</v>
      </c>
    </row>
    <row r="727" spans="3:3" x14ac:dyDescent="0.25">
      <c r="C727" s="14" t="s">
        <v>4365</v>
      </c>
    </row>
    <row r="728" spans="3:3" x14ac:dyDescent="0.25">
      <c r="C728" s="14" t="s">
        <v>4370</v>
      </c>
    </row>
    <row r="729" spans="3:3" x14ac:dyDescent="0.25">
      <c r="C729" s="14" t="s">
        <v>4371</v>
      </c>
    </row>
    <row r="730" spans="3:3" x14ac:dyDescent="0.25">
      <c r="C730" s="14" t="s">
        <v>4367</v>
      </c>
    </row>
    <row r="731" spans="3:3" ht="30" x14ac:dyDescent="0.25">
      <c r="C731" s="14" t="s">
        <v>4368</v>
      </c>
    </row>
    <row r="732" spans="3:3" x14ac:dyDescent="0.25">
      <c r="C732" s="14" t="s">
        <v>4366</v>
      </c>
    </row>
    <row r="733" spans="3:3" x14ac:dyDescent="0.25">
      <c r="C733" s="14" t="s">
        <v>3582</v>
      </c>
    </row>
    <row r="734" spans="3:3" ht="60" x14ac:dyDescent="0.25">
      <c r="C734" s="14" t="s">
        <v>3594</v>
      </c>
    </row>
    <row r="735" spans="3:3" x14ac:dyDescent="0.25">
      <c r="C735" s="14" t="s">
        <v>3882</v>
      </c>
    </row>
    <row r="736" spans="3:3" x14ac:dyDescent="0.25">
      <c r="C736" s="14" t="s">
        <v>3900</v>
      </c>
    </row>
    <row r="737" spans="3:3" x14ac:dyDescent="0.25">
      <c r="C737" s="14" t="s">
        <v>3904</v>
      </c>
    </row>
    <row r="738" spans="3:3" x14ac:dyDescent="0.25">
      <c r="C738" s="14" t="s">
        <v>3903</v>
      </c>
    </row>
    <row r="739" spans="3:3" x14ac:dyDescent="0.25">
      <c r="C739" s="14" t="s">
        <v>3897</v>
      </c>
    </row>
    <row r="740" spans="3:3" x14ac:dyDescent="0.25">
      <c r="C740" s="14" t="s">
        <v>3901</v>
      </c>
    </row>
    <row r="741" spans="3:3" x14ac:dyDescent="0.25">
      <c r="C741" s="14" t="s">
        <v>3898</v>
      </c>
    </row>
    <row r="742" spans="3:3" x14ac:dyDescent="0.25">
      <c r="C742" s="14" t="s">
        <v>3902</v>
      </c>
    </row>
    <row r="743" spans="3:3" x14ac:dyDescent="0.25">
      <c r="C743" s="14" t="s">
        <v>3899</v>
      </c>
    </row>
    <row r="744" spans="3:3" x14ac:dyDescent="0.25">
      <c r="C744" s="14" t="s">
        <v>3977</v>
      </c>
    </row>
    <row r="745" spans="3:3" ht="30" x14ac:dyDescent="0.25">
      <c r="C745" s="14" t="s">
        <v>3987</v>
      </c>
    </row>
    <row r="746" spans="3:3" ht="30" x14ac:dyDescent="0.25">
      <c r="C746" s="14" t="s">
        <v>3988</v>
      </c>
    </row>
    <row r="747" spans="3:3" x14ac:dyDescent="0.25">
      <c r="C747" s="14" t="s">
        <v>3750</v>
      </c>
    </row>
    <row r="748" spans="3:3" x14ac:dyDescent="0.25">
      <c r="C748" s="14" t="s">
        <v>3759</v>
      </c>
    </row>
    <row r="749" spans="3:3" x14ac:dyDescent="0.25">
      <c r="C749" s="14" t="s">
        <v>4732</v>
      </c>
    </row>
    <row r="750" spans="3:3" ht="30" x14ac:dyDescent="0.25">
      <c r="C750" s="14" t="s">
        <v>4744</v>
      </c>
    </row>
    <row r="751" spans="3:3" x14ac:dyDescent="0.25">
      <c r="C751" s="14" t="s">
        <v>4741</v>
      </c>
    </row>
    <row r="752" spans="3:3" x14ac:dyDescent="0.25">
      <c r="C752" s="14" t="s">
        <v>4746</v>
      </c>
    </row>
    <row r="753" spans="3:3" x14ac:dyDescent="0.25">
      <c r="C753" s="14" t="s">
        <v>4745</v>
      </c>
    </row>
    <row r="754" spans="3:3" x14ac:dyDescent="0.25">
      <c r="C754" s="14" t="s">
        <v>4742</v>
      </c>
    </row>
    <row r="755" spans="3:3" x14ac:dyDescent="0.25">
      <c r="C755" s="14" t="s">
        <v>4747</v>
      </c>
    </row>
    <row r="756" spans="3:3" x14ac:dyDescent="0.25">
      <c r="C756" s="14" t="s">
        <v>4743</v>
      </c>
    </row>
    <row r="757" spans="3:3" x14ac:dyDescent="0.25">
      <c r="C757" s="14" t="s">
        <v>4459</v>
      </c>
    </row>
    <row r="758" spans="3:3" x14ac:dyDescent="0.25">
      <c r="C758" s="14" t="s">
        <v>4471</v>
      </c>
    </row>
    <row r="759" spans="3:3" x14ac:dyDescent="0.25">
      <c r="C759" s="14" t="s">
        <v>4472</v>
      </c>
    </row>
    <row r="760" spans="3:3" x14ac:dyDescent="0.25">
      <c r="C760" s="14" t="s">
        <v>4474</v>
      </c>
    </row>
    <row r="761" spans="3:3" x14ac:dyDescent="0.25">
      <c r="C761" s="14" t="s">
        <v>4473</v>
      </c>
    </row>
    <row r="762" spans="3:3" ht="30" x14ac:dyDescent="0.25">
      <c r="C762" s="14" t="s">
        <v>4470</v>
      </c>
    </row>
    <row r="763" spans="3:3" x14ac:dyDescent="0.25">
      <c r="C763" s="14" t="s">
        <v>4589</v>
      </c>
    </row>
    <row r="764" spans="3:3" ht="45" x14ac:dyDescent="0.25">
      <c r="C764" s="14" t="s">
        <v>4604</v>
      </c>
    </row>
    <row r="765" spans="3:3" x14ac:dyDescent="0.25">
      <c r="C765" s="14" t="s">
        <v>3654</v>
      </c>
    </row>
    <row r="766" spans="3:3" x14ac:dyDescent="0.25">
      <c r="C766" s="14" t="s">
        <v>3665</v>
      </c>
    </row>
    <row r="767" spans="3:3" x14ac:dyDescent="0.25">
      <c r="C767" s="14" t="s">
        <v>4645</v>
      </c>
    </row>
    <row r="768" spans="3:3" ht="45" x14ac:dyDescent="0.25">
      <c r="C768" s="14" t="s">
        <v>4656</v>
      </c>
    </row>
    <row r="769" spans="3:3" x14ac:dyDescent="0.25">
      <c r="C769" s="14" t="s">
        <v>3399</v>
      </c>
    </row>
    <row r="770" spans="3:3" x14ac:dyDescent="0.25">
      <c r="C770" s="14" t="s">
        <v>3467</v>
      </c>
    </row>
    <row r="771" spans="3:3" ht="30" x14ac:dyDescent="0.25">
      <c r="C771" s="14" t="s">
        <v>3484</v>
      </c>
    </row>
    <row r="772" spans="3:3" x14ac:dyDescent="0.25">
      <c r="C772" s="14" t="s">
        <v>3365</v>
      </c>
    </row>
    <row r="773" spans="3:3" x14ac:dyDescent="0.25">
      <c r="C773" s="14" t="s">
        <v>3403</v>
      </c>
    </row>
    <row r="774" spans="3:3" x14ac:dyDescent="0.25">
      <c r="C774" s="14" t="s">
        <v>3401</v>
      </c>
    </row>
    <row r="775" spans="3:3" x14ac:dyDescent="0.25">
      <c r="C775" s="14" t="s">
        <v>3400</v>
      </c>
    </row>
    <row r="776" spans="3:3" x14ac:dyDescent="0.25">
      <c r="C776" s="14" t="s">
        <v>3402</v>
      </c>
    </row>
    <row r="777" spans="3:3" x14ac:dyDescent="0.25">
      <c r="C777" s="14" t="s">
        <v>3534</v>
      </c>
    </row>
    <row r="778" spans="3:3" x14ac:dyDescent="0.25">
      <c r="C778" s="14" t="s">
        <v>3560</v>
      </c>
    </row>
    <row r="779" spans="3:3" x14ac:dyDescent="0.25">
      <c r="C779" s="14" t="s">
        <v>3716</v>
      </c>
    </row>
    <row r="780" spans="3:3" x14ac:dyDescent="0.25">
      <c r="C780" s="14" t="s">
        <v>3719</v>
      </c>
    </row>
    <row r="781" spans="3:3" x14ac:dyDescent="0.25">
      <c r="C781" s="14" t="s">
        <v>3582</v>
      </c>
    </row>
    <row r="782" spans="3:3" ht="45" x14ac:dyDescent="0.25">
      <c r="C782" s="14" t="s">
        <v>3595</v>
      </c>
    </row>
    <row r="783" spans="3:3" x14ac:dyDescent="0.25">
      <c r="C783" s="14" t="s">
        <v>3882</v>
      </c>
    </row>
    <row r="784" spans="3:3" x14ac:dyDescent="0.25">
      <c r="C784" s="14" t="s">
        <v>3906</v>
      </c>
    </row>
    <row r="785" spans="3:3" x14ac:dyDescent="0.25">
      <c r="C785" s="14" t="s">
        <v>3905</v>
      </c>
    </row>
    <row r="786" spans="3:3" x14ac:dyDescent="0.25">
      <c r="C786" s="14" t="s">
        <v>3907</v>
      </c>
    </row>
    <row r="787" spans="3:3" x14ac:dyDescent="0.25">
      <c r="C787" s="14" t="s">
        <v>3908</v>
      </c>
    </row>
    <row r="788" spans="3:3" x14ac:dyDescent="0.25">
      <c r="C788" s="14" t="s">
        <v>4732</v>
      </c>
    </row>
    <row r="789" spans="3:3" x14ac:dyDescent="0.25">
      <c r="C789" s="14" t="s">
        <v>4748</v>
      </c>
    </row>
    <row r="790" spans="3:3" x14ac:dyDescent="0.25">
      <c r="C790" s="14" t="s">
        <v>4750</v>
      </c>
    </row>
    <row r="791" spans="3:3" x14ac:dyDescent="0.25">
      <c r="C791" s="14" t="s">
        <v>4749</v>
      </c>
    </row>
    <row r="792" spans="3:3" x14ac:dyDescent="0.25">
      <c r="C792" s="14" t="s">
        <v>4265</v>
      </c>
    </row>
    <row r="793" spans="3:3" x14ac:dyDescent="0.25">
      <c r="C793" s="14" t="s">
        <v>4275</v>
      </c>
    </row>
    <row r="794" spans="3:3" x14ac:dyDescent="0.25">
      <c r="C794" s="14" t="s">
        <v>4459</v>
      </c>
    </row>
    <row r="795" spans="3:3" x14ac:dyDescent="0.25">
      <c r="C795" s="14" t="s">
        <v>4475</v>
      </c>
    </row>
    <row r="796" spans="3:3" x14ac:dyDescent="0.25">
      <c r="C796" s="14" t="s">
        <v>4478</v>
      </c>
    </row>
    <row r="797" spans="3:3" ht="30" x14ac:dyDescent="0.25">
      <c r="C797" s="14" t="s">
        <v>4477</v>
      </c>
    </row>
    <row r="798" spans="3:3" x14ac:dyDescent="0.25">
      <c r="C798" s="14" t="s">
        <v>4476</v>
      </c>
    </row>
    <row r="799" spans="3:3" x14ac:dyDescent="0.25">
      <c r="C799" s="14" t="s">
        <v>4589</v>
      </c>
    </row>
    <row r="800" spans="3:3" x14ac:dyDescent="0.25">
      <c r="C800" s="14" t="s">
        <v>4606</v>
      </c>
    </row>
    <row r="801" spans="3:3" ht="30" x14ac:dyDescent="0.25">
      <c r="C801" s="14" t="s">
        <v>4605</v>
      </c>
    </row>
    <row r="802" spans="3:3" x14ac:dyDescent="0.25">
      <c r="C802" s="14" t="s">
        <v>4645</v>
      </c>
    </row>
    <row r="803" spans="3:3" ht="45" x14ac:dyDescent="0.25">
      <c r="C803" s="14" t="s">
        <v>4657</v>
      </c>
    </row>
    <row r="804" spans="3:3" x14ac:dyDescent="0.25">
      <c r="C804" s="14" t="s">
        <v>3404</v>
      </c>
    </row>
    <row r="805" spans="3:3" x14ac:dyDescent="0.25">
      <c r="C805" s="14" t="s">
        <v>3467</v>
      </c>
    </row>
    <row r="806" spans="3:3" x14ac:dyDescent="0.25">
      <c r="C806" s="14" t="s">
        <v>3485</v>
      </c>
    </row>
    <row r="807" spans="3:3" x14ac:dyDescent="0.25">
      <c r="C807" s="14" t="s">
        <v>3365</v>
      </c>
    </row>
    <row r="808" spans="3:3" x14ac:dyDescent="0.25">
      <c r="C808" s="14" t="s">
        <v>3405</v>
      </c>
    </row>
    <row r="809" spans="3:3" x14ac:dyDescent="0.25">
      <c r="C809" s="14" t="s">
        <v>3716</v>
      </c>
    </row>
    <row r="810" spans="3:3" x14ac:dyDescent="0.25">
      <c r="C810" s="14" t="s">
        <v>3720</v>
      </c>
    </row>
    <row r="811" spans="3:3" x14ac:dyDescent="0.25">
      <c r="C811" s="14" t="s">
        <v>4349</v>
      </c>
    </row>
    <row r="812" spans="3:3" x14ac:dyDescent="0.25">
      <c r="C812" s="14" t="s">
        <v>4372</v>
      </c>
    </row>
    <row r="813" spans="3:3" x14ac:dyDescent="0.25">
      <c r="C813" s="14" t="s">
        <v>3582</v>
      </c>
    </row>
    <row r="814" spans="3:3" x14ac:dyDescent="0.25">
      <c r="C814" s="14" t="s">
        <v>3596</v>
      </c>
    </row>
    <row r="815" spans="3:3" x14ac:dyDescent="0.25">
      <c r="C815" s="14" t="s">
        <v>4228</v>
      </c>
    </row>
    <row r="816" spans="3:3" x14ac:dyDescent="0.25">
      <c r="C816" s="14" t="s">
        <v>4235</v>
      </c>
    </row>
    <row r="817" spans="3:3" x14ac:dyDescent="0.25">
      <c r="C817" s="14" t="s">
        <v>4421</v>
      </c>
    </row>
    <row r="818" spans="3:3" x14ac:dyDescent="0.25">
      <c r="C818" s="14" t="s">
        <v>4433</v>
      </c>
    </row>
    <row r="819" spans="3:3" x14ac:dyDescent="0.25">
      <c r="C819" s="14" t="s">
        <v>3654</v>
      </c>
    </row>
    <row r="820" spans="3:3" ht="30" x14ac:dyDescent="0.25">
      <c r="C820" s="14" t="s">
        <v>3666</v>
      </c>
    </row>
    <row r="821" spans="3:3" x14ac:dyDescent="0.25">
      <c r="C821" s="14" t="s">
        <v>4645</v>
      </c>
    </row>
    <row r="822" spans="3:3" ht="60" x14ac:dyDescent="0.25">
      <c r="C822" s="14" t="s">
        <v>4658</v>
      </c>
    </row>
    <row r="823" spans="3:3" x14ac:dyDescent="0.25">
      <c r="C823" s="14" t="s">
        <v>3667</v>
      </c>
    </row>
    <row r="824" spans="3:3" x14ac:dyDescent="0.25">
      <c r="C824" s="14" t="s">
        <v>4061</v>
      </c>
    </row>
    <row r="825" spans="3:3" x14ac:dyDescent="0.25">
      <c r="C825" s="14" t="s">
        <v>4074</v>
      </c>
    </row>
    <row r="826" spans="3:3" x14ac:dyDescent="0.25">
      <c r="C826" s="14" t="s">
        <v>3851</v>
      </c>
    </row>
    <row r="827" spans="3:3" x14ac:dyDescent="0.25">
      <c r="C827" s="14" t="s">
        <v>3859</v>
      </c>
    </row>
    <row r="828" spans="3:3" x14ac:dyDescent="0.25">
      <c r="C828" s="14" t="s">
        <v>3654</v>
      </c>
    </row>
    <row r="829" spans="3:3" x14ac:dyDescent="0.25">
      <c r="C829" s="14" t="s">
        <v>3668</v>
      </c>
    </row>
    <row r="830" spans="3:3" x14ac:dyDescent="0.25">
      <c r="C830" s="14" t="s">
        <v>4645</v>
      </c>
    </row>
    <row r="831" spans="3:3" x14ac:dyDescent="0.25">
      <c r="C831" s="14" t="s">
        <v>4659</v>
      </c>
    </row>
    <row r="832" spans="3:3" x14ac:dyDescent="0.25">
      <c r="C832" s="14" t="s">
        <v>3486</v>
      </c>
    </row>
    <row r="833" spans="3:3" x14ac:dyDescent="0.25">
      <c r="C833" s="14" t="s">
        <v>3467</v>
      </c>
    </row>
    <row r="834" spans="3:3" x14ac:dyDescent="0.25">
      <c r="C834" s="14" t="s">
        <v>3487</v>
      </c>
    </row>
    <row r="835" spans="3:3" x14ac:dyDescent="0.25">
      <c r="C835" s="14" t="s">
        <v>4167</v>
      </c>
    </row>
    <row r="836" spans="3:3" x14ac:dyDescent="0.25">
      <c r="C836" s="14" t="s">
        <v>4185</v>
      </c>
    </row>
    <row r="837" spans="3:3" x14ac:dyDescent="0.25">
      <c r="C837" s="14" t="s">
        <v>3750</v>
      </c>
    </row>
    <row r="838" spans="3:3" x14ac:dyDescent="0.25">
      <c r="C838" s="14" t="s">
        <v>3760</v>
      </c>
    </row>
    <row r="839" spans="3:3" x14ac:dyDescent="0.25">
      <c r="C839" s="14" t="s">
        <v>3296</v>
      </c>
    </row>
    <row r="840" spans="3:3" x14ac:dyDescent="0.25">
      <c r="C840" s="14" t="s">
        <v>3781</v>
      </c>
    </row>
    <row r="841" spans="3:3" x14ac:dyDescent="0.25">
      <c r="C841" s="14" t="s">
        <v>3809</v>
      </c>
    </row>
    <row r="842" spans="3:3" x14ac:dyDescent="0.25">
      <c r="C842" s="14" t="s">
        <v>4459</v>
      </c>
    </row>
    <row r="843" spans="3:3" x14ac:dyDescent="0.25">
      <c r="C843" s="14" t="s">
        <v>4479</v>
      </c>
    </row>
    <row r="844" spans="3:3" x14ac:dyDescent="0.25">
      <c r="C844" s="14" t="s">
        <v>4589</v>
      </c>
    </row>
    <row r="845" spans="3:3" x14ac:dyDescent="0.25">
      <c r="C845" s="14" t="s">
        <v>4607</v>
      </c>
    </row>
    <row r="846" spans="3:3" x14ac:dyDescent="0.25">
      <c r="C846" s="14" t="s">
        <v>3287</v>
      </c>
    </row>
    <row r="847" spans="3:3" ht="30" x14ac:dyDescent="0.25">
      <c r="C847" s="14" t="s">
        <v>3297</v>
      </c>
    </row>
    <row r="848" spans="3:3" x14ac:dyDescent="0.25">
      <c r="C848" s="14" t="s">
        <v>3669</v>
      </c>
    </row>
    <row r="849" spans="3:3" x14ac:dyDescent="0.25">
      <c r="C849" s="14" t="s">
        <v>4104</v>
      </c>
    </row>
    <row r="850" spans="3:3" x14ac:dyDescent="0.25">
      <c r="C850" s="14" t="s">
        <v>4124</v>
      </c>
    </row>
    <row r="851" spans="3:3" x14ac:dyDescent="0.25">
      <c r="C851" s="14" t="s">
        <v>3654</v>
      </c>
    </row>
    <row r="852" spans="3:3" x14ac:dyDescent="0.25">
      <c r="C852" s="14" t="s">
        <v>3670</v>
      </c>
    </row>
    <row r="853" spans="3:3" x14ac:dyDescent="0.25">
      <c r="C853" s="14" t="s">
        <v>4022</v>
      </c>
    </row>
    <row r="854" spans="3:3" x14ac:dyDescent="0.25">
      <c r="C854" s="14" t="s">
        <v>4032</v>
      </c>
    </row>
    <row r="855" spans="3:3" x14ac:dyDescent="0.25">
      <c r="C855" s="14" t="s">
        <v>3721</v>
      </c>
    </row>
    <row r="856" spans="3:3" x14ac:dyDescent="0.25">
      <c r="C856" s="14" t="s">
        <v>3716</v>
      </c>
    </row>
    <row r="857" spans="3:3" x14ac:dyDescent="0.25">
      <c r="C857" s="14" t="s">
        <v>3722</v>
      </c>
    </row>
    <row r="858" spans="3:3" x14ac:dyDescent="0.25">
      <c r="C858" s="14" t="s">
        <v>3781</v>
      </c>
    </row>
    <row r="859" spans="3:3" x14ac:dyDescent="0.25">
      <c r="C859" s="14" t="s">
        <v>3810</v>
      </c>
    </row>
    <row r="860" spans="3:3" x14ac:dyDescent="0.25">
      <c r="C860" s="14" t="s">
        <v>3298</v>
      </c>
    </row>
    <row r="861" spans="3:3" x14ac:dyDescent="0.25">
      <c r="C861" s="14" t="s">
        <v>3467</v>
      </c>
    </row>
    <row r="862" spans="3:3" x14ac:dyDescent="0.25">
      <c r="C862" s="14" t="s">
        <v>3488</v>
      </c>
    </row>
    <row r="863" spans="3:3" x14ac:dyDescent="0.25">
      <c r="C863" s="14" t="s">
        <v>3365</v>
      </c>
    </row>
    <row r="864" spans="3:3" x14ac:dyDescent="0.25">
      <c r="C864" s="14" t="s">
        <v>3407</v>
      </c>
    </row>
    <row r="865" spans="3:3" x14ac:dyDescent="0.25">
      <c r="C865" s="14" t="s">
        <v>3406</v>
      </c>
    </row>
    <row r="866" spans="3:3" x14ac:dyDescent="0.25">
      <c r="C866" s="14" t="s">
        <v>3977</v>
      </c>
    </row>
    <row r="867" spans="3:3" x14ac:dyDescent="0.25">
      <c r="C867" s="14" t="s">
        <v>3989</v>
      </c>
    </row>
    <row r="868" spans="3:3" x14ac:dyDescent="0.25">
      <c r="C868" s="14" t="s">
        <v>4688</v>
      </c>
    </row>
    <row r="869" spans="3:3" x14ac:dyDescent="0.25">
      <c r="C869" s="14" t="s">
        <v>4699</v>
      </c>
    </row>
    <row r="870" spans="3:3" x14ac:dyDescent="0.25">
      <c r="C870" s="14" t="s">
        <v>4698</v>
      </c>
    </row>
    <row r="871" spans="3:3" x14ac:dyDescent="0.25">
      <c r="C871" s="14" t="s">
        <v>4228</v>
      </c>
    </row>
    <row r="872" spans="3:3" x14ac:dyDescent="0.25">
      <c r="C872" s="14" t="s">
        <v>4236</v>
      </c>
    </row>
    <row r="873" spans="3:3" x14ac:dyDescent="0.25">
      <c r="C873" s="14" t="s">
        <v>4589</v>
      </c>
    </row>
    <row r="874" spans="3:3" x14ac:dyDescent="0.25">
      <c r="C874" s="14" t="s">
        <v>4608</v>
      </c>
    </row>
    <row r="875" spans="3:3" x14ac:dyDescent="0.25">
      <c r="C875" s="14" t="s">
        <v>4609</v>
      </c>
    </row>
    <row r="876" spans="3:3" x14ac:dyDescent="0.25">
      <c r="C876" s="14" t="s">
        <v>4559</v>
      </c>
    </row>
    <row r="877" spans="3:3" ht="30" x14ac:dyDescent="0.25">
      <c r="C877" s="14" t="s">
        <v>4569</v>
      </c>
    </row>
    <row r="878" spans="3:3" x14ac:dyDescent="0.25">
      <c r="C878" s="14" t="s">
        <v>3287</v>
      </c>
    </row>
    <row r="879" spans="3:3" x14ac:dyDescent="0.25">
      <c r="C879" s="14" t="s">
        <v>3299</v>
      </c>
    </row>
    <row r="880" spans="3:3" x14ac:dyDescent="0.25">
      <c r="C880" s="14" t="s">
        <v>3300</v>
      </c>
    </row>
    <row r="881" spans="3:3" x14ac:dyDescent="0.25">
      <c r="C881" s="14" t="s">
        <v>3534</v>
      </c>
    </row>
    <row r="882" spans="3:3" ht="30" x14ac:dyDescent="0.25">
      <c r="C882" s="14" t="s">
        <v>3561</v>
      </c>
    </row>
    <row r="883" spans="3:3" x14ac:dyDescent="0.25">
      <c r="C883" s="14" t="s">
        <v>3781</v>
      </c>
    </row>
    <row r="884" spans="3:3" x14ac:dyDescent="0.25">
      <c r="C884" s="14" t="s">
        <v>3811</v>
      </c>
    </row>
    <row r="885" spans="3:3" x14ac:dyDescent="0.25">
      <c r="C885" s="14" t="s">
        <v>3882</v>
      </c>
    </row>
    <row r="886" spans="3:3" x14ac:dyDescent="0.25">
      <c r="C886" s="14" t="s">
        <v>3909</v>
      </c>
    </row>
    <row r="887" spans="3:3" x14ac:dyDescent="0.25">
      <c r="C887" s="14" t="s">
        <v>3910</v>
      </c>
    </row>
    <row r="888" spans="3:3" x14ac:dyDescent="0.25">
      <c r="C888" s="14" t="s">
        <v>3977</v>
      </c>
    </row>
    <row r="889" spans="3:3" x14ac:dyDescent="0.25">
      <c r="C889" s="14" t="s">
        <v>3990</v>
      </c>
    </row>
    <row r="890" spans="3:3" x14ac:dyDescent="0.25">
      <c r="C890" s="14" t="s">
        <v>3750</v>
      </c>
    </row>
    <row r="891" spans="3:3" x14ac:dyDescent="0.25">
      <c r="C891" s="14" t="s">
        <v>3761</v>
      </c>
    </row>
    <row r="892" spans="3:3" x14ac:dyDescent="0.25">
      <c r="C892" s="14" t="s">
        <v>4265</v>
      </c>
    </row>
    <row r="893" spans="3:3" x14ac:dyDescent="0.25">
      <c r="C893" s="14" t="s">
        <v>4276</v>
      </c>
    </row>
    <row r="894" spans="3:3" x14ac:dyDescent="0.25">
      <c r="C894" s="14" t="s">
        <v>3287</v>
      </c>
    </row>
    <row r="895" spans="3:3" x14ac:dyDescent="0.25">
      <c r="C895" s="14" t="s">
        <v>3301</v>
      </c>
    </row>
    <row r="896" spans="3:3" x14ac:dyDescent="0.25">
      <c r="C896" s="14" t="s">
        <v>3654</v>
      </c>
    </row>
    <row r="897" spans="3:3" x14ac:dyDescent="0.25">
      <c r="C897" s="14" t="s">
        <v>3671</v>
      </c>
    </row>
    <row r="898" spans="3:3" x14ac:dyDescent="0.25">
      <c r="C898" s="14" t="s">
        <v>4700</v>
      </c>
    </row>
    <row r="899" spans="3:3" x14ac:dyDescent="0.25">
      <c r="C899" s="14" t="s">
        <v>4688</v>
      </c>
    </row>
    <row r="900" spans="3:3" x14ac:dyDescent="0.25">
      <c r="C900" s="14" t="s">
        <v>4701</v>
      </c>
    </row>
    <row r="901" spans="3:3" x14ac:dyDescent="0.25">
      <c r="C901" s="14" t="s">
        <v>3991</v>
      </c>
    </row>
    <row r="902" spans="3:3" x14ac:dyDescent="0.25">
      <c r="C902" s="14" t="s">
        <v>3977</v>
      </c>
    </row>
    <row r="903" spans="3:3" x14ac:dyDescent="0.25">
      <c r="C903" s="14" t="s">
        <v>3992</v>
      </c>
    </row>
    <row r="904" spans="3:3" x14ac:dyDescent="0.25">
      <c r="C904" s="14" t="s">
        <v>3489</v>
      </c>
    </row>
    <row r="905" spans="3:3" x14ac:dyDescent="0.25">
      <c r="C905" s="14" t="s">
        <v>3467</v>
      </c>
    </row>
    <row r="906" spans="3:3" x14ac:dyDescent="0.25">
      <c r="C906" s="14" t="s">
        <v>3490</v>
      </c>
    </row>
    <row r="907" spans="3:3" x14ac:dyDescent="0.25">
      <c r="C907" s="14" t="s">
        <v>3534</v>
      </c>
    </row>
    <row r="908" spans="3:3" x14ac:dyDescent="0.25">
      <c r="C908" s="14" t="s">
        <v>3562</v>
      </c>
    </row>
    <row r="909" spans="3:3" x14ac:dyDescent="0.25">
      <c r="C909" s="14" t="s">
        <v>4061</v>
      </c>
    </row>
    <row r="910" spans="3:3" x14ac:dyDescent="0.25">
      <c r="C910" s="14" t="s">
        <v>4075</v>
      </c>
    </row>
    <row r="911" spans="3:3" x14ac:dyDescent="0.25">
      <c r="C911" s="14" t="s">
        <v>4304</v>
      </c>
    </row>
    <row r="912" spans="3:3" x14ac:dyDescent="0.25">
      <c r="C912" s="14" t="s">
        <v>4315</v>
      </c>
    </row>
    <row r="913" spans="3:3" x14ac:dyDescent="0.25">
      <c r="C913" s="14" t="s">
        <v>4167</v>
      </c>
    </row>
    <row r="914" spans="3:3" x14ac:dyDescent="0.25">
      <c r="C914" s="14" t="s">
        <v>4186</v>
      </c>
    </row>
    <row r="915" spans="3:3" x14ac:dyDescent="0.25">
      <c r="C915" s="14" t="s">
        <v>3977</v>
      </c>
    </row>
    <row r="916" spans="3:3" x14ac:dyDescent="0.25">
      <c r="C916" s="14" t="s">
        <v>3993</v>
      </c>
    </row>
    <row r="917" spans="3:3" x14ac:dyDescent="0.25">
      <c r="C917" s="14" t="s">
        <v>4688</v>
      </c>
    </row>
    <row r="918" spans="3:3" x14ac:dyDescent="0.25">
      <c r="C918" s="14" t="s">
        <v>4702</v>
      </c>
    </row>
    <row r="919" spans="3:3" x14ac:dyDescent="0.25">
      <c r="C919" s="14" t="s">
        <v>4022</v>
      </c>
    </row>
    <row r="920" spans="3:3" x14ac:dyDescent="0.25">
      <c r="C920" s="14" t="s">
        <v>4033</v>
      </c>
    </row>
    <row r="921" spans="3:3" x14ac:dyDescent="0.25">
      <c r="C921" s="14" t="s">
        <v>3563</v>
      </c>
    </row>
    <row r="922" spans="3:3" x14ac:dyDescent="0.25">
      <c r="C922" s="14" t="s">
        <v>3534</v>
      </c>
    </row>
    <row r="923" spans="3:3" x14ac:dyDescent="0.25">
      <c r="C923" s="14" t="s">
        <v>3564</v>
      </c>
    </row>
    <row r="924" spans="3:3" x14ac:dyDescent="0.25">
      <c r="C924" s="14" t="s">
        <v>3977</v>
      </c>
    </row>
    <row r="925" spans="3:3" x14ac:dyDescent="0.25">
      <c r="C925" s="14" t="s">
        <v>3994</v>
      </c>
    </row>
    <row r="926" spans="3:3" x14ac:dyDescent="0.25">
      <c r="C926" s="14" t="s">
        <v>4514</v>
      </c>
    </row>
    <row r="927" spans="3:3" x14ac:dyDescent="0.25">
      <c r="C927" s="14" t="s">
        <v>4528</v>
      </c>
    </row>
    <row r="928" spans="3:3" x14ac:dyDescent="0.25">
      <c r="C928" s="14" t="s">
        <v>3408</v>
      </c>
    </row>
    <row r="929" spans="3:3" x14ac:dyDescent="0.25">
      <c r="C929" s="14" t="s">
        <v>3365</v>
      </c>
    </row>
    <row r="930" spans="3:3" x14ac:dyDescent="0.25">
      <c r="C930" s="14" t="s">
        <v>3409</v>
      </c>
    </row>
    <row r="931" spans="3:3" x14ac:dyDescent="0.25">
      <c r="C931" s="14" t="s">
        <v>3750</v>
      </c>
    </row>
    <row r="932" spans="3:3" x14ac:dyDescent="0.25">
      <c r="C932" s="14" t="s">
        <v>3762</v>
      </c>
    </row>
    <row r="933" spans="3:3" x14ac:dyDescent="0.25">
      <c r="C933" s="14" t="s">
        <v>4589</v>
      </c>
    </row>
    <row r="934" spans="3:3" x14ac:dyDescent="0.25">
      <c r="C934" s="14" t="s">
        <v>4610</v>
      </c>
    </row>
    <row r="935" spans="3:3" x14ac:dyDescent="0.25">
      <c r="C935" s="14" t="s">
        <v>3654</v>
      </c>
    </row>
    <row r="936" spans="3:3" x14ac:dyDescent="0.25">
      <c r="C936" s="14" t="s">
        <v>3672</v>
      </c>
    </row>
    <row r="937" spans="3:3" x14ac:dyDescent="0.25">
      <c r="C937" s="14" t="s">
        <v>3302</v>
      </c>
    </row>
    <row r="938" spans="3:3" x14ac:dyDescent="0.25">
      <c r="C938" s="14" t="s">
        <v>3467</v>
      </c>
    </row>
    <row r="939" spans="3:3" x14ac:dyDescent="0.25">
      <c r="C939" s="14" t="s">
        <v>3491</v>
      </c>
    </row>
    <row r="940" spans="3:3" x14ac:dyDescent="0.25">
      <c r="C940" s="14" t="s">
        <v>3716</v>
      </c>
    </row>
    <row r="941" spans="3:3" x14ac:dyDescent="0.25">
      <c r="C941" s="14" t="s">
        <v>3723</v>
      </c>
    </row>
    <row r="942" spans="3:3" x14ac:dyDescent="0.25">
      <c r="C942" s="14" t="s">
        <v>3781</v>
      </c>
    </row>
    <row r="943" spans="3:3" x14ac:dyDescent="0.25">
      <c r="C943" s="14" t="s">
        <v>3812</v>
      </c>
    </row>
    <row r="944" spans="3:3" x14ac:dyDescent="0.25">
      <c r="C944" s="14" t="s">
        <v>4167</v>
      </c>
    </row>
    <row r="945" spans="3:3" x14ac:dyDescent="0.25">
      <c r="C945" s="14" t="s">
        <v>4187</v>
      </c>
    </row>
    <row r="946" spans="3:3" x14ac:dyDescent="0.25">
      <c r="C946" s="14" t="s">
        <v>4207</v>
      </c>
    </row>
    <row r="947" spans="3:3" x14ac:dyDescent="0.25">
      <c r="C947" s="14" t="s">
        <v>4220</v>
      </c>
    </row>
    <row r="948" spans="3:3" x14ac:dyDescent="0.25">
      <c r="C948" s="14" t="s">
        <v>3750</v>
      </c>
    </row>
    <row r="949" spans="3:3" x14ac:dyDescent="0.25">
      <c r="C949" s="14" t="s">
        <v>3763</v>
      </c>
    </row>
    <row r="950" spans="3:3" x14ac:dyDescent="0.25">
      <c r="C950" s="14" t="s">
        <v>4514</v>
      </c>
    </row>
    <row r="951" spans="3:3" ht="30" x14ac:dyDescent="0.25">
      <c r="C951" s="14" t="s">
        <v>4529</v>
      </c>
    </row>
    <row r="952" spans="3:3" x14ac:dyDescent="0.25">
      <c r="C952" s="14" t="s">
        <v>3287</v>
      </c>
    </row>
    <row r="953" spans="3:3" ht="30" x14ac:dyDescent="0.25">
      <c r="C953" s="14" t="s">
        <v>3303</v>
      </c>
    </row>
    <row r="954" spans="3:3" x14ac:dyDescent="0.25">
      <c r="C954" s="14" t="s">
        <v>4022</v>
      </c>
    </row>
    <row r="955" spans="3:3" x14ac:dyDescent="0.25">
      <c r="C955" s="14" t="s">
        <v>4034</v>
      </c>
    </row>
    <row r="956" spans="3:3" x14ac:dyDescent="0.25">
      <c r="C956" s="14" t="s">
        <v>3597</v>
      </c>
    </row>
    <row r="957" spans="3:3" x14ac:dyDescent="0.25">
      <c r="C957" s="14" t="s">
        <v>3781</v>
      </c>
    </row>
    <row r="958" spans="3:3" x14ac:dyDescent="0.25">
      <c r="C958" s="14" t="s">
        <v>3813</v>
      </c>
    </row>
    <row r="959" spans="3:3" x14ac:dyDescent="0.25">
      <c r="C959" s="14" t="s">
        <v>3582</v>
      </c>
    </row>
    <row r="960" spans="3:3" x14ac:dyDescent="0.25">
      <c r="C960" s="14" t="s">
        <v>3598</v>
      </c>
    </row>
    <row r="961" spans="3:3" x14ac:dyDescent="0.25">
      <c r="C961" s="14" t="s">
        <v>3410</v>
      </c>
    </row>
    <row r="962" spans="3:3" x14ac:dyDescent="0.25">
      <c r="C962" s="14" t="s">
        <v>3365</v>
      </c>
    </row>
    <row r="963" spans="3:3" x14ac:dyDescent="0.25">
      <c r="C963" s="14" t="s">
        <v>3411</v>
      </c>
    </row>
    <row r="964" spans="3:3" x14ac:dyDescent="0.25">
      <c r="C964" s="14" t="s">
        <v>3781</v>
      </c>
    </row>
    <row r="965" spans="3:3" x14ac:dyDescent="0.25">
      <c r="C965" s="14" t="s">
        <v>3814</v>
      </c>
    </row>
    <row r="966" spans="3:3" x14ac:dyDescent="0.25">
      <c r="C966" s="14" t="s">
        <v>3582</v>
      </c>
    </row>
    <row r="967" spans="3:3" x14ac:dyDescent="0.25">
      <c r="C967" s="14" t="s">
        <v>3599</v>
      </c>
    </row>
    <row r="968" spans="3:3" x14ac:dyDescent="0.25">
      <c r="C968" s="14" t="s">
        <v>3600</v>
      </c>
    </row>
    <row r="969" spans="3:3" x14ac:dyDescent="0.25">
      <c r="C969" s="14" t="s">
        <v>4228</v>
      </c>
    </row>
    <row r="970" spans="3:3" x14ac:dyDescent="0.25">
      <c r="C970" s="14" t="s">
        <v>4237</v>
      </c>
    </row>
    <row r="971" spans="3:3" x14ac:dyDescent="0.25">
      <c r="C971" s="14" t="s">
        <v>4104</v>
      </c>
    </row>
    <row r="972" spans="3:3" x14ac:dyDescent="0.25">
      <c r="C972" s="14" t="s">
        <v>4125</v>
      </c>
    </row>
    <row r="973" spans="3:3" x14ac:dyDescent="0.25">
      <c r="C973" s="14" t="s">
        <v>4459</v>
      </c>
    </row>
    <row r="974" spans="3:3" x14ac:dyDescent="0.25">
      <c r="C974" s="14" t="s">
        <v>4480</v>
      </c>
    </row>
    <row r="975" spans="3:3" x14ac:dyDescent="0.25">
      <c r="C975" s="14" t="s">
        <v>4589</v>
      </c>
    </row>
    <row r="976" spans="3:3" x14ac:dyDescent="0.25">
      <c r="C976" s="14" t="s">
        <v>4611</v>
      </c>
    </row>
    <row r="977" spans="3:3" x14ac:dyDescent="0.25">
      <c r="C977" s="14" t="s">
        <v>3654</v>
      </c>
    </row>
    <row r="978" spans="3:3" x14ac:dyDescent="0.25">
      <c r="C978" s="14" t="s">
        <v>3673</v>
      </c>
    </row>
    <row r="979" spans="3:3" x14ac:dyDescent="0.25">
      <c r="C979" s="14" t="s">
        <v>4022</v>
      </c>
    </row>
    <row r="980" spans="3:3" x14ac:dyDescent="0.25">
      <c r="C980" s="14" t="s">
        <v>4035</v>
      </c>
    </row>
    <row r="981" spans="3:3" x14ac:dyDescent="0.25">
      <c r="C981" s="14" t="s">
        <v>3492</v>
      </c>
    </row>
    <row r="982" spans="3:3" x14ac:dyDescent="0.25">
      <c r="C982" s="14" t="s">
        <v>3467</v>
      </c>
    </row>
    <row r="983" spans="3:3" x14ac:dyDescent="0.25">
      <c r="C983" s="14" t="s">
        <v>3493</v>
      </c>
    </row>
    <row r="984" spans="3:3" x14ac:dyDescent="0.25">
      <c r="C984" s="14" t="s">
        <v>3534</v>
      </c>
    </row>
    <row r="985" spans="3:3" x14ac:dyDescent="0.25">
      <c r="C985" s="14" t="s">
        <v>3565</v>
      </c>
    </row>
    <row r="986" spans="3:3" x14ac:dyDescent="0.25">
      <c r="C986" s="14" t="s">
        <v>3716</v>
      </c>
    </row>
    <row r="987" spans="3:3" x14ac:dyDescent="0.25">
      <c r="C987" s="14" t="s">
        <v>3724</v>
      </c>
    </row>
    <row r="988" spans="3:3" x14ac:dyDescent="0.25">
      <c r="C988" s="14" t="s">
        <v>4228</v>
      </c>
    </row>
    <row r="989" spans="3:3" x14ac:dyDescent="0.25">
      <c r="C989" s="14" t="s">
        <v>4238</v>
      </c>
    </row>
    <row r="990" spans="3:3" x14ac:dyDescent="0.25">
      <c r="C990" s="14" t="s">
        <v>4732</v>
      </c>
    </row>
    <row r="991" spans="3:3" x14ac:dyDescent="0.25">
      <c r="C991" s="14" t="s">
        <v>4751</v>
      </c>
    </row>
    <row r="992" spans="3:3" x14ac:dyDescent="0.25">
      <c r="C992" s="14" t="s">
        <v>4645</v>
      </c>
    </row>
    <row r="993" spans="3:3" x14ac:dyDescent="0.25">
      <c r="C993" s="14" t="s">
        <v>4660</v>
      </c>
    </row>
    <row r="994" spans="3:3" x14ac:dyDescent="0.25">
      <c r="C994" s="14" t="s">
        <v>3412</v>
      </c>
    </row>
    <row r="995" spans="3:3" x14ac:dyDescent="0.25">
      <c r="C995" s="14" t="s">
        <v>3365</v>
      </c>
    </row>
    <row r="996" spans="3:3" x14ac:dyDescent="0.25">
      <c r="C996" s="14" t="s">
        <v>3413</v>
      </c>
    </row>
    <row r="997" spans="3:3" x14ac:dyDescent="0.25">
      <c r="C997" s="14" t="s">
        <v>3414</v>
      </c>
    </row>
    <row r="998" spans="3:3" x14ac:dyDescent="0.25">
      <c r="C998" s="14" t="s">
        <v>3882</v>
      </c>
    </row>
    <row r="999" spans="3:3" x14ac:dyDescent="0.25">
      <c r="C999" s="14" t="s">
        <v>3911</v>
      </c>
    </row>
    <row r="1000" spans="3:3" x14ac:dyDescent="0.25">
      <c r="C1000" s="14" t="s">
        <v>4228</v>
      </c>
    </row>
    <row r="1001" spans="3:3" x14ac:dyDescent="0.25">
      <c r="C1001" s="14" t="s">
        <v>4239</v>
      </c>
    </row>
    <row r="1002" spans="3:3" x14ac:dyDescent="0.25">
      <c r="C1002" s="14" t="s">
        <v>3654</v>
      </c>
    </row>
    <row r="1003" spans="3:3" x14ac:dyDescent="0.25">
      <c r="C1003" s="14" t="s">
        <v>3674</v>
      </c>
    </row>
    <row r="1004" spans="3:3" x14ac:dyDescent="0.25">
      <c r="C1004" s="14" t="s">
        <v>3415</v>
      </c>
    </row>
    <row r="1005" spans="3:3" x14ac:dyDescent="0.25">
      <c r="C1005" s="14" t="s">
        <v>3365</v>
      </c>
    </row>
    <row r="1006" spans="3:3" x14ac:dyDescent="0.25">
      <c r="C1006" s="14" t="s">
        <v>3416</v>
      </c>
    </row>
    <row r="1007" spans="3:3" x14ac:dyDescent="0.25">
      <c r="C1007" s="14" t="s">
        <v>3582</v>
      </c>
    </row>
    <row r="1008" spans="3:3" x14ac:dyDescent="0.25">
      <c r="C1008" s="14" t="s">
        <v>3601</v>
      </c>
    </row>
    <row r="1009" spans="3:3" x14ac:dyDescent="0.25">
      <c r="C1009" s="14" t="s">
        <v>3882</v>
      </c>
    </row>
    <row r="1010" spans="3:3" x14ac:dyDescent="0.25">
      <c r="C1010" s="14" t="s">
        <v>3912</v>
      </c>
    </row>
    <row r="1011" spans="3:3" x14ac:dyDescent="0.25">
      <c r="C1011" s="14" t="s">
        <v>3977</v>
      </c>
    </row>
    <row r="1012" spans="3:3" x14ac:dyDescent="0.25">
      <c r="C1012" s="14" t="s">
        <v>3995</v>
      </c>
    </row>
    <row r="1013" spans="3:3" x14ac:dyDescent="0.25">
      <c r="C1013" s="14" t="s">
        <v>4688</v>
      </c>
    </row>
    <row r="1014" spans="3:3" x14ac:dyDescent="0.25">
      <c r="C1014" s="14" t="s">
        <v>4703</v>
      </c>
    </row>
    <row r="1015" spans="3:3" x14ac:dyDescent="0.25">
      <c r="C1015" s="14" t="s">
        <v>4228</v>
      </c>
    </row>
    <row r="1016" spans="3:3" x14ac:dyDescent="0.25">
      <c r="C1016" s="14" t="s">
        <v>4240</v>
      </c>
    </row>
    <row r="1017" spans="3:3" x14ac:dyDescent="0.25">
      <c r="C1017" s="14" t="s">
        <v>4265</v>
      </c>
    </row>
    <row r="1018" spans="3:3" x14ac:dyDescent="0.25">
      <c r="C1018" s="14" t="s">
        <v>4277</v>
      </c>
    </row>
    <row r="1019" spans="3:3" x14ac:dyDescent="0.25">
      <c r="C1019" s="14" t="s">
        <v>3417</v>
      </c>
    </row>
    <row r="1020" spans="3:3" x14ac:dyDescent="0.25">
      <c r="C1020" s="14" t="s">
        <v>3467</v>
      </c>
    </row>
    <row r="1021" spans="3:3" x14ac:dyDescent="0.25">
      <c r="C1021" s="14" t="s">
        <v>3494</v>
      </c>
    </row>
    <row r="1022" spans="3:3" x14ac:dyDescent="0.25">
      <c r="C1022" s="14" t="s">
        <v>3365</v>
      </c>
    </row>
    <row r="1023" spans="3:3" x14ac:dyDescent="0.25">
      <c r="C1023" s="14" t="s">
        <v>3418</v>
      </c>
    </row>
    <row r="1024" spans="3:3" x14ac:dyDescent="0.25">
      <c r="C1024" s="14" t="s">
        <v>3716</v>
      </c>
    </row>
    <row r="1025" spans="3:3" x14ac:dyDescent="0.25">
      <c r="C1025" s="14" t="s">
        <v>3725</v>
      </c>
    </row>
    <row r="1026" spans="3:3" x14ac:dyDescent="0.25">
      <c r="C1026" s="14" t="s">
        <v>3781</v>
      </c>
    </row>
    <row r="1027" spans="3:3" x14ac:dyDescent="0.25">
      <c r="C1027" s="14" t="s">
        <v>3815</v>
      </c>
    </row>
    <row r="1028" spans="3:3" x14ac:dyDescent="0.25">
      <c r="C1028" s="14" t="s">
        <v>3882</v>
      </c>
    </row>
    <row r="1029" spans="3:3" x14ac:dyDescent="0.25">
      <c r="C1029" s="14" t="s">
        <v>3913</v>
      </c>
    </row>
    <row r="1030" spans="3:3" x14ac:dyDescent="0.25">
      <c r="C1030" s="14" t="s">
        <v>4688</v>
      </c>
    </row>
    <row r="1031" spans="3:3" x14ac:dyDescent="0.25">
      <c r="C1031" s="14" t="s">
        <v>4704</v>
      </c>
    </row>
    <row r="1032" spans="3:3" x14ac:dyDescent="0.25">
      <c r="C1032" s="14" t="s">
        <v>4514</v>
      </c>
    </row>
    <row r="1033" spans="3:3" x14ac:dyDescent="0.25">
      <c r="C1033" s="14" t="s">
        <v>4530</v>
      </c>
    </row>
    <row r="1034" spans="3:3" x14ac:dyDescent="0.25">
      <c r="C1034" s="14" t="s">
        <v>4228</v>
      </c>
    </row>
    <row r="1035" spans="3:3" x14ac:dyDescent="0.25">
      <c r="C1035" s="14" t="s">
        <v>4241</v>
      </c>
    </row>
    <row r="1036" spans="3:3" x14ac:dyDescent="0.25">
      <c r="C1036" s="14" t="s">
        <v>4265</v>
      </c>
    </row>
    <row r="1037" spans="3:3" ht="60" x14ac:dyDescent="0.25">
      <c r="C1037" s="14" t="s">
        <v>4278</v>
      </c>
    </row>
    <row r="1038" spans="3:3" x14ac:dyDescent="0.25">
      <c r="C1038" s="14" t="s">
        <v>4421</v>
      </c>
    </row>
    <row r="1039" spans="3:3" x14ac:dyDescent="0.25">
      <c r="C1039" s="14" t="s">
        <v>4434</v>
      </c>
    </row>
    <row r="1040" spans="3:3" x14ac:dyDescent="0.25">
      <c r="C1040" s="14" t="s">
        <v>4459</v>
      </c>
    </row>
    <row r="1041" spans="3:3" ht="30" x14ac:dyDescent="0.25">
      <c r="C1041" s="14" t="s">
        <v>4481</v>
      </c>
    </row>
    <row r="1042" spans="3:3" x14ac:dyDescent="0.25">
      <c r="C1042" s="14" t="s">
        <v>3654</v>
      </c>
    </row>
    <row r="1043" spans="3:3" x14ac:dyDescent="0.25">
      <c r="C1043" s="14" t="s">
        <v>3675</v>
      </c>
    </row>
    <row r="1044" spans="3:3" x14ac:dyDescent="0.25">
      <c r="C1044" s="14" t="s">
        <v>4645</v>
      </c>
    </row>
    <row r="1045" spans="3:3" x14ac:dyDescent="0.25">
      <c r="C1045" s="14" t="s">
        <v>4661</v>
      </c>
    </row>
    <row r="1046" spans="3:3" x14ac:dyDescent="0.25">
      <c r="C1046" s="14" t="s">
        <v>4279</v>
      </c>
    </row>
    <row r="1047" spans="3:3" x14ac:dyDescent="0.25">
      <c r="C1047" s="14" t="s">
        <v>4732</v>
      </c>
    </row>
    <row r="1048" spans="3:3" x14ac:dyDescent="0.25">
      <c r="C1048" s="14" t="s">
        <v>4752</v>
      </c>
    </row>
    <row r="1049" spans="3:3" x14ac:dyDescent="0.25">
      <c r="C1049" s="14" t="s">
        <v>4265</v>
      </c>
    </row>
    <row r="1050" spans="3:3" x14ac:dyDescent="0.25">
      <c r="C1050" s="14" t="s">
        <v>4280</v>
      </c>
    </row>
    <row r="1051" spans="3:3" x14ac:dyDescent="0.25">
      <c r="C1051" s="14" t="s">
        <v>3419</v>
      </c>
    </row>
    <row r="1052" spans="3:3" x14ac:dyDescent="0.25">
      <c r="C1052" s="14" t="s">
        <v>3365</v>
      </c>
    </row>
    <row r="1053" spans="3:3" x14ac:dyDescent="0.25">
      <c r="C1053" s="14" t="s">
        <v>3420</v>
      </c>
    </row>
    <row r="1054" spans="3:3" x14ac:dyDescent="0.25">
      <c r="C1054" s="14" t="s">
        <v>3781</v>
      </c>
    </row>
    <row r="1055" spans="3:3" x14ac:dyDescent="0.25">
      <c r="C1055" s="14" t="s">
        <v>3816</v>
      </c>
    </row>
    <row r="1056" spans="3:3" x14ac:dyDescent="0.25">
      <c r="C1056" s="14" t="s">
        <v>4265</v>
      </c>
    </row>
    <row r="1057" spans="3:3" x14ac:dyDescent="0.25">
      <c r="C1057" s="14" t="s">
        <v>4281</v>
      </c>
    </row>
    <row r="1058" spans="3:3" x14ac:dyDescent="0.25">
      <c r="C1058" s="14" t="s">
        <v>4589</v>
      </c>
    </row>
    <row r="1059" spans="3:3" x14ac:dyDescent="0.25">
      <c r="C1059" s="14" t="s">
        <v>4612</v>
      </c>
    </row>
    <row r="1060" spans="3:3" x14ac:dyDescent="0.25">
      <c r="C1060" s="14" t="s">
        <v>3654</v>
      </c>
    </row>
    <row r="1061" spans="3:3" x14ac:dyDescent="0.25">
      <c r="C1061" s="14" t="s">
        <v>3676</v>
      </c>
    </row>
    <row r="1062" spans="3:3" x14ac:dyDescent="0.25">
      <c r="C1062" s="14" t="s">
        <v>3677</v>
      </c>
    </row>
    <row r="1063" spans="3:3" x14ac:dyDescent="0.25">
      <c r="C1063" s="14" t="s">
        <v>4221</v>
      </c>
    </row>
    <row r="1064" spans="3:3" x14ac:dyDescent="0.25">
      <c r="C1064" s="14" t="s">
        <v>4207</v>
      </c>
    </row>
    <row r="1065" spans="3:3" x14ac:dyDescent="0.25">
      <c r="C1065" s="14" t="s">
        <v>4222</v>
      </c>
    </row>
    <row r="1066" spans="3:3" x14ac:dyDescent="0.25">
      <c r="C1066" s="14" t="s">
        <v>4732</v>
      </c>
    </row>
    <row r="1067" spans="3:3" x14ac:dyDescent="0.25">
      <c r="C1067" s="14" t="s">
        <v>4753</v>
      </c>
    </row>
    <row r="1068" spans="3:3" x14ac:dyDescent="0.25">
      <c r="C1068" s="14" t="s">
        <v>4265</v>
      </c>
    </row>
    <row r="1069" spans="3:3" x14ac:dyDescent="0.25">
      <c r="C1069" s="14" t="s">
        <v>4282</v>
      </c>
    </row>
    <row r="1070" spans="3:3" x14ac:dyDescent="0.25">
      <c r="C1070" s="14" t="s">
        <v>4645</v>
      </c>
    </row>
    <row r="1071" spans="3:3" x14ac:dyDescent="0.25">
      <c r="C1071" s="14" t="s">
        <v>4662</v>
      </c>
    </row>
    <row r="1072" spans="3:3" x14ac:dyDescent="0.25">
      <c r="C1072" s="14" t="s">
        <v>3304</v>
      </c>
    </row>
    <row r="1073" spans="3:3" x14ac:dyDescent="0.25">
      <c r="C1073" s="14" t="s">
        <v>3781</v>
      </c>
    </row>
    <row r="1074" spans="3:3" x14ac:dyDescent="0.25">
      <c r="C1074" s="14" t="s">
        <v>3817</v>
      </c>
    </row>
    <row r="1075" spans="3:3" x14ac:dyDescent="0.25">
      <c r="C1075" s="14" t="s">
        <v>4167</v>
      </c>
    </row>
    <row r="1076" spans="3:3" x14ac:dyDescent="0.25">
      <c r="C1076" s="14" t="s">
        <v>4188</v>
      </c>
    </row>
    <row r="1077" spans="3:3" x14ac:dyDescent="0.25">
      <c r="C1077" s="14" t="s">
        <v>4265</v>
      </c>
    </row>
    <row r="1078" spans="3:3" x14ac:dyDescent="0.25">
      <c r="C1078" s="14" t="s">
        <v>4283</v>
      </c>
    </row>
    <row r="1079" spans="3:3" x14ac:dyDescent="0.25">
      <c r="C1079" s="14" t="s">
        <v>3287</v>
      </c>
    </row>
    <row r="1080" spans="3:3" x14ac:dyDescent="0.25">
      <c r="C1080" s="14" t="s">
        <v>3305</v>
      </c>
    </row>
    <row r="1081" spans="3:3" x14ac:dyDescent="0.25">
      <c r="C1081" s="14" t="s">
        <v>3306</v>
      </c>
    </row>
    <row r="1082" spans="3:3" x14ac:dyDescent="0.25">
      <c r="C1082" s="14" t="s">
        <v>3467</v>
      </c>
    </row>
    <row r="1083" spans="3:3" x14ac:dyDescent="0.25">
      <c r="C1083" s="14" t="s">
        <v>3495</v>
      </c>
    </row>
    <row r="1084" spans="3:3" x14ac:dyDescent="0.25">
      <c r="C1084" s="14" t="s">
        <v>3365</v>
      </c>
    </row>
    <row r="1085" spans="3:3" x14ac:dyDescent="0.25">
      <c r="C1085" s="14" t="s">
        <v>3422</v>
      </c>
    </row>
    <row r="1086" spans="3:3" x14ac:dyDescent="0.25">
      <c r="C1086" s="14" t="s">
        <v>3421</v>
      </c>
    </row>
    <row r="1087" spans="3:3" x14ac:dyDescent="0.25">
      <c r="C1087" s="14" t="s">
        <v>3716</v>
      </c>
    </row>
    <row r="1088" spans="3:3" x14ac:dyDescent="0.25">
      <c r="C1088" s="14" t="s">
        <v>3726</v>
      </c>
    </row>
    <row r="1089" spans="3:3" x14ac:dyDescent="0.25">
      <c r="C1089" s="14" t="s">
        <v>3582</v>
      </c>
    </row>
    <row r="1090" spans="3:3" x14ac:dyDescent="0.25">
      <c r="C1090" s="14" t="s">
        <v>3602</v>
      </c>
    </row>
    <row r="1091" spans="3:3" x14ac:dyDescent="0.25">
      <c r="C1091" s="14" t="s">
        <v>4061</v>
      </c>
    </row>
    <row r="1092" spans="3:3" x14ac:dyDescent="0.25">
      <c r="C1092" s="14" t="s">
        <v>4076</v>
      </c>
    </row>
    <row r="1093" spans="3:3" x14ac:dyDescent="0.25">
      <c r="C1093" s="14" t="s">
        <v>4167</v>
      </c>
    </row>
    <row r="1094" spans="3:3" x14ac:dyDescent="0.25">
      <c r="C1094" s="14" t="s">
        <v>4189</v>
      </c>
    </row>
    <row r="1095" spans="3:3" x14ac:dyDescent="0.25">
      <c r="C1095" s="14" t="s">
        <v>4207</v>
      </c>
    </row>
    <row r="1096" spans="3:3" x14ac:dyDescent="0.25">
      <c r="C1096" s="14" t="s">
        <v>4223</v>
      </c>
    </row>
    <row r="1097" spans="3:3" x14ac:dyDescent="0.25">
      <c r="C1097" s="14" t="s">
        <v>3851</v>
      </c>
    </row>
    <row r="1098" spans="3:3" x14ac:dyDescent="0.25">
      <c r="C1098" s="14" t="s">
        <v>3860</v>
      </c>
    </row>
    <row r="1099" spans="3:3" x14ac:dyDescent="0.25">
      <c r="C1099" s="14" t="s">
        <v>4732</v>
      </c>
    </row>
    <row r="1100" spans="3:3" x14ac:dyDescent="0.25">
      <c r="C1100" s="14" t="s">
        <v>4754</v>
      </c>
    </row>
    <row r="1101" spans="3:3" x14ac:dyDescent="0.25">
      <c r="C1101" s="14" t="s">
        <v>4104</v>
      </c>
    </row>
    <row r="1102" spans="3:3" x14ac:dyDescent="0.25">
      <c r="C1102" s="14" t="s">
        <v>4127</v>
      </c>
    </row>
    <row r="1103" spans="3:3" x14ac:dyDescent="0.25">
      <c r="C1103" s="14" t="s">
        <v>4126</v>
      </c>
    </row>
    <row r="1104" spans="3:3" x14ac:dyDescent="0.25">
      <c r="C1104" s="14" t="s">
        <v>3287</v>
      </c>
    </row>
    <row r="1105" spans="3:3" x14ac:dyDescent="0.25">
      <c r="C1105" s="14" t="s">
        <v>3307</v>
      </c>
    </row>
    <row r="1106" spans="3:3" x14ac:dyDescent="0.25">
      <c r="C1106" s="14" t="s">
        <v>3654</v>
      </c>
    </row>
    <row r="1107" spans="3:3" x14ac:dyDescent="0.25">
      <c r="C1107" s="14" t="s">
        <v>3678</v>
      </c>
    </row>
    <row r="1108" spans="3:3" x14ac:dyDescent="0.25">
      <c r="C1108" s="14" t="s">
        <v>4316</v>
      </c>
    </row>
    <row r="1109" spans="3:3" x14ac:dyDescent="0.25">
      <c r="C1109" s="14" t="s">
        <v>4304</v>
      </c>
    </row>
    <row r="1110" spans="3:3" x14ac:dyDescent="0.25">
      <c r="C1110" s="14" t="s">
        <v>4317</v>
      </c>
    </row>
    <row r="1111" spans="3:3" x14ac:dyDescent="0.25">
      <c r="C1111" s="14" t="s">
        <v>4459</v>
      </c>
    </row>
    <row r="1112" spans="3:3" x14ac:dyDescent="0.25">
      <c r="C1112" s="14" t="s">
        <v>4482</v>
      </c>
    </row>
    <row r="1113" spans="3:3" x14ac:dyDescent="0.25">
      <c r="C1113" s="14" t="s">
        <v>3308</v>
      </c>
    </row>
    <row r="1114" spans="3:3" x14ac:dyDescent="0.25">
      <c r="C1114" s="14" t="s">
        <v>3365</v>
      </c>
    </row>
    <row r="1115" spans="3:3" x14ac:dyDescent="0.25">
      <c r="C1115" s="14" t="s">
        <v>3423</v>
      </c>
    </row>
    <row r="1116" spans="3:3" x14ac:dyDescent="0.25">
      <c r="C1116" s="14" t="s">
        <v>3424</v>
      </c>
    </row>
    <row r="1117" spans="3:3" x14ac:dyDescent="0.25">
      <c r="C1117" s="14" t="s">
        <v>3425</v>
      </c>
    </row>
    <row r="1118" spans="3:3" x14ac:dyDescent="0.25">
      <c r="C1118" s="14" t="s">
        <v>4349</v>
      </c>
    </row>
    <row r="1119" spans="3:3" x14ac:dyDescent="0.25">
      <c r="C1119" s="14" t="s">
        <v>4373</v>
      </c>
    </row>
    <row r="1120" spans="3:3" x14ac:dyDescent="0.25">
      <c r="C1120" s="14" t="s">
        <v>3882</v>
      </c>
    </row>
    <row r="1121" spans="3:3" x14ac:dyDescent="0.25">
      <c r="C1121" s="14" t="s">
        <v>3914</v>
      </c>
    </row>
    <row r="1122" spans="3:3" x14ac:dyDescent="0.25">
      <c r="C1122" s="14" t="s">
        <v>4061</v>
      </c>
    </row>
    <row r="1123" spans="3:3" x14ac:dyDescent="0.25">
      <c r="C1123" s="14" t="s">
        <v>4077</v>
      </c>
    </row>
    <row r="1124" spans="3:3" x14ac:dyDescent="0.25">
      <c r="C1124" s="14" t="s">
        <v>4167</v>
      </c>
    </row>
    <row r="1125" spans="3:3" x14ac:dyDescent="0.25">
      <c r="C1125" s="14" t="s">
        <v>4190</v>
      </c>
    </row>
    <row r="1126" spans="3:3" x14ac:dyDescent="0.25">
      <c r="C1126" s="14" t="s">
        <v>3851</v>
      </c>
    </row>
    <row r="1127" spans="3:3" x14ac:dyDescent="0.25">
      <c r="C1127" s="14" t="s">
        <v>3861</v>
      </c>
    </row>
    <row r="1128" spans="3:3" x14ac:dyDescent="0.25">
      <c r="C1128" s="14" t="s">
        <v>4514</v>
      </c>
    </row>
    <row r="1129" spans="3:3" ht="30" x14ac:dyDescent="0.25">
      <c r="C1129" s="14" t="s">
        <v>4531</v>
      </c>
    </row>
    <row r="1130" spans="3:3" x14ac:dyDescent="0.25">
      <c r="C1130" s="14" t="s">
        <v>4228</v>
      </c>
    </row>
    <row r="1131" spans="3:3" ht="30" x14ac:dyDescent="0.25">
      <c r="C1131" s="14" t="s">
        <v>4242</v>
      </c>
    </row>
    <row r="1132" spans="3:3" x14ac:dyDescent="0.25">
      <c r="C1132" s="14" t="s">
        <v>4732</v>
      </c>
    </row>
    <row r="1133" spans="3:3" x14ac:dyDescent="0.25">
      <c r="C1133" s="14" t="s">
        <v>4755</v>
      </c>
    </row>
    <row r="1134" spans="3:3" x14ac:dyDescent="0.25">
      <c r="C1134" s="14" t="s">
        <v>4265</v>
      </c>
    </row>
    <row r="1135" spans="3:3" x14ac:dyDescent="0.25">
      <c r="C1135" s="14" t="s">
        <v>4284</v>
      </c>
    </row>
    <row r="1136" spans="3:3" x14ac:dyDescent="0.25">
      <c r="C1136" s="14" t="s">
        <v>4104</v>
      </c>
    </row>
    <row r="1137" spans="3:3" x14ac:dyDescent="0.25">
      <c r="C1137" s="14" t="s">
        <v>4128</v>
      </c>
    </row>
    <row r="1138" spans="3:3" x14ac:dyDescent="0.25">
      <c r="C1138" s="14" t="s">
        <v>4589</v>
      </c>
    </row>
    <row r="1139" spans="3:3" x14ac:dyDescent="0.25">
      <c r="C1139" s="14" t="s">
        <v>4613</v>
      </c>
    </row>
    <row r="1140" spans="3:3" x14ac:dyDescent="0.25">
      <c r="C1140" s="14" t="s">
        <v>3287</v>
      </c>
    </row>
    <row r="1141" spans="3:3" x14ac:dyDescent="0.25">
      <c r="C1141" s="14" t="s">
        <v>3309</v>
      </c>
    </row>
    <row r="1142" spans="3:3" x14ac:dyDescent="0.25">
      <c r="C1142" s="14" t="s">
        <v>4645</v>
      </c>
    </row>
    <row r="1143" spans="3:3" ht="30" x14ac:dyDescent="0.25">
      <c r="C1143" s="14" t="s">
        <v>4663</v>
      </c>
    </row>
    <row r="1144" spans="3:3" x14ac:dyDescent="0.25">
      <c r="C1144" s="14" t="s">
        <v>3310</v>
      </c>
    </row>
    <row r="1145" spans="3:3" x14ac:dyDescent="0.25">
      <c r="C1145" s="14" t="s">
        <v>3534</v>
      </c>
    </row>
    <row r="1146" spans="3:3" x14ac:dyDescent="0.25">
      <c r="C1146" s="14" t="s">
        <v>3566</v>
      </c>
    </row>
    <row r="1147" spans="3:3" x14ac:dyDescent="0.25">
      <c r="C1147" s="14" t="s">
        <v>4167</v>
      </c>
    </row>
    <row r="1148" spans="3:3" ht="30" x14ac:dyDescent="0.25">
      <c r="C1148" s="14" t="s">
        <v>4191</v>
      </c>
    </row>
    <row r="1149" spans="3:3" x14ac:dyDescent="0.25">
      <c r="C1149" s="14" t="s">
        <v>4207</v>
      </c>
    </row>
    <row r="1150" spans="3:3" x14ac:dyDescent="0.25">
      <c r="C1150" s="14" t="s">
        <v>4224</v>
      </c>
    </row>
    <row r="1151" spans="3:3" x14ac:dyDescent="0.25">
      <c r="C1151" s="14" t="s">
        <v>3851</v>
      </c>
    </row>
    <row r="1152" spans="3:3" ht="30" x14ac:dyDescent="0.25">
      <c r="C1152" s="14" t="s">
        <v>3862</v>
      </c>
    </row>
    <row r="1153" spans="3:3" ht="30" x14ac:dyDescent="0.25">
      <c r="C1153" s="14" t="s">
        <v>3863</v>
      </c>
    </row>
    <row r="1154" spans="3:3" x14ac:dyDescent="0.25">
      <c r="C1154" s="14" t="s">
        <v>4514</v>
      </c>
    </row>
    <row r="1155" spans="3:3" x14ac:dyDescent="0.25">
      <c r="C1155" s="14" t="s">
        <v>4532</v>
      </c>
    </row>
    <row r="1156" spans="3:3" x14ac:dyDescent="0.25">
      <c r="C1156" s="14" t="s">
        <v>4228</v>
      </c>
    </row>
    <row r="1157" spans="3:3" x14ac:dyDescent="0.25">
      <c r="C1157" s="14" t="s">
        <v>4243</v>
      </c>
    </row>
    <row r="1158" spans="3:3" x14ac:dyDescent="0.25">
      <c r="C1158" s="14" t="s">
        <v>4421</v>
      </c>
    </row>
    <row r="1159" spans="3:3" x14ac:dyDescent="0.25">
      <c r="C1159" s="14" t="s">
        <v>4435</v>
      </c>
    </row>
    <row r="1160" spans="3:3" x14ac:dyDescent="0.25">
      <c r="C1160" s="14" t="s">
        <v>4459</v>
      </c>
    </row>
    <row r="1161" spans="3:3" x14ac:dyDescent="0.25">
      <c r="C1161" s="14" t="s">
        <v>4483</v>
      </c>
    </row>
    <row r="1162" spans="3:3" x14ac:dyDescent="0.25">
      <c r="C1162" s="14" t="s">
        <v>4559</v>
      </c>
    </row>
    <row r="1163" spans="3:3" x14ac:dyDescent="0.25">
      <c r="C1163" s="14" t="s">
        <v>4570</v>
      </c>
    </row>
    <row r="1164" spans="3:3" x14ac:dyDescent="0.25">
      <c r="C1164" s="14" t="s">
        <v>3287</v>
      </c>
    </row>
    <row r="1165" spans="3:3" x14ac:dyDescent="0.25">
      <c r="C1165" s="14" t="s">
        <v>3311</v>
      </c>
    </row>
    <row r="1166" spans="3:3" x14ac:dyDescent="0.25">
      <c r="C1166" s="14" t="s">
        <v>3654</v>
      </c>
    </row>
    <row r="1167" spans="3:3" x14ac:dyDescent="0.25">
      <c r="C1167" s="14" t="s">
        <v>3679</v>
      </c>
    </row>
    <row r="1168" spans="3:3" x14ac:dyDescent="0.25">
      <c r="C1168" s="14" t="s">
        <v>3312</v>
      </c>
    </row>
    <row r="1169" spans="3:3" x14ac:dyDescent="0.25">
      <c r="C1169" s="14" t="s">
        <v>3534</v>
      </c>
    </row>
    <row r="1170" spans="3:3" x14ac:dyDescent="0.25">
      <c r="C1170" s="14" t="s">
        <v>3567</v>
      </c>
    </row>
    <row r="1171" spans="3:3" x14ac:dyDescent="0.25">
      <c r="C1171" s="14" t="s">
        <v>4349</v>
      </c>
    </row>
    <row r="1172" spans="3:3" x14ac:dyDescent="0.25">
      <c r="C1172" s="14" t="s">
        <v>4374</v>
      </c>
    </row>
    <row r="1173" spans="3:3" x14ac:dyDescent="0.25">
      <c r="C1173" s="14" t="s">
        <v>3781</v>
      </c>
    </row>
    <row r="1174" spans="3:3" x14ac:dyDescent="0.25">
      <c r="C1174" s="14" t="s">
        <v>3818</v>
      </c>
    </row>
    <row r="1175" spans="3:3" x14ac:dyDescent="0.25">
      <c r="C1175" s="14" t="s">
        <v>3582</v>
      </c>
    </row>
    <row r="1176" spans="3:3" x14ac:dyDescent="0.25">
      <c r="C1176" s="14" t="s">
        <v>3603</v>
      </c>
    </row>
    <row r="1177" spans="3:3" x14ac:dyDescent="0.25">
      <c r="C1177" s="14" t="s">
        <v>4061</v>
      </c>
    </row>
    <row r="1178" spans="3:3" x14ac:dyDescent="0.25">
      <c r="C1178" s="14" t="s">
        <v>4079</v>
      </c>
    </row>
    <row r="1179" spans="3:3" x14ac:dyDescent="0.25">
      <c r="C1179" s="14" t="s">
        <v>4078</v>
      </c>
    </row>
    <row r="1180" spans="3:3" x14ac:dyDescent="0.25">
      <c r="C1180" s="14" t="s">
        <v>4080</v>
      </c>
    </row>
    <row r="1181" spans="3:3" x14ac:dyDescent="0.25">
      <c r="C1181" s="14" t="s">
        <v>4304</v>
      </c>
    </row>
    <row r="1182" spans="3:3" x14ac:dyDescent="0.25">
      <c r="C1182" s="14" t="s">
        <v>4318</v>
      </c>
    </row>
    <row r="1183" spans="3:3" x14ac:dyDescent="0.25">
      <c r="C1183" s="14" t="s">
        <v>4167</v>
      </c>
    </row>
    <row r="1184" spans="3:3" x14ac:dyDescent="0.25">
      <c r="C1184" s="14" t="s">
        <v>4192</v>
      </c>
    </row>
    <row r="1185" spans="3:3" x14ac:dyDescent="0.25">
      <c r="C1185" s="14" t="s">
        <v>4514</v>
      </c>
    </row>
    <row r="1186" spans="3:3" x14ac:dyDescent="0.25">
      <c r="C1186" s="14" t="s">
        <v>4533</v>
      </c>
    </row>
    <row r="1187" spans="3:3" x14ac:dyDescent="0.25">
      <c r="C1187" s="14" t="s">
        <v>4421</v>
      </c>
    </row>
    <row r="1188" spans="3:3" x14ac:dyDescent="0.25">
      <c r="C1188" s="14" t="s">
        <v>4436</v>
      </c>
    </row>
    <row r="1189" spans="3:3" x14ac:dyDescent="0.25">
      <c r="C1189" s="14" t="s">
        <v>4104</v>
      </c>
    </row>
    <row r="1190" spans="3:3" x14ac:dyDescent="0.25">
      <c r="C1190" s="14" t="s">
        <v>4129</v>
      </c>
    </row>
    <row r="1191" spans="3:3" x14ac:dyDescent="0.25">
      <c r="C1191" s="14" t="s">
        <v>3287</v>
      </c>
    </row>
    <row r="1192" spans="3:3" x14ac:dyDescent="0.25">
      <c r="C1192" s="14" t="s">
        <v>3313</v>
      </c>
    </row>
    <row r="1193" spans="3:3" x14ac:dyDescent="0.25">
      <c r="C1193" s="14" t="s">
        <v>3654</v>
      </c>
    </row>
    <row r="1194" spans="3:3" x14ac:dyDescent="0.25">
      <c r="C1194" s="14" t="s">
        <v>3680</v>
      </c>
    </row>
    <row r="1195" spans="3:3" x14ac:dyDescent="0.25">
      <c r="C1195" s="14" t="s">
        <v>4645</v>
      </c>
    </row>
    <row r="1196" spans="3:3" ht="30" x14ac:dyDescent="0.25">
      <c r="C1196" s="14" t="s">
        <v>4664</v>
      </c>
    </row>
    <row r="1197" spans="3:3" x14ac:dyDescent="0.25">
      <c r="C1197" s="14" t="s">
        <v>3314</v>
      </c>
    </row>
    <row r="1198" spans="3:3" x14ac:dyDescent="0.25">
      <c r="C1198" s="14" t="s">
        <v>3467</v>
      </c>
    </row>
    <row r="1199" spans="3:3" x14ac:dyDescent="0.25">
      <c r="C1199" s="14" t="s">
        <v>3496</v>
      </c>
    </row>
    <row r="1200" spans="3:3" x14ac:dyDescent="0.25">
      <c r="C1200" s="14" t="s">
        <v>3365</v>
      </c>
    </row>
    <row r="1201" spans="3:3" x14ac:dyDescent="0.25">
      <c r="C1201" s="14" t="s">
        <v>3427</v>
      </c>
    </row>
    <row r="1202" spans="3:3" x14ac:dyDescent="0.25">
      <c r="C1202" s="14" t="s">
        <v>3426</v>
      </c>
    </row>
    <row r="1203" spans="3:3" x14ac:dyDescent="0.25">
      <c r="C1203" s="14" t="s">
        <v>3716</v>
      </c>
    </row>
    <row r="1204" spans="3:3" x14ac:dyDescent="0.25">
      <c r="C1204" s="14" t="s">
        <v>3727</v>
      </c>
    </row>
    <row r="1205" spans="3:3" x14ac:dyDescent="0.25">
      <c r="C1205" s="14" t="s">
        <v>4349</v>
      </c>
    </row>
    <row r="1206" spans="3:3" x14ac:dyDescent="0.25">
      <c r="C1206" s="14" t="s">
        <v>4375</v>
      </c>
    </row>
    <row r="1207" spans="3:3" x14ac:dyDescent="0.25">
      <c r="C1207" s="14" t="s">
        <v>3781</v>
      </c>
    </row>
    <row r="1208" spans="3:3" x14ac:dyDescent="0.25">
      <c r="C1208" s="14" t="s">
        <v>3819</v>
      </c>
    </row>
    <row r="1209" spans="3:3" x14ac:dyDescent="0.25">
      <c r="C1209" s="14" t="s">
        <v>3582</v>
      </c>
    </row>
    <row r="1210" spans="3:3" x14ac:dyDescent="0.25">
      <c r="C1210" s="14" t="s">
        <v>3604</v>
      </c>
    </row>
    <row r="1211" spans="3:3" x14ac:dyDescent="0.25">
      <c r="C1211" s="14" t="s">
        <v>4061</v>
      </c>
    </row>
    <row r="1212" spans="3:3" x14ac:dyDescent="0.25">
      <c r="C1212" s="14" t="s">
        <v>4081</v>
      </c>
    </row>
    <row r="1213" spans="3:3" x14ac:dyDescent="0.25">
      <c r="C1213" s="14" t="s">
        <v>4167</v>
      </c>
    </row>
    <row r="1214" spans="3:3" x14ac:dyDescent="0.25">
      <c r="C1214" s="14" t="s">
        <v>4193</v>
      </c>
    </row>
    <row r="1215" spans="3:3" x14ac:dyDescent="0.25">
      <c r="C1215" s="14" t="s">
        <v>3851</v>
      </c>
    </row>
    <row r="1216" spans="3:3" x14ac:dyDescent="0.25">
      <c r="C1216" s="14" t="s">
        <v>3864</v>
      </c>
    </row>
    <row r="1217" spans="3:3" x14ac:dyDescent="0.25">
      <c r="C1217" s="14" t="s">
        <v>3750</v>
      </c>
    </row>
    <row r="1218" spans="3:3" x14ac:dyDescent="0.25">
      <c r="C1218" s="14" t="s">
        <v>3764</v>
      </c>
    </row>
    <row r="1219" spans="3:3" x14ac:dyDescent="0.25">
      <c r="C1219" s="14" t="s">
        <v>4514</v>
      </c>
    </row>
    <row r="1220" spans="3:3" x14ac:dyDescent="0.25">
      <c r="C1220" s="14" t="s">
        <v>4534</v>
      </c>
    </row>
    <row r="1221" spans="3:3" x14ac:dyDescent="0.25">
      <c r="C1221" s="14" t="s">
        <v>4228</v>
      </c>
    </row>
    <row r="1222" spans="3:3" x14ac:dyDescent="0.25">
      <c r="C1222" s="14" t="s">
        <v>4244</v>
      </c>
    </row>
    <row r="1223" spans="3:3" x14ac:dyDescent="0.25">
      <c r="C1223" s="14" t="s">
        <v>4732</v>
      </c>
    </row>
    <row r="1224" spans="3:3" x14ac:dyDescent="0.25">
      <c r="C1224" s="14" t="s">
        <v>4756</v>
      </c>
    </row>
    <row r="1225" spans="3:3" x14ac:dyDescent="0.25">
      <c r="C1225" s="14" t="s">
        <v>4757</v>
      </c>
    </row>
    <row r="1226" spans="3:3" x14ac:dyDescent="0.25">
      <c r="C1226" s="14" t="s">
        <v>4265</v>
      </c>
    </row>
    <row r="1227" spans="3:3" x14ac:dyDescent="0.25">
      <c r="C1227" s="14" t="s">
        <v>4285</v>
      </c>
    </row>
    <row r="1228" spans="3:3" x14ac:dyDescent="0.25">
      <c r="C1228" s="14" t="s">
        <v>4589</v>
      </c>
    </row>
    <row r="1229" spans="3:3" x14ac:dyDescent="0.25">
      <c r="C1229" s="14" t="s">
        <v>4614</v>
      </c>
    </row>
    <row r="1230" spans="3:3" x14ac:dyDescent="0.25">
      <c r="C1230" s="14" t="s">
        <v>3287</v>
      </c>
    </row>
    <row r="1231" spans="3:3" x14ac:dyDescent="0.25">
      <c r="C1231" s="14" t="s">
        <v>3315</v>
      </c>
    </row>
    <row r="1232" spans="3:3" x14ac:dyDescent="0.25">
      <c r="C1232" s="14" t="s">
        <v>4645</v>
      </c>
    </row>
    <row r="1233" spans="3:3" x14ac:dyDescent="0.25">
      <c r="C1233" s="14" t="s">
        <v>4665</v>
      </c>
    </row>
    <row r="1234" spans="3:3" x14ac:dyDescent="0.25">
      <c r="C1234" s="14" t="s">
        <v>3316</v>
      </c>
    </row>
    <row r="1235" spans="3:3" x14ac:dyDescent="0.25">
      <c r="C1235" s="14" t="s">
        <v>3365</v>
      </c>
    </row>
    <row r="1236" spans="3:3" x14ac:dyDescent="0.25">
      <c r="C1236" s="14" t="s">
        <v>3428</v>
      </c>
    </row>
    <row r="1237" spans="3:3" x14ac:dyDescent="0.25">
      <c r="C1237" s="14" t="s">
        <v>3716</v>
      </c>
    </row>
    <row r="1238" spans="3:3" x14ac:dyDescent="0.25">
      <c r="C1238" s="14" t="s">
        <v>3728</v>
      </c>
    </row>
    <row r="1239" spans="3:3" x14ac:dyDescent="0.25">
      <c r="C1239" s="14" t="s">
        <v>3582</v>
      </c>
    </row>
    <row r="1240" spans="3:3" x14ac:dyDescent="0.25">
      <c r="C1240" s="14" t="s">
        <v>3605</v>
      </c>
    </row>
    <row r="1241" spans="3:3" x14ac:dyDescent="0.25">
      <c r="C1241" s="14" t="s">
        <v>4304</v>
      </c>
    </row>
    <row r="1242" spans="3:3" x14ac:dyDescent="0.25">
      <c r="C1242" s="14" t="s">
        <v>4320</v>
      </c>
    </row>
    <row r="1243" spans="3:3" x14ac:dyDescent="0.25">
      <c r="C1243" s="14" t="s">
        <v>4319</v>
      </c>
    </row>
    <row r="1244" spans="3:3" x14ac:dyDescent="0.25">
      <c r="C1244" s="14" t="s">
        <v>4167</v>
      </c>
    </row>
    <row r="1245" spans="3:3" x14ac:dyDescent="0.25">
      <c r="C1245" s="14" t="s">
        <v>4194</v>
      </c>
    </row>
    <row r="1246" spans="3:3" x14ac:dyDescent="0.25">
      <c r="C1246" s="14" t="s">
        <v>3977</v>
      </c>
    </row>
    <row r="1247" spans="3:3" x14ac:dyDescent="0.25">
      <c r="C1247" s="14" t="s">
        <v>3996</v>
      </c>
    </row>
    <row r="1248" spans="3:3" x14ac:dyDescent="0.25">
      <c r="C1248" s="14" t="s">
        <v>3750</v>
      </c>
    </row>
    <row r="1249" spans="3:3" x14ac:dyDescent="0.25">
      <c r="C1249" s="14" t="s">
        <v>3765</v>
      </c>
    </row>
    <row r="1250" spans="3:3" x14ac:dyDescent="0.25">
      <c r="C1250" s="14" t="s">
        <v>4514</v>
      </c>
    </row>
    <row r="1251" spans="3:3" x14ac:dyDescent="0.25">
      <c r="C1251" s="14" t="s">
        <v>4535</v>
      </c>
    </row>
    <row r="1252" spans="3:3" x14ac:dyDescent="0.25">
      <c r="C1252" s="14" t="s">
        <v>4228</v>
      </c>
    </row>
    <row r="1253" spans="3:3" x14ac:dyDescent="0.25">
      <c r="C1253" s="14" t="s">
        <v>4245</v>
      </c>
    </row>
    <row r="1254" spans="3:3" x14ac:dyDescent="0.25">
      <c r="C1254" s="14" t="s">
        <v>4421</v>
      </c>
    </row>
    <row r="1255" spans="3:3" x14ac:dyDescent="0.25">
      <c r="C1255" s="14" t="s">
        <v>4437</v>
      </c>
    </row>
    <row r="1256" spans="3:3" x14ac:dyDescent="0.25">
      <c r="C1256" s="14" t="s">
        <v>4104</v>
      </c>
    </row>
    <row r="1257" spans="3:3" x14ac:dyDescent="0.25">
      <c r="C1257" s="14" t="s">
        <v>4130</v>
      </c>
    </row>
    <row r="1258" spans="3:3" x14ac:dyDescent="0.25">
      <c r="C1258" s="14" t="s">
        <v>4459</v>
      </c>
    </row>
    <row r="1259" spans="3:3" x14ac:dyDescent="0.25">
      <c r="C1259" s="14" t="s">
        <v>4484</v>
      </c>
    </row>
    <row r="1260" spans="3:3" x14ac:dyDescent="0.25">
      <c r="C1260" s="14" t="s">
        <v>4589</v>
      </c>
    </row>
    <row r="1261" spans="3:3" x14ac:dyDescent="0.25">
      <c r="C1261" s="14" t="s">
        <v>4615</v>
      </c>
    </row>
    <row r="1262" spans="3:3" x14ac:dyDescent="0.25">
      <c r="C1262" s="14" t="s">
        <v>4559</v>
      </c>
    </row>
    <row r="1263" spans="3:3" x14ac:dyDescent="0.25">
      <c r="C1263" s="14" t="s">
        <v>4571</v>
      </c>
    </row>
    <row r="1264" spans="3:3" x14ac:dyDescent="0.25">
      <c r="C1264" s="14" t="s">
        <v>3287</v>
      </c>
    </row>
    <row r="1265" spans="3:3" x14ac:dyDescent="0.25">
      <c r="C1265" s="14" t="s">
        <v>3317</v>
      </c>
    </row>
    <row r="1266" spans="3:3" x14ac:dyDescent="0.25">
      <c r="C1266" s="14" t="s">
        <v>3654</v>
      </c>
    </row>
    <row r="1267" spans="3:3" x14ac:dyDescent="0.25">
      <c r="C1267" s="14" t="s">
        <v>3681</v>
      </c>
    </row>
    <row r="1268" spans="3:3" x14ac:dyDescent="0.25">
      <c r="C1268" s="14" t="s">
        <v>4645</v>
      </c>
    </row>
    <row r="1269" spans="3:3" x14ac:dyDescent="0.25">
      <c r="C1269" s="14" t="s">
        <v>4666</v>
      </c>
    </row>
    <row r="1270" spans="3:3" x14ac:dyDescent="0.25">
      <c r="C1270" s="14" t="s">
        <v>3606</v>
      </c>
    </row>
    <row r="1271" spans="3:3" x14ac:dyDescent="0.25">
      <c r="C1271" s="14" t="s">
        <v>3716</v>
      </c>
    </row>
    <row r="1272" spans="3:3" x14ac:dyDescent="0.25">
      <c r="C1272" s="14" t="s">
        <v>3729</v>
      </c>
    </row>
    <row r="1273" spans="3:3" x14ac:dyDescent="0.25">
      <c r="C1273" s="14" t="s">
        <v>3781</v>
      </c>
    </row>
    <row r="1274" spans="3:3" x14ac:dyDescent="0.25">
      <c r="C1274" s="14" t="s">
        <v>3820</v>
      </c>
    </row>
    <row r="1275" spans="3:3" x14ac:dyDescent="0.25">
      <c r="C1275" s="14" t="s">
        <v>3822</v>
      </c>
    </row>
    <row r="1276" spans="3:3" x14ac:dyDescent="0.25">
      <c r="C1276" s="14" t="s">
        <v>3821</v>
      </c>
    </row>
    <row r="1277" spans="3:3" x14ac:dyDescent="0.25">
      <c r="C1277" s="14" t="s">
        <v>3582</v>
      </c>
    </row>
    <row r="1278" spans="3:3" x14ac:dyDescent="0.25">
      <c r="C1278" s="14" t="s">
        <v>3607</v>
      </c>
    </row>
    <row r="1279" spans="3:3" x14ac:dyDescent="0.25">
      <c r="C1279" s="14" t="s">
        <v>3851</v>
      </c>
    </row>
    <row r="1280" spans="3:3" x14ac:dyDescent="0.25">
      <c r="C1280" s="14" t="s">
        <v>3865</v>
      </c>
    </row>
    <row r="1281" spans="3:3" x14ac:dyDescent="0.25">
      <c r="C1281" s="14" t="s">
        <v>4688</v>
      </c>
    </row>
    <row r="1282" spans="3:3" x14ac:dyDescent="0.25">
      <c r="C1282" s="14" t="s">
        <v>4705</v>
      </c>
    </row>
    <row r="1283" spans="3:3" x14ac:dyDescent="0.25">
      <c r="C1283" s="14" t="s">
        <v>3608</v>
      </c>
    </row>
    <row r="1284" spans="3:3" x14ac:dyDescent="0.25">
      <c r="C1284" s="14" t="s">
        <v>4349</v>
      </c>
    </row>
    <row r="1285" spans="3:3" x14ac:dyDescent="0.25">
      <c r="C1285" s="14" t="s">
        <v>4376</v>
      </c>
    </row>
    <row r="1286" spans="3:3" x14ac:dyDescent="0.25">
      <c r="C1286" s="14" t="s">
        <v>3582</v>
      </c>
    </row>
    <row r="1287" spans="3:3" x14ac:dyDescent="0.25">
      <c r="C1287" s="14" t="s">
        <v>3609</v>
      </c>
    </row>
    <row r="1288" spans="3:3" x14ac:dyDescent="0.25">
      <c r="C1288" s="14" t="s">
        <v>4514</v>
      </c>
    </row>
    <row r="1289" spans="3:3" x14ac:dyDescent="0.25">
      <c r="C1289" s="14" t="s">
        <v>4536</v>
      </c>
    </row>
    <row r="1290" spans="3:3" x14ac:dyDescent="0.25">
      <c r="C1290" s="14" t="s">
        <v>4421</v>
      </c>
    </row>
    <row r="1291" spans="3:3" x14ac:dyDescent="0.25">
      <c r="C1291" s="14" t="s">
        <v>4438</v>
      </c>
    </row>
    <row r="1292" spans="3:3" x14ac:dyDescent="0.25">
      <c r="C1292" s="14" t="s">
        <v>4459</v>
      </c>
    </row>
    <row r="1293" spans="3:3" x14ac:dyDescent="0.25">
      <c r="C1293" s="14" t="s">
        <v>4485</v>
      </c>
    </row>
    <row r="1294" spans="3:3" x14ac:dyDescent="0.25">
      <c r="C1294" s="14" t="s">
        <v>4645</v>
      </c>
    </row>
    <row r="1295" spans="3:3" x14ac:dyDescent="0.25">
      <c r="C1295" s="14" t="s">
        <v>4667</v>
      </c>
    </row>
    <row r="1296" spans="3:3" x14ac:dyDescent="0.25">
      <c r="C1296" s="14" t="s">
        <v>3429</v>
      </c>
    </row>
    <row r="1297" spans="3:3" x14ac:dyDescent="0.25">
      <c r="C1297" s="14" t="s">
        <v>3467</v>
      </c>
    </row>
    <row r="1298" spans="3:3" x14ac:dyDescent="0.25">
      <c r="C1298" s="14" t="s">
        <v>3497</v>
      </c>
    </row>
    <row r="1299" spans="3:3" x14ac:dyDescent="0.25">
      <c r="C1299" s="14" t="s">
        <v>3365</v>
      </c>
    </row>
    <row r="1300" spans="3:3" x14ac:dyDescent="0.25">
      <c r="C1300" s="14" t="s">
        <v>3431</v>
      </c>
    </row>
    <row r="1301" spans="3:3" x14ac:dyDescent="0.25">
      <c r="C1301" s="14" t="s">
        <v>3430</v>
      </c>
    </row>
    <row r="1302" spans="3:3" x14ac:dyDescent="0.25">
      <c r="C1302" s="14" t="s">
        <v>3432</v>
      </c>
    </row>
    <row r="1303" spans="3:3" x14ac:dyDescent="0.25">
      <c r="C1303" s="14" t="s">
        <v>3716</v>
      </c>
    </row>
    <row r="1304" spans="3:3" x14ac:dyDescent="0.25">
      <c r="C1304" s="14" t="s">
        <v>3730</v>
      </c>
    </row>
    <row r="1305" spans="3:3" x14ac:dyDescent="0.25">
      <c r="C1305" s="14" t="s">
        <v>4349</v>
      </c>
    </row>
    <row r="1306" spans="3:3" x14ac:dyDescent="0.25">
      <c r="C1306" s="14" t="s">
        <v>4379</v>
      </c>
    </row>
    <row r="1307" spans="3:3" x14ac:dyDescent="0.25">
      <c r="C1307" s="14" t="s">
        <v>4381</v>
      </c>
    </row>
    <row r="1308" spans="3:3" x14ac:dyDescent="0.25">
      <c r="C1308" s="14" t="s">
        <v>4380</v>
      </c>
    </row>
    <row r="1309" spans="3:3" x14ac:dyDescent="0.25">
      <c r="C1309" s="14" t="s">
        <v>4377</v>
      </c>
    </row>
    <row r="1310" spans="3:3" x14ac:dyDescent="0.25">
      <c r="C1310" s="14" t="s">
        <v>4378</v>
      </c>
    </row>
    <row r="1311" spans="3:3" x14ac:dyDescent="0.25">
      <c r="C1311" s="14" t="s">
        <v>3781</v>
      </c>
    </row>
    <row r="1312" spans="3:3" x14ac:dyDescent="0.25">
      <c r="C1312" s="14" t="s">
        <v>3825</v>
      </c>
    </row>
    <row r="1313" spans="3:3" x14ac:dyDescent="0.25">
      <c r="C1313" s="14" t="s">
        <v>3823</v>
      </c>
    </row>
    <row r="1314" spans="3:3" x14ac:dyDescent="0.25">
      <c r="C1314" s="14" t="s">
        <v>3826</v>
      </c>
    </row>
    <row r="1315" spans="3:3" x14ac:dyDescent="0.25">
      <c r="C1315" s="14" t="s">
        <v>3824</v>
      </c>
    </row>
    <row r="1316" spans="3:3" x14ac:dyDescent="0.25">
      <c r="C1316" s="14" t="s">
        <v>3582</v>
      </c>
    </row>
    <row r="1317" spans="3:3" ht="30" x14ac:dyDescent="0.25">
      <c r="C1317" s="14" t="s">
        <v>3610</v>
      </c>
    </row>
    <row r="1318" spans="3:3" x14ac:dyDescent="0.25">
      <c r="C1318" s="14" t="s">
        <v>4061</v>
      </c>
    </row>
    <row r="1319" spans="3:3" x14ac:dyDescent="0.25">
      <c r="C1319" s="14" t="s">
        <v>4082</v>
      </c>
    </row>
    <row r="1320" spans="3:3" x14ac:dyDescent="0.25">
      <c r="C1320" s="14" t="s">
        <v>4304</v>
      </c>
    </row>
    <row r="1321" spans="3:3" x14ac:dyDescent="0.25">
      <c r="C1321" s="14" t="s">
        <v>4322</v>
      </c>
    </row>
    <row r="1322" spans="3:3" ht="30" x14ac:dyDescent="0.25">
      <c r="C1322" s="14" t="s">
        <v>4321</v>
      </c>
    </row>
    <row r="1323" spans="3:3" x14ac:dyDescent="0.25">
      <c r="C1323" s="14" t="s">
        <v>3977</v>
      </c>
    </row>
    <row r="1324" spans="3:3" x14ac:dyDescent="0.25">
      <c r="C1324" s="14" t="s">
        <v>3997</v>
      </c>
    </row>
    <row r="1325" spans="3:3" x14ac:dyDescent="0.25">
      <c r="C1325" s="14" t="s">
        <v>3851</v>
      </c>
    </row>
    <row r="1326" spans="3:3" x14ac:dyDescent="0.25">
      <c r="C1326" s="14" t="s">
        <v>3866</v>
      </c>
    </row>
    <row r="1327" spans="3:3" x14ac:dyDescent="0.25">
      <c r="C1327" s="14" t="s">
        <v>3750</v>
      </c>
    </row>
    <row r="1328" spans="3:3" x14ac:dyDescent="0.25">
      <c r="C1328" s="14" t="s">
        <v>3766</v>
      </c>
    </row>
    <row r="1329" spans="3:3" x14ac:dyDescent="0.25">
      <c r="C1329" s="14" t="s">
        <v>4514</v>
      </c>
    </row>
    <row r="1330" spans="3:3" ht="30" x14ac:dyDescent="0.25">
      <c r="C1330" s="14" t="s">
        <v>4537</v>
      </c>
    </row>
    <row r="1331" spans="3:3" x14ac:dyDescent="0.25">
      <c r="C1331" s="14" t="s">
        <v>4228</v>
      </c>
    </row>
    <row r="1332" spans="3:3" x14ac:dyDescent="0.25">
      <c r="C1332" s="14" t="s">
        <v>4246</v>
      </c>
    </row>
    <row r="1333" spans="3:3" x14ac:dyDescent="0.25">
      <c r="C1333" s="14" t="s">
        <v>4104</v>
      </c>
    </row>
    <row r="1334" spans="3:3" x14ac:dyDescent="0.25">
      <c r="C1334" s="14" t="s">
        <v>4131</v>
      </c>
    </row>
    <row r="1335" spans="3:3" x14ac:dyDescent="0.25">
      <c r="C1335" s="14" t="s">
        <v>4459</v>
      </c>
    </row>
    <row r="1336" spans="3:3" x14ac:dyDescent="0.25">
      <c r="C1336" s="14" t="s">
        <v>4486</v>
      </c>
    </row>
    <row r="1337" spans="3:3" x14ac:dyDescent="0.25">
      <c r="C1337" s="14" t="s">
        <v>4559</v>
      </c>
    </row>
    <row r="1338" spans="3:3" x14ac:dyDescent="0.25">
      <c r="C1338" s="14" t="s">
        <v>4572</v>
      </c>
    </row>
    <row r="1339" spans="3:3" x14ac:dyDescent="0.25">
      <c r="C1339" s="14" t="s">
        <v>3654</v>
      </c>
    </row>
    <row r="1340" spans="3:3" x14ac:dyDescent="0.25">
      <c r="C1340" s="14" t="s">
        <v>3682</v>
      </c>
    </row>
    <row r="1341" spans="3:3" x14ac:dyDescent="0.25">
      <c r="C1341" s="14" t="s">
        <v>3318</v>
      </c>
    </row>
    <row r="1342" spans="3:3" x14ac:dyDescent="0.25">
      <c r="C1342" s="14" t="s">
        <v>3467</v>
      </c>
    </row>
    <row r="1343" spans="3:3" x14ac:dyDescent="0.25">
      <c r="C1343" s="14" t="s">
        <v>3498</v>
      </c>
    </row>
    <row r="1344" spans="3:3" x14ac:dyDescent="0.25">
      <c r="C1344" s="14" t="s">
        <v>3365</v>
      </c>
    </row>
    <row r="1345" spans="3:3" x14ac:dyDescent="0.25">
      <c r="C1345" s="14" t="s">
        <v>3434</v>
      </c>
    </row>
    <row r="1346" spans="3:3" x14ac:dyDescent="0.25">
      <c r="C1346" s="14" t="s">
        <v>3435</v>
      </c>
    </row>
    <row r="1347" spans="3:3" x14ac:dyDescent="0.25">
      <c r="C1347" s="14" t="s">
        <v>3433</v>
      </c>
    </row>
    <row r="1348" spans="3:3" x14ac:dyDescent="0.25">
      <c r="C1348" s="14" t="s">
        <v>3534</v>
      </c>
    </row>
    <row r="1349" spans="3:3" x14ac:dyDescent="0.25">
      <c r="C1349" s="14" t="s">
        <v>3568</v>
      </c>
    </row>
    <row r="1350" spans="3:3" x14ac:dyDescent="0.25">
      <c r="C1350" s="14" t="s">
        <v>3716</v>
      </c>
    </row>
    <row r="1351" spans="3:3" x14ac:dyDescent="0.25">
      <c r="C1351" s="14" t="s">
        <v>3731</v>
      </c>
    </row>
    <row r="1352" spans="3:3" x14ac:dyDescent="0.25">
      <c r="C1352" s="14" t="s">
        <v>4349</v>
      </c>
    </row>
    <row r="1353" spans="3:3" x14ac:dyDescent="0.25">
      <c r="C1353" s="14" t="s">
        <v>4382</v>
      </c>
    </row>
    <row r="1354" spans="3:3" x14ac:dyDescent="0.25">
      <c r="C1354" s="14" t="s">
        <v>4383</v>
      </c>
    </row>
    <row r="1355" spans="3:3" x14ac:dyDescent="0.25">
      <c r="C1355" s="14" t="s">
        <v>4385</v>
      </c>
    </row>
    <row r="1356" spans="3:3" x14ac:dyDescent="0.25">
      <c r="C1356" s="14" t="s">
        <v>4384</v>
      </c>
    </row>
    <row r="1357" spans="3:3" x14ac:dyDescent="0.25">
      <c r="C1357" s="14" t="s">
        <v>3781</v>
      </c>
    </row>
    <row r="1358" spans="3:3" x14ac:dyDescent="0.25">
      <c r="C1358" s="14" t="s">
        <v>3827</v>
      </c>
    </row>
    <row r="1359" spans="3:3" x14ac:dyDescent="0.25">
      <c r="C1359" s="14" t="s">
        <v>3582</v>
      </c>
    </row>
    <row r="1360" spans="3:3" ht="30" x14ac:dyDescent="0.25">
      <c r="C1360" s="14" t="s">
        <v>3611</v>
      </c>
    </row>
    <row r="1361" spans="3:3" x14ac:dyDescent="0.25">
      <c r="C1361" s="14" t="s">
        <v>3882</v>
      </c>
    </row>
    <row r="1362" spans="3:3" x14ac:dyDescent="0.25">
      <c r="C1362" s="14" t="s">
        <v>3916</v>
      </c>
    </row>
    <row r="1363" spans="3:3" x14ac:dyDescent="0.25">
      <c r="C1363" s="14" t="s">
        <v>3917</v>
      </c>
    </row>
    <row r="1364" spans="3:3" x14ac:dyDescent="0.25">
      <c r="C1364" s="14" t="s">
        <v>3919</v>
      </c>
    </row>
    <row r="1365" spans="3:3" x14ac:dyDescent="0.25">
      <c r="C1365" s="14" t="s">
        <v>3915</v>
      </c>
    </row>
    <row r="1366" spans="3:3" x14ac:dyDescent="0.25">
      <c r="C1366" s="14" t="s">
        <v>3920</v>
      </c>
    </row>
    <row r="1367" spans="3:3" x14ac:dyDescent="0.25">
      <c r="C1367" s="14" t="s">
        <v>3918</v>
      </c>
    </row>
    <row r="1368" spans="3:3" x14ac:dyDescent="0.25">
      <c r="C1368" s="14" t="s">
        <v>4061</v>
      </c>
    </row>
    <row r="1369" spans="3:3" x14ac:dyDescent="0.25">
      <c r="C1369" s="14" t="s">
        <v>4083</v>
      </c>
    </row>
    <row r="1370" spans="3:3" x14ac:dyDescent="0.25">
      <c r="C1370" s="14" t="s">
        <v>4304</v>
      </c>
    </row>
    <row r="1371" spans="3:3" x14ac:dyDescent="0.25">
      <c r="C1371" s="14" t="s">
        <v>4323</v>
      </c>
    </row>
    <row r="1372" spans="3:3" x14ac:dyDescent="0.25">
      <c r="C1372" s="14" t="s">
        <v>3851</v>
      </c>
    </row>
    <row r="1373" spans="3:3" x14ac:dyDescent="0.25">
      <c r="C1373" s="14" t="s">
        <v>3867</v>
      </c>
    </row>
    <row r="1374" spans="3:3" x14ac:dyDescent="0.25">
      <c r="C1374" s="14" t="s">
        <v>3750</v>
      </c>
    </row>
    <row r="1375" spans="3:3" x14ac:dyDescent="0.25">
      <c r="C1375" s="14" t="s">
        <v>3767</v>
      </c>
    </row>
    <row r="1376" spans="3:3" x14ac:dyDescent="0.25">
      <c r="C1376" s="14" t="s">
        <v>4688</v>
      </c>
    </row>
    <row r="1377" spans="3:3" x14ac:dyDescent="0.25">
      <c r="C1377" s="14" t="s">
        <v>4706</v>
      </c>
    </row>
    <row r="1378" spans="3:3" x14ac:dyDescent="0.25">
      <c r="C1378" s="14" t="s">
        <v>4514</v>
      </c>
    </row>
    <row r="1379" spans="3:3" x14ac:dyDescent="0.25">
      <c r="C1379" s="14" t="s">
        <v>4539</v>
      </c>
    </row>
    <row r="1380" spans="3:3" ht="30" x14ac:dyDescent="0.25">
      <c r="C1380" s="14" t="s">
        <v>4538</v>
      </c>
    </row>
    <row r="1381" spans="3:3" x14ac:dyDescent="0.25">
      <c r="C1381" s="14" t="s">
        <v>4228</v>
      </c>
    </row>
    <row r="1382" spans="3:3" ht="30" x14ac:dyDescent="0.25">
      <c r="C1382" s="14" t="s">
        <v>4247</v>
      </c>
    </row>
    <row r="1383" spans="3:3" x14ac:dyDescent="0.25">
      <c r="C1383" s="14" t="s">
        <v>4265</v>
      </c>
    </row>
    <row r="1384" spans="3:3" x14ac:dyDescent="0.25">
      <c r="C1384" s="14" t="s">
        <v>4286</v>
      </c>
    </row>
    <row r="1385" spans="3:3" x14ac:dyDescent="0.25">
      <c r="C1385" s="14" t="s">
        <v>4421</v>
      </c>
    </row>
    <row r="1386" spans="3:3" x14ac:dyDescent="0.25">
      <c r="C1386" s="14" t="s">
        <v>4441</v>
      </c>
    </row>
    <row r="1387" spans="3:3" x14ac:dyDescent="0.25">
      <c r="C1387" s="14" t="s">
        <v>4440</v>
      </c>
    </row>
    <row r="1388" spans="3:3" x14ac:dyDescent="0.25">
      <c r="C1388" s="14" t="s">
        <v>4439</v>
      </c>
    </row>
    <row r="1389" spans="3:3" x14ac:dyDescent="0.25">
      <c r="C1389" s="14" t="s">
        <v>4104</v>
      </c>
    </row>
    <row r="1390" spans="3:3" x14ac:dyDescent="0.25">
      <c r="C1390" s="14" t="s">
        <v>4132</v>
      </c>
    </row>
    <row r="1391" spans="3:3" x14ac:dyDescent="0.25">
      <c r="C1391" s="14" t="s">
        <v>4134</v>
      </c>
    </row>
    <row r="1392" spans="3:3" x14ac:dyDescent="0.25">
      <c r="C1392" s="14" t="s">
        <v>4135</v>
      </c>
    </row>
    <row r="1393" spans="3:3" x14ac:dyDescent="0.25">
      <c r="C1393" s="14" t="s">
        <v>4133</v>
      </c>
    </row>
    <row r="1394" spans="3:3" x14ac:dyDescent="0.25">
      <c r="C1394" s="14" t="s">
        <v>4459</v>
      </c>
    </row>
    <row r="1395" spans="3:3" x14ac:dyDescent="0.25">
      <c r="C1395" s="14" t="s">
        <v>4487</v>
      </c>
    </row>
    <row r="1396" spans="3:3" x14ac:dyDescent="0.25">
      <c r="C1396" s="14" t="s">
        <v>4589</v>
      </c>
    </row>
    <row r="1397" spans="3:3" x14ac:dyDescent="0.25">
      <c r="C1397" s="14" t="s">
        <v>4616</v>
      </c>
    </row>
    <row r="1398" spans="3:3" x14ac:dyDescent="0.25">
      <c r="C1398" s="14" t="s">
        <v>4619</v>
      </c>
    </row>
    <row r="1399" spans="3:3" x14ac:dyDescent="0.25">
      <c r="C1399" s="14" t="s">
        <v>4618</v>
      </c>
    </row>
    <row r="1400" spans="3:3" x14ac:dyDescent="0.25">
      <c r="C1400" s="14" t="s">
        <v>4620</v>
      </c>
    </row>
    <row r="1401" spans="3:3" x14ac:dyDescent="0.25">
      <c r="C1401" s="14" t="s">
        <v>4617</v>
      </c>
    </row>
    <row r="1402" spans="3:3" x14ac:dyDescent="0.25">
      <c r="C1402" s="14" t="s">
        <v>4559</v>
      </c>
    </row>
    <row r="1403" spans="3:3" ht="30" x14ac:dyDescent="0.25">
      <c r="C1403" s="14" t="s">
        <v>4573</v>
      </c>
    </row>
    <row r="1404" spans="3:3" x14ac:dyDescent="0.25">
      <c r="C1404" s="14" t="s">
        <v>3287</v>
      </c>
    </row>
    <row r="1405" spans="3:3" x14ac:dyDescent="0.25">
      <c r="C1405" s="14" t="s">
        <v>3319</v>
      </c>
    </row>
    <row r="1406" spans="3:3" x14ac:dyDescent="0.25">
      <c r="C1406" s="14" t="s">
        <v>4645</v>
      </c>
    </row>
    <row r="1407" spans="3:3" x14ac:dyDescent="0.25">
      <c r="C1407" s="14" t="s">
        <v>4668</v>
      </c>
    </row>
    <row r="1408" spans="3:3" x14ac:dyDescent="0.25">
      <c r="C1408" s="14" t="s">
        <v>4022</v>
      </c>
    </row>
    <row r="1409" spans="3:3" ht="30" x14ac:dyDescent="0.25">
      <c r="C1409" s="14" t="s">
        <v>4036</v>
      </c>
    </row>
    <row r="1410" spans="3:3" x14ac:dyDescent="0.25">
      <c r="C1410" s="14" t="s">
        <v>3320</v>
      </c>
    </row>
    <row r="1411" spans="3:3" x14ac:dyDescent="0.25">
      <c r="C1411" s="14" t="s">
        <v>3467</v>
      </c>
    </row>
    <row r="1412" spans="3:3" x14ac:dyDescent="0.25">
      <c r="C1412" s="14" t="s">
        <v>3499</v>
      </c>
    </row>
    <row r="1413" spans="3:3" x14ac:dyDescent="0.25">
      <c r="C1413" s="14" t="s">
        <v>3365</v>
      </c>
    </row>
    <row r="1414" spans="3:3" x14ac:dyDescent="0.25">
      <c r="C1414" s="14" t="s">
        <v>3436</v>
      </c>
    </row>
    <row r="1415" spans="3:3" x14ac:dyDescent="0.25">
      <c r="C1415" s="14" t="s">
        <v>3716</v>
      </c>
    </row>
    <row r="1416" spans="3:3" ht="30" x14ac:dyDescent="0.25">
      <c r="C1416" s="14" t="s">
        <v>3732</v>
      </c>
    </row>
    <row r="1417" spans="3:3" x14ac:dyDescent="0.25">
      <c r="C1417" s="14" t="s">
        <v>4349</v>
      </c>
    </row>
    <row r="1418" spans="3:3" x14ac:dyDescent="0.25">
      <c r="C1418" s="14" t="s">
        <v>4386</v>
      </c>
    </row>
    <row r="1419" spans="3:3" x14ac:dyDescent="0.25">
      <c r="C1419" s="14" t="s">
        <v>4387</v>
      </c>
    </row>
    <row r="1420" spans="3:3" x14ac:dyDescent="0.25">
      <c r="C1420" s="14" t="s">
        <v>3781</v>
      </c>
    </row>
    <row r="1421" spans="3:3" x14ac:dyDescent="0.25">
      <c r="C1421" s="14" t="s">
        <v>3828</v>
      </c>
    </row>
    <row r="1422" spans="3:3" x14ac:dyDescent="0.25">
      <c r="C1422" s="14" t="s">
        <v>3832</v>
      </c>
    </row>
    <row r="1423" spans="3:3" x14ac:dyDescent="0.25">
      <c r="C1423" s="14" t="s">
        <v>3831</v>
      </c>
    </row>
    <row r="1424" spans="3:3" x14ac:dyDescent="0.25">
      <c r="C1424" s="14" t="s">
        <v>3829</v>
      </c>
    </row>
    <row r="1425" spans="3:3" x14ac:dyDescent="0.25">
      <c r="C1425" s="14" t="s">
        <v>3830</v>
      </c>
    </row>
    <row r="1426" spans="3:3" x14ac:dyDescent="0.25">
      <c r="C1426" s="14" t="s">
        <v>3582</v>
      </c>
    </row>
    <row r="1427" spans="3:3" ht="120" x14ac:dyDescent="0.25">
      <c r="C1427" s="14" t="s">
        <v>3612</v>
      </c>
    </row>
    <row r="1428" spans="3:3" x14ac:dyDescent="0.25">
      <c r="C1428" s="14" t="s">
        <v>3882</v>
      </c>
    </row>
    <row r="1429" spans="3:3" x14ac:dyDescent="0.25">
      <c r="C1429" s="14" t="s">
        <v>3921</v>
      </c>
    </row>
    <row r="1430" spans="3:3" x14ac:dyDescent="0.25">
      <c r="C1430" s="14" t="s">
        <v>4061</v>
      </c>
    </row>
    <row r="1431" spans="3:3" x14ac:dyDescent="0.25">
      <c r="C1431" s="14" t="s">
        <v>4084</v>
      </c>
    </row>
    <row r="1432" spans="3:3" x14ac:dyDescent="0.25">
      <c r="C1432" s="14" t="s">
        <v>3977</v>
      </c>
    </row>
    <row r="1433" spans="3:3" ht="45" x14ac:dyDescent="0.25">
      <c r="C1433" s="14" t="s">
        <v>4000</v>
      </c>
    </row>
    <row r="1434" spans="3:3" x14ac:dyDescent="0.25">
      <c r="C1434" s="14" t="s">
        <v>3998</v>
      </c>
    </row>
    <row r="1435" spans="3:3" x14ac:dyDescent="0.25">
      <c r="C1435" s="14" t="s">
        <v>3999</v>
      </c>
    </row>
    <row r="1436" spans="3:3" x14ac:dyDescent="0.25">
      <c r="C1436" s="14" t="s">
        <v>4001</v>
      </c>
    </row>
    <row r="1437" spans="3:3" x14ac:dyDescent="0.25">
      <c r="C1437" s="14" t="s">
        <v>3750</v>
      </c>
    </row>
    <row r="1438" spans="3:3" x14ac:dyDescent="0.25">
      <c r="C1438" s="14" t="s">
        <v>3768</v>
      </c>
    </row>
    <row r="1439" spans="3:3" x14ac:dyDescent="0.25">
      <c r="C1439" s="14" t="s">
        <v>4228</v>
      </c>
    </row>
    <row r="1440" spans="3:3" x14ac:dyDescent="0.25">
      <c r="C1440" s="14" t="s">
        <v>4248</v>
      </c>
    </row>
    <row r="1441" spans="3:3" x14ac:dyDescent="0.25">
      <c r="C1441" s="14" t="s">
        <v>4732</v>
      </c>
    </row>
    <row r="1442" spans="3:3" x14ac:dyDescent="0.25">
      <c r="C1442" s="14" t="s">
        <v>4761</v>
      </c>
    </row>
    <row r="1443" spans="3:3" x14ac:dyDescent="0.25">
      <c r="C1443" s="14" t="s">
        <v>4759</v>
      </c>
    </row>
    <row r="1444" spans="3:3" x14ac:dyDescent="0.25">
      <c r="C1444" s="14" t="s">
        <v>4758</v>
      </c>
    </row>
    <row r="1445" spans="3:3" x14ac:dyDescent="0.25">
      <c r="C1445" s="14" t="s">
        <v>4760</v>
      </c>
    </row>
    <row r="1446" spans="3:3" x14ac:dyDescent="0.25">
      <c r="C1446" s="14" t="s">
        <v>4265</v>
      </c>
    </row>
    <row r="1447" spans="3:3" x14ac:dyDescent="0.25">
      <c r="C1447" s="14" t="s">
        <v>4287</v>
      </c>
    </row>
    <row r="1448" spans="3:3" x14ac:dyDescent="0.25">
      <c r="C1448" s="14" t="s">
        <v>4421</v>
      </c>
    </row>
    <row r="1449" spans="3:3" x14ac:dyDescent="0.25">
      <c r="C1449" s="14" t="s">
        <v>4442</v>
      </c>
    </row>
    <row r="1450" spans="3:3" x14ac:dyDescent="0.25">
      <c r="C1450" s="14" t="s">
        <v>4104</v>
      </c>
    </row>
    <row r="1451" spans="3:3" x14ac:dyDescent="0.25">
      <c r="C1451" s="14" t="s">
        <v>4136</v>
      </c>
    </row>
    <row r="1452" spans="3:3" x14ac:dyDescent="0.25">
      <c r="C1452" s="14" t="s">
        <v>4137</v>
      </c>
    </row>
    <row r="1453" spans="3:3" x14ac:dyDescent="0.25">
      <c r="C1453" s="14" t="s">
        <v>4459</v>
      </c>
    </row>
    <row r="1454" spans="3:3" x14ac:dyDescent="0.25">
      <c r="C1454" s="14" t="s">
        <v>4488</v>
      </c>
    </row>
    <row r="1455" spans="3:3" x14ac:dyDescent="0.25">
      <c r="C1455" s="14" t="s">
        <v>4589</v>
      </c>
    </row>
    <row r="1456" spans="3:3" x14ac:dyDescent="0.25">
      <c r="C1456" s="14" t="s">
        <v>4622</v>
      </c>
    </row>
    <row r="1457" spans="3:3" x14ac:dyDescent="0.25">
      <c r="C1457" s="14" t="s">
        <v>4621</v>
      </c>
    </row>
    <row r="1458" spans="3:3" x14ac:dyDescent="0.25">
      <c r="C1458" s="14" t="s">
        <v>4559</v>
      </c>
    </row>
    <row r="1459" spans="3:3" ht="30" x14ac:dyDescent="0.25">
      <c r="C1459" s="14" t="s">
        <v>4574</v>
      </c>
    </row>
    <row r="1460" spans="3:3" x14ac:dyDescent="0.25">
      <c r="C1460" s="14" t="s">
        <v>3287</v>
      </c>
    </row>
    <row r="1461" spans="3:3" x14ac:dyDescent="0.25">
      <c r="C1461" s="14" t="s">
        <v>3321</v>
      </c>
    </row>
    <row r="1462" spans="3:3" x14ac:dyDescent="0.25">
      <c r="C1462" s="14" t="s">
        <v>3654</v>
      </c>
    </row>
    <row r="1463" spans="3:3" x14ac:dyDescent="0.25">
      <c r="C1463" s="14" t="s">
        <v>3683</v>
      </c>
    </row>
    <row r="1464" spans="3:3" x14ac:dyDescent="0.25">
      <c r="C1464" s="14" t="s">
        <v>4645</v>
      </c>
    </row>
    <row r="1465" spans="3:3" x14ac:dyDescent="0.25">
      <c r="C1465" s="14" t="s">
        <v>4669</v>
      </c>
    </row>
    <row r="1466" spans="3:3" x14ac:dyDescent="0.25">
      <c r="C1466" s="14" t="s">
        <v>4022</v>
      </c>
    </row>
    <row r="1467" spans="3:3" x14ac:dyDescent="0.25">
      <c r="C1467" s="14" t="s">
        <v>4037</v>
      </c>
    </row>
    <row r="1468" spans="3:3" x14ac:dyDescent="0.25">
      <c r="C1468" s="14" t="s">
        <v>4039</v>
      </c>
    </row>
    <row r="1469" spans="3:3" x14ac:dyDescent="0.25">
      <c r="C1469" s="14" t="s">
        <v>4038</v>
      </c>
    </row>
    <row r="1470" spans="3:3" x14ac:dyDescent="0.25">
      <c r="C1470" s="14" t="s">
        <v>3437</v>
      </c>
    </row>
    <row r="1471" spans="3:3" x14ac:dyDescent="0.25">
      <c r="C1471" s="14" t="s">
        <v>3365</v>
      </c>
    </row>
    <row r="1472" spans="3:3" x14ac:dyDescent="0.25">
      <c r="C1472" s="14" t="s">
        <v>3439</v>
      </c>
    </row>
    <row r="1473" spans="3:3" x14ac:dyDescent="0.25">
      <c r="C1473" s="14" t="s">
        <v>3438</v>
      </c>
    </row>
    <row r="1474" spans="3:3" x14ac:dyDescent="0.25">
      <c r="C1474" s="14" t="s">
        <v>3440</v>
      </c>
    </row>
    <row r="1475" spans="3:3" x14ac:dyDescent="0.25">
      <c r="C1475" s="14" t="s">
        <v>4349</v>
      </c>
    </row>
    <row r="1476" spans="3:3" x14ac:dyDescent="0.25">
      <c r="C1476" s="14" t="s">
        <v>4389</v>
      </c>
    </row>
    <row r="1477" spans="3:3" x14ac:dyDescent="0.25">
      <c r="C1477" s="14" t="s">
        <v>4388</v>
      </c>
    </row>
    <row r="1478" spans="3:3" x14ac:dyDescent="0.25">
      <c r="C1478" s="14" t="s">
        <v>3582</v>
      </c>
    </row>
    <row r="1479" spans="3:3" x14ac:dyDescent="0.25">
      <c r="C1479" s="14" t="s">
        <v>3613</v>
      </c>
    </row>
    <row r="1480" spans="3:3" x14ac:dyDescent="0.25">
      <c r="C1480" s="14" t="s">
        <v>3882</v>
      </c>
    </row>
    <row r="1481" spans="3:3" x14ac:dyDescent="0.25">
      <c r="C1481" s="14" t="s">
        <v>3922</v>
      </c>
    </row>
    <row r="1482" spans="3:3" x14ac:dyDescent="0.25">
      <c r="C1482" s="14" t="s">
        <v>4061</v>
      </c>
    </row>
    <row r="1483" spans="3:3" x14ac:dyDescent="0.25">
      <c r="C1483" s="14" t="s">
        <v>4085</v>
      </c>
    </row>
    <row r="1484" spans="3:3" x14ac:dyDescent="0.25">
      <c r="C1484" s="14" t="s">
        <v>4086</v>
      </c>
    </row>
    <row r="1485" spans="3:3" x14ac:dyDescent="0.25">
      <c r="C1485" s="14" t="s">
        <v>4304</v>
      </c>
    </row>
    <row r="1486" spans="3:3" x14ac:dyDescent="0.25">
      <c r="C1486" s="14" t="s">
        <v>4324</v>
      </c>
    </row>
    <row r="1487" spans="3:3" x14ac:dyDescent="0.25">
      <c r="C1487" s="14" t="s">
        <v>3977</v>
      </c>
    </row>
    <row r="1488" spans="3:3" x14ac:dyDescent="0.25">
      <c r="C1488" s="14" t="s">
        <v>4002</v>
      </c>
    </row>
    <row r="1489" spans="3:3" x14ac:dyDescent="0.25">
      <c r="C1489" s="14" t="s">
        <v>3750</v>
      </c>
    </row>
    <row r="1490" spans="3:3" x14ac:dyDescent="0.25">
      <c r="C1490" s="14" t="s">
        <v>3769</v>
      </c>
    </row>
    <row r="1491" spans="3:3" x14ac:dyDescent="0.25">
      <c r="C1491" s="14" t="s">
        <v>4228</v>
      </c>
    </row>
    <row r="1492" spans="3:3" x14ac:dyDescent="0.25">
      <c r="C1492" s="14" t="s">
        <v>4249</v>
      </c>
    </row>
    <row r="1493" spans="3:3" x14ac:dyDescent="0.25">
      <c r="C1493" s="14" t="s">
        <v>4732</v>
      </c>
    </row>
    <row r="1494" spans="3:3" x14ac:dyDescent="0.25">
      <c r="C1494" s="14" t="s">
        <v>4762</v>
      </c>
    </row>
    <row r="1495" spans="3:3" x14ac:dyDescent="0.25">
      <c r="C1495" s="14" t="s">
        <v>4763</v>
      </c>
    </row>
    <row r="1496" spans="3:3" x14ac:dyDescent="0.25">
      <c r="C1496" s="14" t="s">
        <v>4265</v>
      </c>
    </row>
    <row r="1497" spans="3:3" x14ac:dyDescent="0.25">
      <c r="C1497" s="14" t="s">
        <v>4288</v>
      </c>
    </row>
    <row r="1498" spans="3:3" x14ac:dyDescent="0.25">
      <c r="C1498" s="14" t="s">
        <v>4459</v>
      </c>
    </row>
    <row r="1499" spans="3:3" x14ac:dyDescent="0.25">
      <c r="C1499" s="14" t="s">
        <v>4489</v>
      </c>
    </row>
    <row r="1500" spans="3:3" x14ac:dyDescent="0.25">
      <c r="C1500" s="14" t="s">
        <v>4490</v>
      </c>
    </row>
    <row r="1501" spans="3:3" x14ac:dyDescent="0.25">
      <c r="C1501" s="14" t="s">
        <v>4589</v>
      </c>
    </row>
    <row r="1502" spans="3:3" x14ac:dyDescent="0.25">
      <c r="C1502" s="14" t="s">
        <v>4623</v>
      </c>
    </row>
    <row r="1503" spans="3:3" x14ac:dyDescent="0.25">
      <c r="C1503" s="14" t="s">
        <v>4645</v>
      </c>
    </row>
    <row r="1504" spans="3:3" x14ac:dyDescent="0.25">
      <c r="C1504" s="14" t="s">
        <v>4670</v>
      </c>
    </row>
    <row r="1505" spans="3:3" x14ac:dyDescent="0.25">
      <c r="C1505" s="14" t="s">
        <v>3500</v>
      </c>
    </row>
    <row r="1506" spans="3:3" x14ac:dyDescent="0.25">
      <c r="C1506" s="14" t="s">
        <v>3467</v>
      </c>
    </row>
    <row r="1507" spans="3:3" ht="30" x14ac:dyDescent="0.25">
      <c r="C1507" s="14" t="s">
        <v>3501</v>
      </c>
    </row>
    <row r="1508" spans="3:3" x14ac:dyDescent="0.25">
      <c r="C1508" s="14" t="s">
        <v>3502</v>
      </c>
    </row>
    <row r="1509" spans="3:3" x14ac:dyDescent="0.25">
      <c r="C1509" s="14" t="s">
        <v>3716</v>
      </c>
    </row>
    <row r="1510" spans="3:3" ht="30" x14ac:dyDescent="0.25">
      <c r="C1510" s="14" t="s">
        <v>3733</v>
      </c>
    </row>
    <row r="1511" spans="3:3" x14ac:dyDescent="0.25">
      <c r="C1511" s="14" t="s">
        <v>4349</v>
      </c>
    </row>
    <row r="1512" spans="3:3" x14ac:dyDescent="0.25">
      <c r="C1512" s="14" t="s">
        <v>4390</v>
      </c>
    </row>
    <row r="1513" spans="3:3" x14ac:dyDescent="0.25">
      <c r="C1513" s="14" t="s">
        <v>3781</v>
      </c>
    </row>
    <row r="1514" spans="3:3" x14ac:dyDescent="0.25">
      <c r="C1514" s="14" t="s">
        <v>3833</v>
      </c>
    </row>
    <row r="1515" spans="3:3" x14ac:dyDescent="0.25">
      <c r="C1515" s="14" t="s">
        <v>3882</v>
      </c>
    </row>
    <row r="1516" spans="3:3" x14ac:dyDescent="0.25">
      <c r="C1516" s="14" t="s">
        <v>3923</v>
      </c>
    </row>
    <row r="1517" spans="3:3" x14ac:dyDescent="0.25">
      <c r="C1517" s="14" t="s">
        <v>4061</v>
      </c>
    </row>
    <row r="1518" spans="3:3" x14ac:dyDescent="0.25">
      <c r="C1518" s="14" t="s">
        <v>4087</v>
      </c>
    </row>
    <row r="1519" spans="3:3" x14ac:dyDescent="0.25">
      <c r="C1519" s="14" t="s">
        <v>4304</v>
      </c>
    </row>
    <row r="1520" spans="3:3" x14ac:dyDescent="0.25">
      <c r="C1520" s="14" t="s">
        <v>4325</v>
      </c>
    </row>
    <row r="1521" spans="3:3" x14ac:dyDescent="0.25">
      <c r="C1521" s="14" t="s">
        <v>4326</v>
      </c>
    </row>
    <row r="1522" spans="3:3" x14ac:dyDescent="0.25">
      <c r="C1522" s="14" t="s">
        <v>4167</v>
      </c>
    </row>
    <row r="1523" spans="3:3" x14ac:dyDescent="0.25">
      <c r="C1523" s="14" t="s">
        <v>4195</v>
      </c>
    </row>
    <row r="1524" spans="3:3" x14ac:dyDescent="0.25">
      <c r="C1524" s="14" t="s">
        <v>4732</v>
      </c>
    </row>
    <row r="1525" spans="3:3" x14ac:dyDescent="0.25">
      <c r="C1525" s="14" t="s">
        <v>4764</v>
      </c>
    </row>
    <row r="1526" spans="3:3" x14ac:dyDescent="0.25">
      <c r="C1526" s="14" t="s">
        <v>4765</v>
      </c>
    </row>
    <row r="1527" spans="3:3" x14ac:dyDescent="0.25">
      <c r="C1527" s="14" t="s">
        <v>4421</v>
      </c>
    </row>
    <row r="1528" spans="3:3" x14ac:dyDescent="0.25">
      <c r="C1528" s="14" t="s">
        <v>4443</v>
      </c>
    </row>
    <row r="1529" spans="3:3" x14ac:dyDescent="0.25">
      <c r="C1529" s="14" t="s">
        <v>4104</v>
      </c>
    </row>
    <row r="1530" spans="3:3" x14ac:dyDescent="0.25">
      <c r="C1530" s="14" t="s">
        <v>4138</v>
      </c>
    </row>
    <row r="1531" spans="3:3" x14ac:dyDescent="0.25">
      <c r="C1531" s="14" t="s">
        <v>4139</v>
      </c>
    </row>
    <row r="1532" spans="3:3" x14ac:dyDescent="0.25">
      <c r="C1532" s="14" t="s">
        <v>4589</v>
      </c>
    </row>
    <row r="1533" spans="3:3" x14ac:dyDescent="0.25">
      <c r="C1533" s="14" t="s">
        <v>4624</v>
      </c>
    </row>
    <row r="1534" spans="3:3" x14ac:dyDescent="0.25">
      <c r="C1534" s="14" t="s">
        <v>4625</v>
      </c>
    </row>
    <row r="1535" spans="3:3" x14ac:dyDescent="0.25">
      <c r="C1535" s="14" t="s">
        <v>3654</v>
      </c>
    </row>
    <row r="1536" spans="3:3" x14ac:dyDescent="0.25">
      <c r="C1536" s="14" t="s">
        <v>3684</v>
      </c>
    </row>
    <row r="1537" spans="3:3" x14ac:dyDescent="0.25">
      <c r="C1537" s="14" t="s">
        <v>3503</v>
      </c>
    </row>
    <row r="1538" spans="3:3" x14ac:dyDescent="0.25">
      <c r="C1538" s="14" t="s">
        <v>3467</v>
      </c>
    </row>
    <row r="1539" spans="3:3" x14ac:dyDescent="0.25">
      <c r="C1539" s="14" t="s">
        <v>3504</v>
      </c>
    </row>
    <row r="1540" spans="3:3" x14ac:dyDescent="0.25">
      <c r="C1540" s="14" t="s">
        <v>3716</v>
      </c>
    </row>
    <row r="1541" spans="3:3" x14ac:dyDescent="0.25">
      <c r="C1541" s="14" t="s">
        <v>3734</v>
      </c>
    </row>
    <row r="1542" spans="3:3" x14ac:dyDescent="0.25">
      <c r="C1542" s="14" t="s">
        <v>3654</v>
      </c>
    </row>
    <row r="1543" spans="3:3" x14ac:dyDescent="0.25">
      <c r="C1543" s="14" t="s">
        <v>3685</v>
      </c>
    </row>
    <row r="1544" spans="3:3" x14ac:dyDescent="0.25">
      <c r="C1544" s="14" t="s">
        <v>3322</v>
      </c>
    </row>
    <row r="1545" spans="3:3" x14ac:dyDescent="0.25">
      <c r="C1545" s="14" t="s">
        <v>3781</v>
      </c>
    </row>
    <row r="1546" spans="3:3" x14ac:dyDescent="0.25">
      <c r="C1546" s="14" t="s">
        <v>3834</v>
      </c>
    </row>
    <row r="1547" spans="3:3" x14ac:dyDescent="0.25">
      <c r="C1547" s="14" t="s">
        <v>3582</v>
      </c>
    </row>
    <row r="1548" spans="3:3" x14ac:dyDescent="0.25">
      <c r="C1548" s="14" t="s">
        <v>3614</v>
      </c>
    </row>
    <row r="1549" spans="3:3" x14ac:dyDescent="0.25">
      <c r="C1549" s="14" t="s">
        <v>4167</v>
      </c>
    </row>
    <row r="1550" spans="3:3" x14ac:dyDescent="0.25">
      <c r="C1550" s="14" t="s">
        <v>4196</v>
      </c>
    </row>
    <row r="1551" spans="3:3" x14ac:dyDescent="0.25">
      <c r="C1551" s="14" t="s">
        <v>3750</v>
      </c>
    </row>
    <row r="1552" spans="3:3" x14ac:dyDescent="0.25">
      <c r="C1552" s="14" t="s">
        <v>3770</v>
      </c>
    </row>
    <row r="1553" spans="3:3" x14ac:dyDescent="0.25">
      <c r="C1553" s="14" t="s">
        <v>4514</v>
      </c>
    </row>
    <row r="1554" spans="3:3" x14ac:dyDescent="0.25">
      <c r="C1554" s="14" t="s">
        <v>4540</v>
      </c>
    </row>
    <row r="1555" spans="3:3" x14ac:dyDescent="0.25">
      <c r="C1555" s="14" t="s">
        <v>4228</v>
      </c>
    </row>
    <row r="1556" spans="3:3" x14ac:dyDescent="0.25">
      <c r="C1556" s="14" t="s">
        <v>4250</v>
      </c>
    </row>
    <row r="1557" spans="3:3" x14ac:dyDescent="0.25">
      <c r="C1557" s="14" t="s">
        <v>4104</v>
      </c>
    </row>
    <row r="1558" spans="3:3" x14ac:dyDescent="0.25">
      <c r="C1558" s="14" t="s">
        <v>4141</v>
      </c>
    </row>
    <row r="1559" spans="3:3" x14ac:dyDescent="0.25">
      <c r="C1559" s="14" t="s">
        <v>4143</v>
      </c>
    </row>
    <row r="1560" spans="3:3" x14ac:dyDescent="0.25">
      <c r="C1560" s="14" t="s">
        <v>4140</v>
      </c>
    </row>
    <row r="1561" spans="3:3" x14ac:dyDescent="0.25">
      <c r="C1561" s="14" t="s">
        <v>4142</v>
      </c>
    </row>
    <row r="1562" spans="3:3" x14ac:dyDescent="0.25">
      <c r="C1562" s="14" t="s">
        <v>3287</v>
      </c>
    </row>
    <row r="1563" spans="3:3" x14ac:dyDescent="0.25">
      <c r="C1563" s="14" t="s">
        <v>3323</v>
      </c>
    </row>
    <row r="1564" spans="3:3" x14ac:dyDescent="0.25">
      <c r="C1564" s="14" t="s">
        <v>3324</v>
      </c>
    </row>
    <row r="1565" spans="3:3" x14ac:dyDescent="0.25">
      <c r="C1565" s="14" t="s">
        <v>3716</v>
      </c>
    </row>
    <row r="1566" spans="3:3" x14ac:dyDescent="0.25">
      <c r="C1566" s="14" t="s">
        <v>3735</v>
      </c>
    </row>
    <row r="1567" spans="3:3" x14ac:dyDescent="0.25">
      <c r="C1567" s="14" t="s">
        <v>4061</v>
      </c>
    </row>
    <row r="1568" spans="3:3" x14ac:dyDescent="0.25">
      <c r="C1568" s="14" t="s">
        <v>4088</v>
      </c>
    </row>
    <row r="1569" spans="3:3" x14ac:dyDescent="0.25">
      <c r="C1569" s="14" t="s">
        <v>3287</v>
      </c>
    </row>
    <row r="1570" spans="3:3" ht="30" x14ac:dyDescent="0.25">
      <c r="C1570" s="14" t="s">
        <v>3325</v>
      </c>
    </row>
    <row r="1571" spans="3:3" x14ac:dyDescent="0.25">
      <c r="C1571" s="14" t="s">
        <v>4645</v>
      </c>
    </row>
    <row r="1572" spans="3:3" x14ac:dyDescent="0.25">
      <c r="C1572" s="14" t="s">
        <v>4671</v>
      </c>
    </row>
    <row r="1573" spans="3:3" x14ac:dyDescent="0.25">
      <c r="C1573" s="14" t="s">
        <v>3326</v>
      </c>
    </row>
    <row r="1574" spans="3:3" x14ac:dyDescent="0.25">
      <c r="C1574" s="14" t="s">
        <v>3467</v>
      </c>
    </row>
    <row r="1575" spans="3:3" ht="30" x14ac:dyDescent="0.25">
      <c r="C1575" s="14" t="s">
        <v>3505</v>
      </c>
    </row>
    <row r="1576" spans="3:3" x14ac:dyDescent="0.25">
      <c r="C1576" s="14" t="s">
        <v>3365</v>
      </c>
    </row>
    <row r="1577" spans="3:3" x14ac:dyDescent="0.25">
      <c r="C1577" s="14" t="s">
        <v>3441</v>
      </c>
    </row>
    <row r="1578" spans="3:3" x14ac:dyDescent="0.25">
      <c r="C1578" s="14" t="s">
        <v>3534</v>
      </c>
    </row>
    <row r="1579" spans="3:3" x14ac:dyDescent="0.25">
      <c r="C1579" s="14" t="s">
        <v>3569</v>
      </c>
    </row>
    <row r="1580" spans="3:3" x14ac:dyDescent="0.25">
      <c r="C1580" s="14" t="s">
        <v>3716</v>
      </c>
    </row>
    <row r="1581" spans="3:3" x14ac:dyDescent="0.25">
      <c r="C1581" s="14" t="s">
        <v>3736</v>
      </c>
    </row>
    <row r="1582" spans="3:3" x14ac:dyDescent="0.25">
      <c r="C1582" s="14" t="s">
        <v>4349</v>
      </c>
    </row>
    <row r="1583" spans="3:3" x14ac:dyDescent="0.25">
      <c r="C1583" s="14" t="s">
        <v>4391</v>
      </c>
    </row>
    <row r="1584" spans="3:3" x14ac:dyDescent="0.25">
      <c r="C1584" s="14" t="s">
        <v>4061</v>
      </c>
    </row>
    <row r="1585" spans="3:3" x14ac:dyDescent="0.25">
      <c r="C1585" s="14" t="s">
        <v>4090</v>
      </c>
    </row>
    <row r="1586" spans="3:3" ht="45" x14ac:dyDescent="0.25">
      <c r="C1586" s="14" t="s">
        <v>4089</v>
      </c>
    </row>
    <row r="1587" spans="3:3" x14ac:dyDescent="0.25">
      <c r="C1587" s="14" t="s">
        <v>4688</v>
      </c>
    </row>
    <row r="1588" spans="3:3" x14ac:dyDescent="0.25">
      <c r="C1588" s="14" t="s">
        <v>4707</v>
      </c>
    </row>
    <row r="1589" spans="3:3" x14ac:dyDescent="0.25">
      <c r="C1589" s="14" t="s">
        <v>4559</v>
      </c>
    </row>
    <row r="1590" spans="3:3" x14ac:dyDescent="0.25">
      <c r="C1590" s="14" t="s">
        <v>4575</v>
      </c>
    </row>
    <row r="1591" spans="3:3" x14ac:dyDescent="0.25">
      <c r="C1591" s="14" t="s">
        <v>3287</v>
      </c>
    </row>
    <row r="1592" spans="3:3" x14ac:dyDescent="0.25">
      <c r="C1592" s="14" t="s">
        <v>3327</v>
      </c>
    </row>
    <row r="1593" spans="3:3" x14ac:dyDescent="0.25">
      <c r="C1593" s="14" t="s">
        <v>3654</v>
      </c>
    </row>
    <row r="1594" spans="3:3" x14ac:dyDescent="0.25">
      <c r="C1594" s="14" t="s">
        <v>3686</v>
      </c>
    </row>
    <row r="1595" spans="3:3" x14ac:dyDescent="0.25">
      <c r="C1595" s="14" t="s">
        <v>3328</v>
      </c>
    </row>
    <row r="1596" spans="3:3" x14ac:dyDescent="0.25">
      <c r="C1596" s="14" t="s">
        <v>3716</v>
      </c>
    </row>
    <row r="1597" spans="3:3" x14ac:dyDescent="0.25">
      <c r="C1597" s="14" t="s">
        <v>3737</v>
      </c>
    </row>
    <row r="1598" spans="3:3" x14ac:dyDescent="0.25">
      <c r="C1598" s="14" t="s">
        <v>3977</v>
      </c>
    </row>
    <row r="1599" spans="3:3" x14ac:dyDescent="0.25">
      <c r="C1599" s="14" t="s">
        <v>4003</v>
      </c>
    </row>
    <row r="1600" spans="3:3" x14ac:dyDescent="0.25">
      <c r="C1600" s="14" t="s">
        <v>3750</v>
      </c>
    </row>
    <row r="1601" spans="3:3" x14ac:dyDescent="0.25">
      <c r="C1601" s="14" t="s">
        <v>3771</v>
      </c>
    </row>
    <row r="1602" spans="3:3" x14ac:dyDescent="0.25">
      <c r="C1602" s="14" t="s">
        <v>4514</v>
      </c>
    </row>
    <row r="1603" spans="3:3" x14ac:dyDescent="0.25">
      <c r="C1603" s="14" t="s">
        <v>4541</v>
      </c>
    </row>
    <row r="1604" spans="3:3" x14ac:dyDescent="0.25">
      <c r="C1604" s="14" t="s">
        <v>4228</v>
      </c>
    </row>
    <row r="1605" spans="3:3" x14ac:dyDescent="0.25">
      <c r="C1605" s="14" t="s">
        <v>4252</v>
      </c>
    </row>
    <row r="1606" spans="3:3" ht="30" x14ac:dyDescent="0.25">
      <c r="C1606" s="14" t="s">
        <v>4251</v>
      </c>
    </row>
    <row r="1607" spans="3:3" x14ac:dyDescent="0.25">
      <c r="C1607" s="14" t="s">
        <v>3287</v>
      </c>
    </row>
    <row r="1608" spans="3:3" x14ac:dyDescent="0.25">
      <c r="C1608" s="14" t="s">
        <v>3329</v>
      </c>
    </row>
    <row r="1609" spans="3:3" x14ac:dyDescent="0.25">
      <c r="C1609" s="14" t="s">
        <v>3654</v>
      </c>
    </row>
    <row r="1610" spans="3:3" x14ac:dyDescent="0.25">
      <c r="C1610" s="14" t="s">
        <v>3687</v>
      </c>
    </row>
    <row r="1611" spans="3:3" x14ac:dyDescent="0.25">
      <c r="C1611" s="14" t="s">
        <v>3442</v>
      </c>
    </row>
    <row r="1612" spans="3:3" x14ac:dyDescent="0.25">
      <c r="C1612" s="14" t="s">
        <v>3365</v>
      </c>
    </row>
    <row r="1613" spans="3:3" x14ac:dyDescent="0.25">
      <c r="C1613" s="14" t="s">
        <v>3443</v>
      </c>
    </row>
    <row r="1614" spans="3:3" x14ac:dyDescent="0.25">
      <c r="C1614" s="14" t="s">
        <v>3882</v>
      </c>
    </row>
    <row r="1615" spans="3:3" x14ac:dyDescent="0.25">
      <c r="C1615" s="14" t="s">
        <v>3925</v>
      </c>
    </row>
    <row r="1616" spans="3:3" x14ac:dyDescent="0.25">
      <c r="C1616" s="14" t="s">
        <v>3926</v>
      </c>
    </row>
    <row r="1617" spans="3:3" x14ac:dyDescent="0.25">
      <c r="C1617" s="14" t="s">
        <v>3924</v>
      </c>
    </row>
    <row r="1618" spans="3:3" x14ac:dyDescent="0.25">
      <c r="C1618" s="14" t="s">
        <v>3927</v>
      </c>
    </row>
    <row r="1619" spans="3:3" x14ac:dyDescent="0.25">
      <c r="C1619" s="14" t="s">
        <v>3977</v>
      </c>
    </row>
    <row r="1620" spans="3:3" x14ac:dyDescent="0.25">
      <c r="C1620" s="14" t="s">
        <v>4004</v>
      </c>
    </row>
    <row r="1621" spans="3:3" x14ac:dyDescent="0.25">
      <c r="C1621" s="14" t="s">
        <v>3851</v>
      </c>
    </row>
    <row r="1622" spans="3:3" x14ac:dyDescent="0.25">
      <c r="C1622" s="14" t="s">
        <v>3868</v>
      </c>
    </row>
    <row r="1623" spans="3:3" x14ac:dyDescent="0.25">
      <c r="C1623" s="14" t="s">
        <v>4421</v>
      </c>
    </row>
    <row r="1624" spans="3:3" x14ac:dyDescent="0.25">
      <c r="C1624" s="14" t="s">
        <v>4444</v>
      </c>
    </row>
    <row r="1625" spans="3:3" x14ac:dyDescent="0.25">
      <c r="C1625" s="14" t="s">
        <v>3615</v>
      </c>
    </row>
    <row r="1626" spans="3:3" x14ac:dyDescent="0.25">
      <c r="C1626" s="14" t="s">
        <v>3582</v>
      </c>
    </row>
    <row r="1627" spans="3:3" x14ac:dyDescent="0.25">
      <c r="C1627" s="14" t="s">
        <v>3616</v>
      </c>
    </row>
    <row r="1628" spans="3:3" x14ac:dyDescent="0.25">
      <c r="C1628" s="14" t="s">
        <v>4265</v>
      </c>
    </row>
    <row r="1629" spans="3:3" x14ac:dyDescent="0.25">
      <c r="C1629" s="14" t="s">
        <v>4289</v>
      </c>
    </row>
    <row r="1630" spans="3:3" x14ac:dyDescent="0.25">
      <c r="C1630" s="14" t="s">
        <v>3506</v>
      </c>
    </row>
    <row r="1631" spans="3:3" x14ac:dyDescent="0.25">
      <c r="C1631" s="14" t="s">
        <v>3467</v>
      </c>
    </row>
    <row r="1632" spans="3:3" x14ac:dyDescent="0.25">
      <c r="C1632" s="14" t="s">
        <v>3507</v>
      </c>
    </row>
    <row r="1633" spans="3:3" x14ac:dyDescent="0.25">
      <c r="C1633" s="14" t="s">
        <v>4104</v>
      </c>
    </row>
    <row r="1634" spans="3:3" x14ac:dyDescent="0.25">
      <c r="C1634" s="14" t="s">
        <v>4144</v>
      </c>
    </row>
    <row r="1635" spans="3:3" x14ac:dyDescent="0.25">
      <c r="C1635" s="14" t="s">
        <v>3617</v>
      </c>
    </row>
    <row r="1636" spans="3:3" x14ac:dyDescent="0.25">
      <c r="C1636" s="14" t="s">
        <v>3781</v>
      </c>
    </row>
    <row r="1637" spans="3:3" x14ac:dyDescent="0.25">
      <c r="C1637" s="14" t="s">
        <v>3835</v>
      </c>
    </row>
    <row r="1638" spans="3:3" x14ac:dyDescent="0.25">
      <c r="C1638" s="14" t="s">
        <v>3582</v>
      </c>
    </row>
    <row r="1639" spans="3:3" x14ac:dyDescent="0.25">
      <c r="C1639" s="14" t="s">
        <v>3618</v>
      </c>
    </row>
    <row r="1640" spans="3:3" x14ac:dyDescent="0.25">
      <c r="C1640" s="14" t="s">
        <v>4167</v>
      </c>
    </row>
    <row r="1641" spans="3:3" x14ac:dyDescent="0.25">
      <c r="C1641" s="14" t="s">
        <v>4197</v>
      </c>
    </row>
    <row r="1642" spans="3:3" x14ac:dyDescent="0.25">
      <c r="C1642" s="14" t="s">
        <v>4198</v>
      </c>
    </row>
    <row r="1643" spans="3:3" x14ac:dyDescent="0.25">
      <c r="C1643" s="14" t="s">
        <v>3654</v>
      </c>
    </row>
    <row r="1644" spans="3:3" ht="30" x14ac:dyDescent="0.25">
      <c r="C1644" s="14" t="s">
        <v>3688</v>
      </c>
    </row>
    <row r="1645" spans="3:3" x14ac:dyDescent="0.25">
      <c r="C1645" s="14" t="s">
        <v>4542</v>
      </c>
    </row>
    <row r="1646" spans="3:3" x14ac:dyDescent="0.25">
      <c r="C1646" s="14" t="s">
        <v>4688</v>
      </c>
    </row>
    <row r="1647" spans="3:3" x14ac:dyDescent="0.25">
      <c r="C1647" s="14" t="s">
        <v>4708</v>
      </c>
    </row>
    <row r="1648" spans="3:3" x14ac:dyDescent="0.25">
      <c r="C1648" s="14" t="s">
        <v>4514</v>
      </c>
    </row>
    <row r="1649" spans="3:3" x14ac:dyDescent="0.25">
      <c r="C1649" s="14" t="s">
        <v>4543</v>
      </c>
    </row>
    <row r="1650" spans="3:3" x14ac:dyDescent="0.25">
      <c r="C1650" s="14" t="s">
        <v>3570</v>
      </c>
    </row>
    <row r="1651" spans="3:3" x14ac:dyDescent="0.25">
      <c r="C1651" s="14" t="s">
        <v>3534</v>
      </c>
    </row>
    <row r="1652" spans="3:3" x14ac:dyDescent="0.25">
      <c r="C1652" s="14" t="s">
        <v>3571</v>
      </c>
    </row>
    <row r="1653" spans="3:3" x14ac:dyDescent="0.25">
      <c r="C1653" s="14" t="s">
        <v>4349</v>
      </c>
    </row>
    <row r="1654" spans="3:3" x14ac:dyDescent="0.25">
      <c r="C1654" s="14" t="s">
        <v>4392</v>
      </c>
    </row>
    <row r="1655" spans="3:3" x14ac:dyDescent="0.25">
      <c r="C1655" s="14" t="s">
        <v>4459</v>
      </c>
    </row>
    <row r="1656" spans="3:3" x14ac:dyDescent="0.25">
      <c r="C1656" s="14" t="s">
        <v>4491</v>
      </c>
    </row>
    <row r="1657" spans="3:3" x14ac:dyDescent="0.25">
      <c r="C1657" s="14" t="s">
        <v>3738</v>
      </c>
    </row>
    <row r="1658" spans="3:3" x14ac:dyDescent="0.25">
      <c r="C1658" s="14" t="s">
        <v>3716</v>
      </c>
    </row>
    <row r="1659" spans="3:3" x14ac:dyDescent="0.25">
      <c r="C1659" s="14" t="s">
        <v>3739</v>
      </c>
    </row>
    <row r="1660" spans="3:3" x14ac:dyDescent="0.25">
      <c r="C1660" s="14" t="s">
        <v>4645</v>
      </c>
    </row>
    <row r="1661" spans="3:3" x14ac:dyDescent="0.25">
      <c r="C1661" s="14" t="s">
        <v>4672</v>
      </c>
    </row>
    <row r="1662" spans="3:3" x14ac:dyDescent="0.25">
      <c r="C1662" s="14" t="s">
        <v>3619</v>
      </c>
    </row>
    <row r="1663" spans="3:3" x14ac:dyDescent="0.25">
      <c r="C1663" s="14" t="s">
        <v>3781</v>
      </c>
    </row>
    <row r="1664" spans="3:3" x14ac:dyDescent="0.25">
      <c r="C1664" s="14" t="s">
        <v>3836</v>
      </c>
    </row>
    <row r="1665" spans="3:3" x14ac:dyDescent="0.25">
      <c r="C1665" s="14" t="s">
        <v>3582</v>
      </c>
    </row>
    <row r="1666" spans="3:3" x14ac:dyDescent="0.25">
      <c r="C1666" s="14" t="s">
        <v>3620</v>
      </c>
    </row>
    <row r="1667" spans="3:3" x14ac:dyDescent="0.25">
      <c r="C1667" s="14" t="s">
        <v>4061</v>
      </c>
    </row>
    <row r="1668" spans="3:3" x14ac:dyDescent="0.25">
      <c r="C1668" s="14" t="s">
        <v>4091</v>
      </c>
    </row>
    <row r="1669" spans="3:3" x14ac:dyDescent="0.25">
      <c r="C1669" s="14" t="s">
        <v>4304</v>
      </c>
    </row>
    <row r="1670" spans="3:3" x14ac:dyDescent="0.25">
      <c r="C1670" s="14" t="s">
        <v>4327</v>
      </c>
    </row>
    <row r="1671" spans="3:3" x14ac:dyDescent="0.25">
      <c r="C1671" s="14" t="s">
        <v>3851</v>
      </c>
    </row>
    <row r="1672" spans="3:3" x14ac:dyDescent="0.25">
      <c r="C1672" s="14" t="s">
        <v>3869</v>
      </c>
    </row>
    <row r="1673" spans="3:3" x14ac:dyDescent="0.25">
      <c r="C1673" s="14" t="s">
        <v>4228</v>
      </c>
    </row>
    <row r="1674" spans="3:3" x14ac:dyDescent="0.25">
      <c r="C1674" s="14" t="s">
        <v>4253</v>
      </c>
    </row>
    <row r="1675" spans="3:3" x14ac:dyDescent="0.25">
      <c r="C1675" s="14" t="s">
        <v>4265</v>
      </c>
    </row>
    <row r="1676" spans="3:3" x14ac:dyDescent="0.25">
      <c r="C1676" s="14" t="s">
        <v>4290</v>
      </c>
    </row>
    <row r="1677" spans="3:3" x14ac:dyDescent="0.25">
      <c r="C1677" s="14" t="s">
        <v>4104</v>
      </c>
    </row>
    <row r="1678" spans="3:3" x14ac:dyDescent="0.25">
      <c r="C1678" s="14" t="s">
        <v>4145</v>
      </c>
    </row>
    <row r="1679" spans="3:3" x14ac:dyDescent="0.25">
      <c r="C1679" s="14" t="s">
        <v>4645</v>
      </c>
    </row>
    <row r="1680" spans="3:3" x14ac:dyDescent="0.25">
      <c r="C1680" s="14" t="s">
        <v>4673</v>
      </c>
    </row>
    <row r="1681" spans="3:3" x14ac:dyDescent="0.25">
      <c r="C1681" s="14" t="s">
        <v>3621</v>
      </c>
    </row>
    <row r="1682" spans="3:3" x14ac:dyDescent="0.25">
      <c r="C1682" s="14" t="s">
        <v>3582</v>
      </c>
    </row>
    <row r="1683" spans="3:3" ht="45" x14ac:dyDescent="0.25">
      <c r="C1683" s="14" t="s">
        <v>3622</v>
      </c>
    </row>
    <row r="1684" spans="3:3" x14ac:dyDescent="0.25">
      <c r="C1684" s="14" t="s">
        <v>3977</v>
      </c>
    </row>
    <row r="1685" spans="3:3" x14ac:dyDescent="0.25">
      <c r="C1685" s="14" t="s">
        <v>4005</v>
      </c>
    </row>
    <row r="1686" spans="3:3" x14ac:dyDescent="0.25">
      <c r="C1686" s="14" t="s">
        <v>3623</v>
      </c>
    </row>
    <row r="1687" spans="3:3" x14ac:dyDescent="0.25">
      <c r="C1687" s="14" t="s">
        <v>3582</v>
      </c>
    </row>
    <row r="1688" spans="3:3" x14ac:dyDescent="0.25">
      <c r="C1688" s="14" t="s">
        <v>3624</v>
      </c>
    </row>
    <row r="1689" spans="3:3" x14ac:dyDescent="0.25">
      <c r="C1689" s="14" t="s">
        <v>4514</v>
      </c>
    </row>
    <row r="1690" spans="3:3" x14ac:dyDescent="0.25">
      <c r="C1690" s="14" t="s">
        <v>4544</v>
      </c>
    </row>
    <row r="1691" spans="3:3" x14ac:dyDescent="0.25">
      <c r="C1691" s="14" t="s">
        <v>4228</v>
      </c>
    </row>
    <row r="1692" spans="3:3" x14ac:dyDescent="0.25">
      <c r="C1692" s="14" t="s">
        <v>4254</v>
      </c>
    </row>
    <row r="1693" spans="3:3" x14ac:dyDescent="0.25">
      <c r="C1693" s="14" t="s">
        <v>4265</v>
      </c>
    </row>
    <row r="1694" spans="3:3" ht="45" x14ac:dyDescent="0.25">
      <c r="C1694" s="14" t="s">
        <v>4291</v>
      </c>
    </row>
    <row r="1695" spans="3:3" x14ac:dyDescent="0.25">
      <c r="C1695" s="14" t="s">
        <v>3508</v>
      </c>
    </row>
    <row r="1696" spans="3:3" x14ac:dyDescent="0.25">
      <c r="C1696" s="14" t="s">
        <v>3467</v>
      </c>
    </row>
    <row r="1697" spans="3:3" x14ac:dyDescent="0.25">
      <c r="C1697" s="14" t="s">
        <v>3509</v>
      </c>
    </row>
    <row r="1698" spans="3:3" x14ac:dyDescent="0.25">
      <c r="C1698" s="14" t="s">
        <v>4349</v>
      </c>
    </row>
    <row r="1699" spans="3:3" x14ac:dyDescent="0.25">
      <c r="C1699" s="14" t="s">
        <v>4393</v>
      </c>
    </row>
    <row r="1700" spans="3:3" x14ac:dyDescent="0.25">
      <c r="C1700" s="14" t="s">
        <v>4061</v>
      </c>
    </row>
    <row r="1701" spans="3:3" x14ac:dyDescent="0.25">
      <c r="C1701" s="14" t="s">
        <v>4092</v>
      </c>
    </row>
    <row r="1702" spans="3:3" x14ac:dyDescent="0.25">
      <c r="C1702" s="14" t="s">
        <v>4514</v>
      </c>
    </row>
    <row r="1703" spans="3:3" x14ac:dyDescent="0.25">
      <c r="C1703" s="14" t="s">
        <v>4545</v>
      </c>
    </row>
    <row r="1704" spans="3:3" x14ac:dyDescent="0.25">
      <c r="C1704" s="14" t="s">
        <v>4228</v>
      </c>
    </row>
    <row r="1705" spans="3:3" x14ac:dyDescent="0.25">
      <c r="C1705" s="14" t="s">
        <v>4255</v>
      </c>
    </row>
    <row r="1706" spans="3:3" x14ac:dyDescent="0.25">
      <c r="C1706" s="14" t="s">
        <v>3689</v>
      </c>
    </row>
    <row r="1707" spans="3:3" x14ac:dyDescent="0.25">
      <c r="C1707" s="14" t="s">
        <v>3781</v>
      </c>
    </row>
    <row r="1708" spans="3:3" x14ac:dyDescent="0.25">
      <c r="C1708" s="14" t="s">
        <v>3837</v>
      </c>
    </row>
    <row r="1709" spans="3:3" x14ac:dyDescent="0.25">
      <c r="C1709" s="14" t="s">
        <v>4559</v>
      </c>
    </row>
    <row r="1710" spans="3:3" x14ac:dyDescent="0.25">
      <c r="C1710" s="14" t="s">
        <v>4576</v>
      </c>
    </row>
    <row r="1711" spans="3:3" x14ac:dyDescent="0.25">
      <c r="C1711" s="14" t="s">
        <v>3654</v>
      </c>
    </row>
    <row r="1712" spans="3:3" x14ac:dyDescent="0.25">
      <c r="C1712" s="14" t="s">
        <v>3690</v>
      </c>
    </row>
    <row r="1713" spans="3:3" x14ac:dyDescent="0.25">
      <c r="C1713" s="14" t="s">
        <v>3444</v>
      </c>
    </row>
    <row r="1714" spans="3:3" x14ac:dyDescent="0.25">
      <c r="C1714" s="14" t="s">
        <v>3365</v>
      </c>
    </row>
    <row r="1715" spans="3:3" x14ac:dyDescent="0.25">
      <c r="C1715" s="14" t="s">
        <v>3445</v>
      </c>
    </row>
    <row r="1716" spans="3:3" x14ac:dyDescent="0.25">
      <c r="C1716" s="14" t="s">
        <v>3582</v>
      </c>
    </row>
    <row r="1717" spans="3:3" ht="30" x14ac:dyDescent="0.25">
      <c r="C1717" s="14" t="s">
        <v>3625</v>
      </c>
    </row>
    <row r="1718" spans="3:3" x14ac:dyDescent="0.25">
      <c r="C1718" s="14" t="s">
        <v>4688</v>
      </c>
    </row>
    <row r="1719" spans="3:3" ht="45" x14ac:dyDescent="0.25">
      <c r="C1719" s="14" t="s">
        <v>4709</v>
      </c>
    </row>
    <row r="1720" spans="3:3" x14ac:dyDescent="0.25">
      <c r="C1720" s="14" t="s">
        <v>4104</v>
      </c>
    </row>
    <row r="1721" spans="3:3" x14ac:dyDescent="0.25">
      <c r="C1721" s="14" t="s">
        <v>4146</v>
      </c>
    </row>
    <row r="1722" spans="3:3" x14ac:dyDescent="0.25">
      <c r="C1722" s="14" t="s">
        <v>3626</v>
      </c>
    </row>
    <row r="1723" spans="3:3" x14ac:dyDescent="0.25">
      <c r="C1723" s="14" t="s">
        <v>3582</v>
      </c>
    </row>
    <row r="1724" spans="3:3" x14ac:dyDescent="0.25">
      <c r="C1724" s="14" t="s">
        <v>3627</v>
      </c>
    </row>
    <row r="1725" spans="3:3" x14ac:dyDescent="0.25">
      <c r="C1725" s="14" t="s">
        <v>3654</v>
      </c>
    </row>
    <row r="1726" spans="3:3" x14ac:dyDescent="0.25">
      <c r="C1726" s="14" t="s">
        <v>3691</v>
      </c>
    </row>
    <row r="1727" spans="3:3" x14ac:dyDescent="0.25">
      <c r="C1727" s="14" t="s">
        <v>4645</v>
      </c>
    </row>
    <row r="1728" spans="3:3" x14ac:dyDescent="0.25">
      <c r="C1728" s="14" t="s">
        <v>4674</v>
      </c>
    </row>
    <row r="1729" spans="3:3" x14ac:dyDescent="0.25">
      <c r="C1729" s="14" t="s">
        <v>3628</v>
      </c>
    </row>
    <row r="1730" spans="3:3" x14ac:dyDescent="0.25">
      <c r="C1730" s="14" t="s">
        <v>3781</v>
      </c>
    </row>
    <row r="1731" spans="3:3" x14ac:dyDescent="0.25">
      <c r="C1731" s="14" t="s">
        <v>3838</v>
      </c>
    </row>
    <row r="1732" spans="3:3" x14ac:dyDescent="0.25">
      <c r="C1732" s="14" t="s">
        <v>3582</v>
      </c>
    </row>
    <row r="1733" spans="3:3" x14ac:dyDescent="0.25">
      <c r="C1733" s="14" t="s">
        <v>3629</v>
      </c>
    </row>
    <row r="1734" spans="3:3" x14ac:dyDescent="0.25">
      <c r="C1734" s="14" t="s">
        <v>4688</v>
      </c>
    </row>
    <row r="1735" spans="3:3" ht="30" x14ac:dyDescent="0.25">
      <c r="C1735" s="14" t="s">
        <v>4710</v>
      </c>
    </row>
    <row r="1736" spans="3:3" x14ac:dyDescent="0.25">
      <c r="C1736" s="14" t="s">
        <v>4394</v>
      </c>
    </row>
    <row r="1737" spans="3:3" x14ac:dyDescent="0.25">
      <c r="C1737" s="14" t="s">
        <v>4349</v>
      </c>
    </row>
    <row r="1738" spans="3:3" x14ac:dyDescent="0.25">
      <c r="C1738" s="14" t="s">
        <v>4395</v>
      </c>
    </row>
    <row r="1739" spans="3:3" x14ac:dyDescent="0.25">
      <c r="C1739" s="14" t="s">
        <v>4688</v>
      </c>
    </row>
    <row r="1740" spans="3:3" ht="30" x14ac:dyDescent="0.25">
      <c r="C1740" s="14" t="s">
        <v>4712</v>
      </c>
    </row>
    <row r="1741" spans="3:3" x14ac:dyDescent="0.25">
      <c r="C1741" s="14" t="s">
        <v>4711</v>
      </c>
    </row>
    <row r="1742" spans="3:3" x14ac:dyDescent="0.25">
      <c r="C1742" s="14" t="s">
        <v>3740</v>
      </c>
    </row>
    <row r="1743" spans="3:3" x14ac:dyDescent="0.25">
      <c r="C1743" s="14" t="s">
        <v>3716</v>
      </c>
    </row>
    <row r="1744" spans="3:3" x14ac:dyDescent="0.25">
      <c r="C1744" s="14" t="s">
        <v>3741</v>
      </c>
    </row>
    <row r="1745" spans="3:3" x14ac:dyDescent="0.25">
      <c r="C1745" s="14" t="s">
        <v>3510</v>
      </c>
    </row>
    <row r="1746" spans="3:3" x14ac:dyDescent="0.25">
      <c r="C1746" s="14" t="s">
        <v>3467</v>
      </c>
    </row>
    <row r="1747" spans="3:3" x14ac:dyDescent="0.25">
      <c r="C1747" s="14" t="s">
        <v>3511</v>
      </c>
    </row>
    <row r="1748" spans="3:3" x14ac:dyDescent="0.25">
      <c r="C1748" s="14" t="s">
        <v>3716</v>
      </c>
    </row>
    <row r="1749" spans="3:3" x14ac:dyDescent="0.25">
      <c r="C1749" s="14" t="s">
        <v>3742</v>
      </c>
    </row>
    <row r="1750" spans="3:3" x14ac:dyDescent="0.25">
      <c r="C1750" s="14" t="s">
        <v>4349</v>
      </c>
    </row>
    <row r="1751" spans="3:3" x14ac:dyDescent="0.25">
      <c r="C1751" s="14" t="s">
        <v>4396</v>
      </c>
    </row>
    <row r="1752" spans="3:3" x14ac:dyDescent="0.25">
      <c r="C1752" s="14" t="s">
        <v>3851</v>
      </c>
    </row>
    <row r="1753" spans="3:3" x14ac:dyDescent="0.25">
      <c r="C1753" s="14" t="s">
        <v>3870</v>
      </c>
    </row>
    <row r="1754" spans="3:3" x14ac:dyDescent="0.25">
      <c r="C1754" s="14" t="s">
        <v>4265</v>
      </c>
    </row>
    <row r="1755" spans="3:3" x14ac:dyDescent="0.25">
      <c r="C1755" s="14" t="s">
        <v>4292</v>
      </c>
    </row>
    <row r="1756" spans="3:3" x14ac:dyDescent="0.25">
      <c r="C1756" s="14" t="s">
        <v>4006</v>
      </c>
    </row>
    <row r="1757" spans="3:3" x14ac:dyDescent="0.25">
      <c r="C1757" s="14" t="s">
        <v>4061</v>
      </c>
    </row>
    <row r="1758" spans="3:3" x14ac:dyDescent="0.25">
      <c r="C1758" s="14" t="s">
        <v>4093</v>
      </c>
    </row>
    <row r="1759" spans="3:3" x14ac:dyDescent="0.25">
      <c r="C1759" s="14" t="s">
        <v>3977</v>
      </c>
    </row>
    <row r="1760" spans="3:3" x14ac:dyDescent="0.25">
      <c r="C1760" s="14" t="s">
        <v>4007</v>
      </c>
    </row>
    <row r="1761" spans="3:3" x14ac:dyDescent="0.25">
      <c r="C1761" s="14" t="s">
        <v>4645</v>
      </c>
    </row>
    <row r="1762" spans="3:3" x14ac:dyDescent="0.25">
      <c r="C1762" s="14" t="s">
        <v>4675</v>
      </c>
    </row>
    <row r="1763" spans="3:3" x14ac:dyDescent="0.25">
      <c r="C1763" s="14" t="s">
        <v>3630</v>
      </c>
    </row>
    <row r="1764" spans="3:3" x14ac:dyDescent="0.25">
      <c r="C1764" s="14" t="s">
        <v>3716</v>
      </c>
    </row>
    <row r="1765" spans="3:3" x14ac:dyDescent="0.25">
      <c r="C1765" s="14" t="s">
        <v>3743</v>
      </c>
    </row>
    <row r="1766" spans="3:3" x14ac:dyDescent="0.25">
      <c r="C1766" s="14" t="s">
        <v>3582</v>
      </c>
    </row>
    <row r="1767" spans="3:3" x14ac:dyDescent="0.25">
      <c r="C1767" s="14" t="s">
        <v>3631</v>
      </c>
    </row>
    <row r="1768" spans="3:3" x14ac:dyDescent="0.25">
      <c r="C1768" s="14" t="s">
        <v>4304</v>
      </c>
    </row>
    <row r="1769" spans="3:3" x14ac:dyDescent="0.25">
      <c r="C1769" s="14" t="s">
        <v>4328</v>
      </c>
    </row>
    <row r="1770" spans="3:3" x14ac:dyDescent="0.25">
      <c r="C1770" s="14" t="s">
        <v>3851</v>
      </c>
    </row>
    <row r="1771" spans="3:3" x14ac:dyDescent="0.25">
      <c r="C1771" s="14" t="s">
        <v>3871</v>
      </c>
    </row>
    <row r="1772" spans="3:3" x14ac:dyDescent="0.25">
      <c r="C1772" s="14" t="s">
        <v>4421</v>
      </c>
    </row>
    <row r="1773" spans="3:3" x14ac:dyDescent="0.25">
      <c r="C1773" s="14" t="s">
        <v>4445</v>
      </c>
    </row>
    <row r="1774" spans="3:3" x14ac:dyDescent="0.25">
      <c r="C1774" s="14" t="s">
        <v>4104</v>
      </c>
    </row>
    <row r="1775" spans="3:3" x14ac:dyDescent="0.25">
      <c r="C1775" s="14" t="s">
        <v>4147</v>
      </c>
    </row>
    <row r="1776" spans="3:3" x14ac:dyDescent="0.25">
      <c r="C1776" s="14" t="s">
        <v>3692</v>
      </c>
    </row>
    <row r="1777" spans="3:3" x14ac:dyDescent="0.25">
      <c r="C1777" s="14" t="s">
        <v>4459</v>
      </c>
    </row>
    <row r="1778" spans="3:3" x14ac:dyDescent="0.25">
      <c r="C1778" s="14" t="s">
        <v>4492</v>
      </c>
    </row>
    <row r="1779" spans="3:3" x14ac:dyDescent="0.25">
      <c r="C1779" s="14" t="s">
        <v>3654</v>
      </c>
    </row>
    <row r="1780" spans="3:3" x14ac:dyDescent="0.25">
      <c r="C1780" s="14" t="s">
        <v>3693</v>
      </c>
    </row>
    <row r="1781" spans="3:3" x14ac:dyDescent="0.25">
      <c r="C1781" s="14" t="s">
        <v>3330</v>
      </c>
    </row>
    <row r="1782" spans="3:3" x14ac:dyDescent="0.25">
      <c r="C1782" s="14" t="s">
        <v>4207</v>
      </c>
    </row>
    <row r="1783" spans="3:3" x14ac:dyDescent="0.25">
      <c r="C1783" s="14" t="s">
        <v>4225</v>
      </c>
    </row>
    <row r="1784" spans="3:3" x14ac:dyDescent="0.25">
      <c r="C1784" s="14" t="s">
        <v>4226</v>
      </c>
    </row>
    <row r="1785" spans="3:3" x14ac:dyDescent="0.25">
      <c r="C1785" s="14" t="s">
        <v>3750</v>
      </c>
    </row>
    <row r="1786" spans="3:3" x14ac:dyDescent="0.25">
      <c r="C1786" s="14" t="s">
        <v>3772</v>
      </c>
    </row>
    <row r="1787" spans="3:3" x14ac:dyDescent="0.25">
      <c r="C1787" s="14" t="s">
        <v>3287</v>
      </c>
    </row>
    <row r="1788" spans="3:3" ht="60" x14ac:dyDescent="0.25">
      <c r="C1788" s="14" t="s">
        <v>3331</v>
      </c>
    </row>
    <row r="1789" spans="3:3" x14ac:dyDescent="0.25">
      <c r="C1789" s="14" t="s">
        <v>3744</v>
      </c>
    </row>
    <row r="1790" spans="3:3" x14ac:dyDescent="0.25">
      <c r="C1790" s="14" t="s">
        <v>3716</v>
      </c>
    </row>
    <row r="1791" spans="3:3" x14ac:dyDescent="0.25">
      <c r="C1791" s="14" t="s">
        <v>3745</v>
      </c>
    </row>
    <row r="1792" spans="3:3" x14ac:dyDescent="0.25">
      <c r="C1792" s="14" t="s">
        <v>3882</v>
      </c>
    </row>
    <row r="1793" spans="3:3" x14ac:dyDescent="0.25">
      <c r="C1793" s="14" t="s">
        <v>3928</v>
      </c>
    </row>
    <row r="1794" spans="3:3" x14ac:dyDescent="0.25">
      <c r="C1794" s="14" t="s">
        <v>3851</v>
      </c>
    </row>
    <row r="1795" spans="3:3" ht="45" x14ac:dyDescent="0.25">
      <c r="C1795" s="14" t="s">
        <v>3872</v>
      </c>
    </row>
    <row r="1796" spans="3:3" x14ac:dyDescent="0.25">
      <c r="C1796" s="14" t="s">
        <v>4688</v>
      </c>
    </row>
    <row r="1797" spans="3:3" ht="30" x14ac:dyDescent="0.25">
      <c r="C1797" s="14" t="s">
        <v>4713</v>
      </c>
    </row>
    <row r="1798" spans="3:3" x14ac:dyDescent="0.25">
      <c r="C1798" s="14" t="s">
        <v>3632</v>
      </c>
    </row>
    <row r="1799" spans="3:3" x14ac:dyDescent="0.25">
      <c r="C1799" s="14" t="s">
        <v>3582</v>
      </c>
    </row>
    <row r="1800" spans="3:3" ht="30" x14ac:dyDescent="0.25">
      <c r="C1800" s="14" t="s">
        <v>3633</v>
      </c>
    </row>
    <row r="1801" spans="3:3" x14ac:dyDescent="0.25">
      <c r="C1801" s="14" t="s">
        <v>3654</v>
      </c>
    </row>
    <row r="1802" spans="3:3" ht="30" x14ac:dyDescent="0.25">
      <c r="C1802" s="14" t="s">
        <v>3694</v>
      </c>
    </row>
    <row r="1803" spans="3:3" x14ac:dyDescent="0.25">
      <c r="C1803" s="14" t="s">
        <v>3332</v>
      </c>
    </row>
    <row r="1804" spans="3:3" x14ac:dyDescent="0.25">
      <c r="C1804" s="14" t="s">
        <v>3582</v>
      </c>
    </row>
    <row r="1805" spans="3:3" x14ac:dyDescent="0.25">
      <c r="C1805" s="14" t="s">
        <v>3634</v>
      </c>
    </row>
    <row r="1806" spans="3:3" x14ac:dyDescent="0.25">
      <c r="C1806" s="14" t="s">
        <v>3851</v>
      </c>
    </row>
    <row r="1807" spans="3:3" x14ac:dyDescent="0.25">
      <c r="C1807" s="14" t="s">
        <v>3873</v>
      </c>
    </row>
    <row r="1808" spans="3:3" x14ac:dyDescent="0.25">
      <c r="C1808" s="14" t="s">
        <v>4688</v>
      </c>
    </row>
    <row r="1809" spans="3:3" ht="45" x14ac:dyDescent="0.25">
      <c r="C1809" s="14" t="s">
        <v>4714</v>
      </c>
    </row>
    <row r="1810" spans="3:3" x14ac:dyDescent="0.25">
      <c r="C1810" s="14" t="s">
        <v>3287</v>
      </c>
    </row>
    <row r="1811" spans="3:3" ht="30" x14ac:dyDescent="0.25">
      <c r="C1811" s="14" t="s">
        <v>3333</v>
      </c>
    </row>
    <row r="1812" spans="3:3" x14ac:dyDescent="0.25">
      <c r="C1812" s="14" t="s">
        <v>3446</v>
      </c>
    </row>
    <row r="1813" spans="3:3" x14ac:dyDescent="0.25">
      <c r="C1813" s="14" t="s">
        <v>3365</v>
      </c>
    </row>
    <row r="1814" spans="3:3" x14ac:dyDescent="0.25">
      <c r="C1814" s="14" t="s">
        <v>3447</v>
      </c>
    </row>
    <row r="1815" spans="3:3" x14ac:dyDescent="0.25">
      <c r="C1815" s="14" t="s">
        <v>3582</v>
      </c>
    </row>
    <row r="1816" spans="3:3" x14ac:dyDescent="0.25">
      <c r="C1816" s="14" t="s">
        <v>3635</v>
      </c>
    </row>
    <row r="1817" spans="3:3" x14ac:dyDescent="0.25">
      <c r="C1817" s="14" t="s">
        <v>4421</v>
      </c>
    </row>
    <row r="1818" spans="3:3" x14ac:dyDescent="0.25">
      <c r="C1818" s="14" t="s">
        <v>4446</v>
      </c>
    </row>
    <row r="1819" spans="3:3" x14ac:dyDescent="0.25">
      <c r="C1819" s="14" t="s">
        <v>4022</v>
      </c>
    </row>
    <row r="1820" spans="3:3" x14ac:dyDescent="0.25">
      <c r="C1820" s="14" t="s">
        <v>4040</v>
      </c>
    </row>
    <row r="1821" spans="3:3" x14ac:dyDescent="0.25">
      <c r="C1821" s="14" t="s">
        <v>4148</v>
      </c>
    </row>
    <row r="1822" spans="3:3" x14ac:dyDescent="0.25">
      <c r="C1822" s="14" t="s">
        <v>4304</v>
      </c>
    </row>
    <row r="1823" spans="3:3" x14ac:dyDescent="0.25">
      <c r="C1823" s="14" t="s">
        <v>4329</v>
      </c>
    </row>
    <row r="1824" spans="3:3" x14ac:dyDescent="0.25">
      <c r="C1824" s="14" t="s">
        <v>4228</v>
      </c>
    </row>
    <row r="1825" spans="3:3" x14ac:dyDescent="0.25">
      <c r="C1825" s="14" t="s">
        <v>4256</v>
      </c>
    </row>
    <row r="1826" spans="3:3" x14ac:dyDescent="0.25">
      <c r="C1826" s="14" t="s">
        <v>4104</v>
      </c>
    </row>
    <row r="1827" spans="3:3" x14ac:dyDescent="0.25">
      <c r="C1827" s="14" t="s">
        <v>4149</v>
      </c>
    </row>
    <row r="1828" spans="3:3" x14ac:dyDescent="0.25">
      <c r="C1828" s="14" t="s">
        <v>4589</v>
      </c>
    </row>
    <row r="1829" spans="3:3" x14ac:dyDescent="0.25">
      <c r="C1829" s="14" t="s">
        <v>4626</v>
      </c>
    </row>
    <row r="1830" spans="3:3" x14ac:dyDescent="0.25">
      <c r="C1830" s="14" t="s">
        <v>3334</v>
      </c>
    </row>
    <row r="1831" spans="3:3" x14ac:dyDescent="0.25">
      <c r="C1831" s="14" t="s">
        <v>4304</v>
      </c>
    </row>
    <row r="1832" spans="3:3" x14ac:dyDescent="0.25">
      <c r="C1832" s="14" t="s">
        <v>4330</v>
      </c>
    </row>
    <row r="1833" spans="3:3" x14ac:dyDescent="0.25">
      <c r="C1833" s="14" t="s">
        <v>3977</v>
      </c>
    </row>
    <row r="1834" spans="3:3" x14ac:dyDescent="0.25">
      <c r="C1834" s="14" t="s">
        <v>4008</v>
      </c>
    </row>
    <row r="1835" spans="3:3" x14ac:dyDescent="0.25">
      <c r="C1835" s="14" t="s">
        <v>4589</v>
      </c>
    </row>
    <row r="1836" spans="3:3" x14ac:dyDescent="0.25">
      <c r="C1836" s="14" t="s">
        <v>4627</v>
      </c>
    </row>
    <row r="1837" spans="3:3" x14ac:dyDescent="0.25">
      <c r="C1837" s="14" t="s">
        <v>3287</v>
      </c>
    </row>
    <row r="1838" spans="3:3" ht="30" x14ac:dyDescent="0.25">
      <c r="C1838" s="14" t="s">
        <v>3335</v>
      </c>
    </row>
    <row r="1839" spans="3:3" x14ac:dyDescent="0.25">
      <c r="C1839" s="14" t="s">
        <v>3336</v>
      </c>
    </row>
    <row r="1840" spans="3:3" x14ac:dyDescent="0.25">
      <c r="C1840" s="14" t="s">
        <v>3467</v>
      </c>
    </row>
    <row r="1841" spans="3:3" x14ac:dyDescent="0.25">
      <c r="C1841" s="14" t="s">
        <v>3512</v>
      </c>
    </row>
    <row r="1842" spans="3:3" x14ac:dyDescent="0.25">
      <c r="C1842" s="14" t="s">
        <v>3716</v>
      </c>
    </row>
    <row r="1843" spans="3:3" x14ac:dyDescent="0.25">
      <c r="C1843" s="14" t="s">
        <v>3746</v>
      </c>
    </row>
    <row r="1844" spans="3:3" x14ac:dyDescent="0.25">
      <c r="C1844" s="14" t="s">
        <v>3582</v>
      </c>
    </row>
    <row r="1845" spans="3:3" x14ac:dyDescent="0.25">
      <c r="C1845" s="14" t="s">
        <v>3636</v>
      </c>
    </row>
    <row r="1846" spans="3:3" x14ac:dyDescent="0.25">
      <c r="C1846" s="14" t="s">
        <v>4304</v>
      </c>
    </row>
    <row r="1847" spans="3:3" ht="30" x14ac:dyDescent="0.25">
      <c r="C1847" s="14" t="s">
        <v>4331</v>
      </c>
    </row>
    <row r="1848" spans="3:3" x14ac:dyDescent="0.25">
      <c r="C1848" s="14" t="s">
        <v>3851</v>
      </c>
    </row>
    <row r="1849" spans="3:3" x14ac:dyDescent="0.25">
      <c r="C1849" s="14" t="s">
        <v>3874</v>
      </c>
    </row>
    <row r="1850" spans="3:3" x14ac:dyDescent="0.25">
      <c r="C1850" s="14" t="s">
        <v>4688</v>
      </c>
    </row>
    <row r="1851" spans="3:3" ht="30" x14ac:dyDescent="0.25">
      <c r="C1851" s="14" t="s">
        <v>4715</v>
      </c>
    </row>
    <row r="1852" spans="3:3" x14ac:dyDescent="0.25">
      <c r="C1852" s="14" t="s">
        <v>4228</v>
      </c>
    </row>
    <row r="1853" spans="3:3" x14ac:dyDescent="0.25">
      <c r="C1853" s="14" t="s">
        <v>4257</v>
      </c>
    </row>
    <row r="1854" spans="3:3" x14ac:dyDescent="0.25">
      <c r="C1854" s="14" t="s">
        <v>4265</v>
      </c>
    </row>
    <row r="1855" spans="3:3" x14ac:dyDescent="0.25">
      <c r="C1855" s="14" t="s">
        <v>4293</v>
      </c>
    </row>
    <row r="1856" spans="3:3" x14ac:dyDescent="0.25">
      <c r="C1856" s="14" t="s">
        <v>4421</v>
      </c>
    </row>
    <row r="1857" spans="3:3" x14ac:dyDescent="0.25">
      <c r="C1857" s="14" t="s">
        <v>4447</v>
      </c>
    </row>
    <row r="1858" spans="3:3" x14ac:dyDescent="0.25">
      <c r="C1858" s="14" t="s">
        <v>3287</v>
      </c>
    </row>
    <row r="1859" spans="3:3" x14ac:dyDescent="0.25">
      <c r="C1859" s="14" t="s">
        <v>3337</v>
      </c>
    </row>
    <row r="1860" spans="3:3" x14ac:dyDescent="0.25">
      <c r="C1860" s="14" t="s">
        <v>4645</v>
      </c>
    </row>
    <row r="1861" spans="3:3" x14ac:dyDescent="0.25">
      <c r="C1861" s="14" t="s">
        <v>4676</v>
      </c>
    </row>
    <row r="1862" spans="3:3" x14ac:dyDescent="0.25">
      <c r="C1862" s="14" t="s">
        <v>3448</v>
      </c>
    </row>
    <row r="1863" spans="3:3" x14ac:dyDescent="0.25">
      <c r="C1863" s="14" t="s">
        <v>3365</v>
      </c>
    </row>
    <row r="1864" spans="3:3" x14ac:dyDescent="0.25">
      <c r="C1864" s="14" t="s">
        <v>3449</v>
      </c>
    </row>
    <row r="1865" spans="3:3" x14ac:dyDescent="0.25">
      <c r="C1865" s="14" t="s">
        <v>3716</v>
      </c>
    </row>
    <row r="1866" spans="3:3" ht="30" x14ac:dyDescent="0.25">
      <c r="C1866" s="14" t="s">
        <v>3747</v>
      </c>
    </row>
    <row r="1867" spans="3:3" x14ac:dyDescent="0.25">
      <c r="C1867" s="14" t="s">
        <v>4265</v>
      </c>
    </row>
    <row r="1868" spans="3:3" x14ac:dyDescent="0.25">
      <c r="C1868" s="14" t="s">
        <v>4294</v>
      </c>
    </row>
    <row r="1869" spans="3:3" x14ac:dyDescent="0.25">
      <c r="C1869" s="14" t="s">
        <v>4589</v>
      </c>
    </row>
    <row r="1870" spans="3:3" x14ac:dyDescent="0.25">
      <c r="C1870" s="14" t="s">
        <v>4628</v>
      </c>
    </row>
    <row r="1871" spans="3:3" x14ac:dyDescent="0.25">
      <c r="C1871" s="14" t="s">
        <v>3654</v>
      </c>
    </row>
    <row r="1872" spans="3:3" x14ac:dyDescent="0.25">
      <c r="C1872" s="14" t="s">
        <v>3695</v>
      </c>
    </row>
    <row r="1873" spans="3:3" x14ac:dyDescent="0.25">
      <c r="C1873" s="14" t="s">
        <v>4645</v>
      </c>
    </row>
    <row r="1874" spans="3:3" ht="45" x14ac:dyDescent="0.25">
      <c r="C1874" s="14" t="s">
        <v>4677</v>
      </c>
    </row>
    <row r="1875" spans="3:3" x14ac:dyDescent="0.25">
      <c r="C1875" s="14" t="s">
        <v>3696</v>
      </c>
    </row>
    <row r="1876" spans="3:3" x14ac:dyDescent="0.25">
      <c r="C1876" s="14" t="s">
        <v>4688</v>
      </c>
    </row>
    <row r="1877" spans="3:3" x14ac:dyDescent="0.25">
      <c r="C1877" s="14" t="s">
        <v>4716</v>
      </c>
    </row>
    <row r="1878" spans="3:3" ht="30" x14ac:dyDescent="0.25">
      <c r="C1878" s="14" t="s">
        <v>4717</v>
      </c>
    </row>
    <row r="1879" spans="3:3" x14ac:dyDescent="0.25">
      <c r="C1879" s="14" t="s">
        <v>3654</v>
      </c>
    </row>
    <row r="1880" spans="3:3" x14ac:dyDescent="0.25">
      <c r="C1880" s="14" t="s">
        <v>3697</v>
      </c>
    </row>
    <row r="1881" spans="3:3" x14ac:dyDescent="0.25">
      <c r="C1881" s="14" t="s">
        <v>3338</v>
      </c>
    </row>
    <row r="1882" spans="3:3" x14ac:dyDescent="0.25">
      <c r="C1882" s="14" t="s">
        <v>3534</v>
      </c>
    </row>
    <row r="1883" spans="3:3" x14ac:dyDescent="0.25">
      <c r="C1883" s="14" t="s">
        <v>3572</v>
      </c>
    </row>
    <row r="1884" spans="3:3" x14ac:dyDescent="0.25">
      <c r="C1884" s="14" t="s">
        <v>3582</v>
      </c>
    </row>
    <row r="1885" spans="3:3" x14ac:dyDescent="0.25">
      <c r="C1885" s="14" t="s">
        <v>3637</v>
      </c>
    </row>
    <row r="1886" spans="3:3" x14ac:dyDescent="0.25">
      <c r="C1886" s="14" t="s">
        <v>4304</v>
      </c>
    </row>
    <row r="1887" spans="3:3" x14ac:dyDescent="0.25">
      <c r="C1887" s="14" t="s">
        <v>4332</v>
      </c>
    </row>
    <row r="1888" spans="3:3" x14ac:dyDescent="0.25">
      <c r="C1888" s="14" t="s">
        <v>4333</v>
      </c>
    </row>
    <row r="1889" spans="3:3" x14ac:dyDescent="0.25">
      <c r="C1889" s="14" t="s">
        <v>4688</v>
      </c>
    </row>
    <row r="1890" spans="3:3" x14ac:dyDescent="0.25">
      <c r="C1890" s="14" t="s">
        <v>4718</v>
      </c>
    </row>
    <row r="1891" spans="3:3" x14ac:dyDescent="0.25">
      <c r="C1891" s="14" t="s">
        <v>4589</v>
      </c>
    </row>
    <row r="1892" spans="3:3" x14ac:dyDescent="0.25">
      <c r="C1892" s="14" t="s">
        <v>4629</v>
      </c>
    </row>
    <row r="1893" spans="3:3" x14ac:dyDescent="0.25">
      <c r="C1893" s="14" t="s">
        <v>3287</v>
      </c>
    </row>
    <row r="1894" spans="3:3" ht="30" x14ac:dyDescent="0.25">
      <c r="C1894" s="14" t="s">
        <v>3339</v>
      </c>
    </row>
    <row r="1895" spans="3:3" x14ac:dyDescent="0.25">
      <c r="C1895" s="14" t="s">
        <v>4645</v>
      </c>
    </row>
    <row r="1896" spans="3:3" ht="30" x14ac:dyDescent="0.25">
      <c r="C1896" s="14" t="s">
        <v>4678</v>
      </c>
    </row>
    <row r="1897" spans="3:3" x14ac:dyDescent="0.25">
      <c r="C1897" s="14" t="s">
        <v>3450</v>
      </c>
    </row>
    <row r="1898" spans="3:3" x14ac:dyDescent="0.25">
      <c r="C1898" s="14" t="s">
        <v>3365</v>
      </c>
    </row>
    <row r="1899" spans="3:3" x14ac:dyDescent="0.25">
      <c r="C1899" s="14" t="s">
        <v>3451</v>
      </c>
    </row>
    <row r="1900" spans="3:3" x14ac:dyDescent="0.25">
      <c r="C1900" s="14" t="s">
        <v>3582</v>
      </c>
    </row>
    <row r="1901" spans="3:3" x14ac:dyDescent="0.25">
      <c r="C1901" s="14" t="s">
        <v>3638</v>
      </c>
    </row>
    <row r="1902" spans="3:3" x14ac:dyDescent="0.25">
      <c r="C1902" s="14" t="s">
        <v>4304</v>
      </c>
    </row>
    <row r="1903" spans="3:3" x14ac:dyDescent="0.25">
      <c r="C1903" s="14" t="s">
        <v>4334</v>
      </c>
    </row>
    <row r="1904" spans="3:3" x14ac:dyDescent="0.25">
      <c r="C1904" s="14" t="s">
        <v>3977</v>
      </c>
    </row>
    <row r="1905" spans="3:3" x14ac:dyDescent="0.25">
      <c r="C1905" s="14" t="s">
        <v>4009</v>
      </c>
    </row>
    <row r="1906" spans="3:3" x14ac:dyDescent="0.25">
      <c r="C1906" s="14" t="s">
        <v>3851</v>
      </c>
    </row>
    <row r="1907" spans="3:3" ht="30" x14ac:dyDescent="0.25">
      <c r="C1907" s="14" t="s">
        <v>3875</v>
      </c>
    </row>
    <row r="1908" spans="3:3" x14ac:dyDescent="0.25">
      <c r="C1908" s="14" t="s">
        <v>4688</v>
      </c>
    </row>
    <row r="1909" spans="3:3" x14ac:dyDescent="0.25">
      <c r="C1909" s="14" t="s">
        <v>4719</v>
      </c>
    </row>
    <row r="1910" spans="3:3" x14ac:dyDescent="0.25">
      <c r="C1910" s="14" t="s">
        <v>3513</v>
      </c>
    </row>
    <row r="1911" spans="3:3" x14ac:dyDescent="0.25">
      <c r="C1911" s="14" t="s">
        <v>3467</v>
      </c>
    </row>
    <row r="1912" spans="3:3" ht="45" x14ac:dyDescent="0.25">
      <c r="C1912" s="14" t="s">
        <v>3514</v>
      </c>
    </row>
    <row r="1913" spans="3:3" x14ac:dyDescent="0.25">
      <c r="C1913" s="14" t="s">
        <v>3781</v>
      </c>
    </row>
    <row r="1914" spans="3:3" x14ac:dyDescent="0.25">
      <c r="C1914" s="14" t="s">
        <v>3839</v>
      </c>
    </row>
    <row r="1915" spans="3:3" x14ac:dyDescent="0.25">
      <c r="C1915" s="14" t="s">
        <v>3582</v>
      </c>
    </row>
    <row r="1916" spans="3:3" x14ac:dyDescent="0.25">
      <c r="C1916" s="14" t="s">
        <v>3640</v>
      </c>
    </row>
    <row r="1917" spans="3:3" ht="30" x14ac:dyDescent="0.25">
      <c r="C1917" s="14" t="s">
        <v>3639</v>
      </c>
    </row>
    <row r="1918" spans="3:3" x14ac:dyDescent="0.25">
      <c r="C1918" s="14" t="s">
        <v>3882</v>
      </c>
    </row>
    <row r="1919" spans="3:3" x14ac:dyDescent="0.25">
      <c r="C1919" s="14" t="s">
        <v>3929</v>
      </c>
    </row>
    <row r="1920" spans="3:3" x14ac:dyDescent="0.25">
      <c r="C1920" s="14" t="s">
        <v>4304</v>
      </c>
    </row>
    <row r="1921" spans="3:3" x14ac:dyDescent="0.25">
      <c r="C1921" s="14" t="s">
        <v>4335</v>
      </c>
    </row>
    <row r="1922" spans="3:3" x14ac:dyDescent="0.25">
      <c r="C1922" s="14" t="s">
        <v>4514</v>
      </c>
    </row>
    <row r="1923" spans="3:3" x14ac:dyDescent="0.25">
      <c r="C1923" s="14" t="s">
        <v>4546</v>
      </c>
    </row>
    <row r="1924" spans="3:3" x14ac:dyDescent="0.25">
      <c r="C1924" s="14" t="s">
        <v>4228</v>
      </c>
    </row>
    <row r="1925" spans="3:3" x14ac:dyDescent="0.25">
      <c r="C1925" s="14" t="s">
        <v>4258</v>
      </c>
    </row>
    <row r="1926" spans="3:3" x14ac:dyDescent="0.25">
      <c r="C1926" s="14" t="s">
        <v>4589</v>
      </c>
    </row>
    <row r="1927" spans="3:3" x14ac:dyDescent="0.25">
      <c r="C1927" s="14" t="s">
        <v>4630</v>
      </c>
    </row>
    <row r="1928" spans="3:3" x14ac:dyDescent="0.25">
      <c r="C1928" s="14" t="s">
        <v>4559</v>
      </c>
    </row>
    <row r="1929" spans="3:3" x14ac:dyDescent="0.25">
      <c r="C1929" s="14" t="s">
        <v>4577</v>
      </c>
    </row>
    <row r="1930" spans="3:3" x14ac:dyDescent="0.25">
      <c r="C1930" s="14" t="s">
        <v>3654</v>
      </c>
    </row>
    <row r="1931" spans="3:3" x14ac:dyDescent="0.25">
      <c r="C1931" s="14" t="s">
        <v>3698</v>
      </c>
    </row>
    <row r="1932" spans="3:3" x14ac:dyDescent="0.25">
      <c r="C1932" s="14" t="s">
        <v>4645</v>
      </c>
    </row>
    <row r="1933" spans="3:3" x14ac:dyDescent="0.25">
      <c r="C1933" s="14" t="s">
        <v>4679</v>
      </c>
    </row>
    <row r="1934" spans="3:3" x14ac:dyDescent="0.25">
      <c r="C1934" s="14" t="s">
        <v>4022</v>
      </c>
    </row>
    <row r="1935" spans="3:3" x14ac:dyDescent="0.25">
      <c r="C1935" s="14" t="s">
        <v>4041</v>
      </c>
    </row>
    <row r="1936" spans="3:3" x14ac:dyDescent="0.25">
      <c r="C1936" s="14" t="s">
        <v>3340</v>
      </c>
    </row>
    <row r="1937" spans="3:3" x14ac:dyDescent="0.25">
      <c r="C1937" s="14" t="s">
        <v>3467</v>
      </c>
    </row>
    <row r="1938" spans="3:3" x14ac:dyDescent="0.25">
      <c r="C1938" s="14" t="s">
        <v>3515</v>
      </c>
    </row>
    <row r="1939" spans="3:3" x14ac:dyDescent="0.25">
      <c r="C1939" s="14" t="s">
        <v>3534</v>
      </c>
    </row>
    <row r="1940" spans="3:3" x14ac:dyDescent="0.25">
      <c r="C1940" s="14" t="s">
        <v>3573</v>
      </c>
    </row>
    <row r="1941" spans="3:3" x14ac:dyDescent="0.25">
      <c r="C1941" s="14" t="s">
        <v>4061</v>
      </c>
    </row>
    <row r="1942" spans="3:3" x14ac:dyDescent="0.25">
      <c r="C1942" s="14" t="s">
        <v>4094</v>
      </c>
    </row>
    <row r="1943" spans="3:3" x14ac:dyDescent="0.25">
      <c r="C1943" s="14" t="s">
        <v>3851</v>
      </c>
    </row>
    <row r="1944" spans="3:3" x14ac:dyDescent="0.25">
      <c r="C1944" s="14" t="s">
        <v>3877</v>
      </c>
    </row>
    <row r="1945" spans="3:3" x14ac:dyDescent="0.25">
      <c r="C1945" s="14" t="s">
        <v>3876</v>
      </c>
    </row>
    <row r="1946" spans="3:3" x14ac:dyDescent="0.25">
      <c r="C1946" s="14" t="s">
        <v>3750</v>
      </c>
    </row>
    <row r="1947" spans="3:3" x14ac:dyDescent="0.25">
      <c r="C1947" s="14" t="s">
        <v>3773</v>
      </c>
    </row>
    <row r="1948" spans="3:3" x14ac:dyDescent="0.25">
      <c r="C1948" s="14" t="s">
        <v>4688</v>
      </c>
    </row>
    <row r="1949" spans="3:3" x14ac:dyDescent="0.25">
      <c r="C1949" s="14" t="s">
        <v>4721</v>
      </c>
    </row>
    <row r="1950" spans="3:3" x14ac:dyDescent="0.25">
      <c r="C1950" s="14" t="s">
        <v>4720</v>
      </c>
    </row>
    <row r="1951" spans="3:3" x14ac:dyDescent="0.25">
      <c r="C1951" s="14" t="s">
        <v>4514</v>
      </c>
    </row>
    <row r="1952" spans="3:3" x14ac:dyDescent="0.25">
      <c r="C1952" s="14" t="s">
        <v>4547</v>
      </c>
    </row>
    <row r="1953" spans="3:3" x14ac:dyDescent="0.25">
      <c r="C1953" s="14" t="s">
        <v>4265</v>
      </c>
    </row>
    <row r="1954" spans="3:3" x14ac:dyDescent="0.25">
      <c r="C1954" s="14" t="s">
        <v>4295</v>
      </c>
    </row>
    <row r="1955" spans="3:3" x14ac:dyDescent="0.25">
      <c r="C1955" s="14" t="s">
        <v>4421</v>
      </c>
    </row>
    <row r="1956" spans="3:3" x14ac:dyDescent="0.25">
      <c r="C1956" s="14" t="s">
        <v>4448</v>
      </c>
    </row>
    <row r="1957" spans="3:3" x14ac:dyDescent="0.25">
      <c r="C1957" s="14" t="s">
        <v>4459</v>
      </c>
    </row>
    <row r="1958" spans="3:3" ht="30" x14ac:dyDescent="0.25">
      <c r="C1958" s="14" t="s">
        <v>4493</v>
      </c>
    </row>
    <row r="1959" spans="3:3" x14ac:dyDescent="0.25">
      <c r="C1959" s="14" t="s">
        <v>4589</v>
      </c>
    </row>
    <row r="1960" spans="3:3" ht="45" x14ac:dyDescent="0.25">
      <c r="C1960" s="14" t="s">
        <v>4631</v>
      </c>
    </row>
    <row r="1961" spans="3:3" x14ac:dyDescent="0.25">
      <c r="C1961" s="14" t="s">
        <v>3287</v>
      </c>
    </row>
    <row r="1962" spans="3:3" ht="30" x14ac:dyDescent="0.25">
      <c r="C1962" s="14" t="s">
        <v>3341</v>
      </c>
    </row>
    <row r="1963" spans="3:3" x14ac:dyDescent="0.25">
      <c r="C1963" s="14" t="s">
        <v>3654</v>
      </c>
    </row>
    <row r="1964" spans="3:3" x14ac:dyDescent="0.25">
      <c r="C1964" s="14" t="s">
        <v>3699</v>
      </c>
    </row>
    <row r="1965" spans="3:3" x14ac:dyDescent="0.25">
      <c r="C1965" s="14" t="s">
        <v>3516</v>
      </c>
    </row>
    <row r="1966" spans="3:3" x14ac:dyDescent="0.25">
      <c r="C1966" s="14" t="s">
        <v>3467</v>
      </c>
    </row>
    <row r="1967" spans="3:3" ht="30" x14ac:dyDescent="0.25">
      <c r="C1967" s="14" t="s">
        <v>3517</v>
      </c>
    </row>
    <row r="1968" spans="3:3" x14ac:dyDescent="0.25">
      <c r="C1968" s="14" t="s">
        <v>3534</v>
      </c>
    </row>
    <row r="1969" spans="3:3" x14ac:dyDescent="0.25">
      <c r="C1969" s="14" t="s">
        <v>3574</v>
      </c>
    </row>
    <row r="1970" spans="3:3" x14ac:dyDescent="0.25">
      <c r="C1970" s="14" t="s">
        <v>3582</v>
      </c>
    </row>
    <row r="1971" spans="3:3" ht="30" x14ac:dyDescent="0.25">
      <c r="C1971" s="14" t="s">
        <v>3641</v>
      </c>
    </row>
    <row r="1972" spans="3:3" x14ac:dyDescent="0.25">
      <c r="C1972" s="14" t="s">
        <v>4304</v>
      </c>
    </row>
    <row r="1973" spans="3:3" x14ac:dyDescent="0.25">
      <c r="C1973" s="14" t="s">
        <v>4336</v>
      </c>
    </row>
    <row r="1974" spans="3:3" x14ac:dyDescent="0.25">
      <c r="C1974" s="14" t="s">
        <v>4688</v>
      </c>
    </row>
    <row r="1975" spans="3:3" x14ac:dyDescent="0.25">
      <c r="C1975" s="14" t="s">
        <v>4722</v>
      </c>
    </row>
    <row r="1976" spans="3:3" x14ac:dyDescent="0.25">
      <c r="C1976" s="14" t="s">
        <v>4514</v>
      </c>
    </row>
    <row r="1977" spans="3:3" ht="45" x14ac:dyDescent="0.25">
      <c r="C1977" s="14" t="s">
        <v>4548</v>
      </c>
    </row>
    <row r="1978" spans="3:3" x14ac:dyDescent="0.25">
      <c r="C1978" s="14" t="s">
        <v>4421</v>
      </c>
    </row>
    <row r="1979" spans="3:3" ht="30" x14ac:dyDescent="0.25">
      <c r="C1979" s="14" t="s">
        <v>4449</v>
      </c>
    </row>
    <row r="1980" spans="3:3" x14ac:dyDescent="0.25">
      <c r="C1980" s="14" t="s">
        <v>3654</v>
      </c>
    </row>
    <row r="1981" spans="3:3" x14ac:dyDescent="0.25">
      <c r="C1981" s="14" t="s">
        <v>3700</v>
      </c>
    </row>
    <row r="1982" spans="3:3" x14ac:dyDescent="0.25">
      <c r="C1982" s="14" t="s">
        <v>4645</v>
      </c>
    </row>
    <row r="1983" spans="3:3" x14ac:dyDescent="0.25">
      <c r="C1983" s="14" t="s">
        <v>4680</v>
      </c>
    </row>
    <row r="1984" spans="3:3" x14ac:dyDescent="0.25">
      <c r="C1984" s="14" t="s">
        <v>3518</v>
      </c>
    </row>
    <row r="1985" spans="3:3" x14ac:dyDescent="0.25">
      <c r="C1985" s="14" t="s">
        <v>3467</v>
      </c>
    </row>
    <row r="1986" spans="3:3" x14ac:dyDescent="0.25">
      <c r="C1986" s="14" t="s">
        <v>3519</v>
      </c>
    </row>
    <row r="1987" spans="3:3" x14ac:dyDescent="0.25">
      <c r="C1987" s="14" t="s">
        <v>3851</v>
      </c>
    </row>
    <row r="1988" spans="3:3" x14ac:dyDescent="0.25">
      <c r="C1988" s="14" t="s">
        <v>3878</v>
      </c>
    </row>
    <row r="1989" spans="3:3" x14ac:dyDescent="0.25">
      <c r="C1989" s="14" t="s">
        <v>4688</v>
      </c>
    </row>
    <row r="1990" spans="3:3" ht="30" x14ac:dyDescent="0.25">
      <c r="C1990" s="14" t="s">
        <v>4723</v>
      </c>
    </row>
    <row r="1991" spans="3:3" x14ac:dyDescent="0.25">
      <c r="C1991" s="14" t="s">
        <v>3342</v>
      </c>
    </row>
    <row r="1992" spans="3:3" x14ac:dyDescent="0.25">
      <c r="C1992" s="14" t="s">
        <v>4349</v>
      </c>
    </row>
    <row r="1993" spans="3:3" x14ac:dyDescent="0.25">
      <c r="C1993" s="14" t="s">
        <v>4397</v>
      </c>
    </row>
    <row r="1994" spans="3:3" x14ac:dyDescent="0.25">
      <c r="C1994" s="14" t="s">
        <v>4459</v>
      </c>
    </row>
    <row r="1995" spans="3:3" x14ac:dyDescent="0.25">
      <c r="C1995" s="14" t="s">
        <v>4495</v>
      </c>
    </row>
    <row r="1996" spans="3:3" x14ac:dyDescent="0.25">
      <c r="C1996" s="14" t="s">
        <v>4494</v>
      </c>
    </row>
    <row r="1997" spans="3:3" x14ac:dyDescent="0.25">
      <c r="C1997" s="14" t="s">
        <v>4589</v>
      </c>
    </row>
    <row r="1998" spans="3:3" x14ac:dyDescent="0.25">
      <c r="C1998" s="14" t="s">
        <v>4632</v>
      </c>
    </row>
    <row r="1999" spans="3:3" x14ac:dyDescent="0.25">
      <c r="C1999" s="14" t="s">
        <v>3287</v>
      </c>
    </row>
    <row r="2000" spans="3:3" ht="45" x14ac:dyDescent="0.25">
      <c r="C2000" s="14" t="s">
        <v>3343</v>
      </c>
    </row>
    <row r="2001" spans="3:3" x14ac:dyDescent="0.25">
      <c r="C2001" s="14" t="s">
        <v>3654</v>
      </c>
    </row>
    <row r="2002" spans="3:3" x14ac:dyDescent="0.25">
      <c r="C2002" s="14" t="s">
        <v>3701</v>
      </c>
    </row>
    <row r="2003" spans="3:3" x14ac:dyDescent="0.25">
      <c r="C2003" s="14" t="s">
        <v>3452</v>
      </c>
    </row>
    <row r="2004" spans="3:3" x14ac:dyDescent="0.25">
      <c r="C2004" s="14" t="s">
        <v>3365</v>
      </c>
    </row>
    <row r="2005" spans="3:3" x14ac:dyDescent="0.25">
      <c r="C2005" s="14" t="s">
        <v>3453</v>
      </c>
    </row>
    <row r="2006" spans="3:3" x14ac:dyDescent="0.25">
      <c r="C2006" s="14" t="s">
        <v>3582</v>
      </c>
    </row>
    <row r="2007" spans="3:3" x14ac:dyDescent="0.25">
      <c r="C2007" s="14" t="s">
        <v>3642</v>
      </c>
    </row>
    <row r="2008" spans="3:3" x14ac:dyDescent="0.25">
      <c r="C2008" s="14" t="s">
        <v>3851</v>
      </c>
    </row>
    <row r="2009" spans="3:3" x14ac:dyDescent="0.25">
      <c r="C2009" s="14" t="s">
        <v>3879</v>
      </c>
    </row>
    <row r="2010" spans="3:3" x14ac:dyDescent="0.25">
      <c r="C2010" s="14" t="s">
        <v>4514</v>
      </c>
    </row>
    <row r="2011" spans="3:3" x14ac:dyDescent="0.25">
      <c r="C2011" s="14" t="s">
        <v>4549</v>
      </c>
    </row>
    <row r="2012" spans="3:3" x14ac:dyDescent="0.25">
      <c r="C2012" s="14" t="s">
        <v>4228</v>
      </c>
    </row>
    <row r="2013" spans="3:3" x14ac:dyDescent="0.25">
      <c r="C2013" s="14" t="s">
        <v>4259</v>
      </c>
    </row>
    <row r="2014" spans="3:3" x14ac:dyDescent="0.25">
      <c r="C2014" s="14" t="s">
        <v>4421</v>
      </c>
    </row>
    <row r="2015" spans="3:3" ht="30" x14ac:dyDescent="0.25">
      <c r="C2015" s="14" t="s">
        <v>4450</v>
      </c>
    </row>
    <row r="2016" spans="3:3" x14ac:dyDescent="0.25">
      <c r="C2016" s="14" t="s">
        <v>4589</v>
      </c>
    </row>
    <row r="2017" spans="3:3" ht="30" x14ac:dyDescent="0.25">
      <c r="C2017" s="14" t="s">
        <v>4633</v>
      </c>
    </row>
    <row r="2018" spans="3:3" x14ac:dyDescent="0.25">
      <c r="C2018" s="14" t="s">
        <v>4559</v>
      </c>
    </row>
    <row r="2019" spans="3:3" x14ac:dyDescent="0.25">
      <c r="C2019" s="14" t="s">
        <v>4578</v>
      </c>
    </row>
    <row r="2020" spans="3:3" x14ac:dyDescent="0.25">
      <c r="C2020" s="14" t="s">
        <v>3520</v>
      </c>
    </row>
    <row r="2021" spans="3:3" x14ac:dyDescent="0.25">
      <c r="C2021" s="14" t="s">
        <v>3467</v>
      </c>
    </row>
    <row r="2022" spans="3:3" x14ac:dyDescent="0.25">
      <c r="C2022" s="14" t="s">
        <v>3521</v>
      </c>
    </row>
    <row r="2023" spans="3:3" x14ac:dyDescent="0.25">
      <c r="C2023" s="14" t="s">
        <v>3534</v>
      </c>
    </row>
    <row r="2024" spans="3:3" x14ac:dyDescent="0.25">
      <c r="C2024" s="14" t="s">
        <v>3575</v>
      </c>
    </row>
    <row r="2025" spans="3:3" x14ac:dyDescent="0.25">
      <c r="C2025" s="14" t="s">
        <v>3882</v>
      </c>
    </row>
    <row r="2026" spans="3:3" x14ac:dyDescent="0.25">
      <c r="C2026" s="14" t="s">
        <v>3930</v>
      </c>
    </row>
    <row r="2027" spans="3:3" x14ac:dyDescent="0.25">
      <c r="C2027" s="14" t="s">
        <v>4732</v>
      </c>
    </row>
    <row r="2028" spans="3:3" x14ac:dyDescent="0.25">
      <c r="C2028" s="14" t="s">
        <v>4766</v>
      </c>
    </row>
    <row r="2029" spans="3:3" x14ac:dyDescent="0.25">
      <c r="C2029" s="14" t="s">
        <v>4589</v>
      </c>
    </row>
    <row r="2030" spans="3:3" x14ac:dyDescent="0.25">
      <c r="C2030" s="14" t="s">
        <v>4634</v>
      </c>
    </row>
    <row r="2031" spans="3:3" x14ac:dyDescent="0.25">
      <c r="C2031" s="14" t="s">
        <v>4635</v>
      </c>
    </row>
    <row r="2032" spans="3:3" x14ac:dyDescent="0.25">
      <c r="C2032" s="14" t="s">
        <v>3654</v>
      </c>
    </row>
    <row r="2033" spans="3:3" x14ac:dyDescent="0.25">
      <c r="C2033" s="14" t="s">
        <v>3702</v>
      </c>
    </row>
    <row r="2034" spans="3:3" x14ac:dyDescent="0.25">
      <c r="C2034" s="14" t="s">
        <v>4022</v>
      </c>
    </row>
    <row r="2035" spans="3:3" x14ac:dyDescent="0.25">
      <c r="C2035" s="14" t="s">
        <v>4042</v>
      </c>
    </row>
    <row r="2036" spans="3:3" x14ac:dyDescent="0.25">
      <c r="C2036" s="14" t="s">
        <v>3344</v>
      </c>
    </row>
    <row r="2037" spans="3:3" x14ac:dyDescent="0.25">
      <c r="C2037" s="14" t="s">
        <v>3467</v>
      </c>
    </row>
    <row r="2038" spans="3:3" x14ac:dyDescent="0.25">
      <c r="C2038" s="14" t="s">
        <v>3522</v>
      </c>
    </row>
    <row r="2039" spans="3:3" x14ac:dyDescent="0.25">
      <c r="C2039" s="14" t="s">
        <v>3523</v>
      </c>
    </row>
    <row r="2040" spans="3:3" x14ac:dyDescent="0.25">
      <c r="C2040" s="14" t="s">
        <v>3365</v>
      </c>
    </row>
    <row r="2041" spans="3:3" x14ac:dyDescent="0.25">
      <c r="C2041" s="14" t="s">
        <v>3455</v>
      </c>
    </row>
    <row r="2042" spans="3:3" x14ac:dyDescent="0.25">
      <c r="C2042" s="14" t="s">
        <v>3454</v>
      </c>
    </row>
    <row r="2043" spans="3:3" x14ac:dyDescent="0.25">
      <c r="C2043" s="14" t="s">
        <v>3582</v>
      </c>
    </row>
    <row r="2044" spans="3:3" x14ac:dyDescent="0.25">
      <c r="C2044" s="14" t="s">
        <v>3643</v>
      </c>
    </row>
    <row r="2045" spans="3:3" x14ac:dyDescent="0.25">
      <c r="C2045" s="14" t="s">
        <v>4052</v>
      </c>
    </row>
    <row r="2046" spans="3:3" x14ac:dyDescent="0.25">
      <c r="C2046" s="14" t="s">
        <v>4051</v>
      </c>
    </row>
    <row r="2047" spans="3:3" x14ac:dyDescent="0.25">
      <c r="C2047" s="14" t="s">
        <v>4061</v>
      </c>
    </row>
    <row r="2048" spans="3:3" x14ac:dyDescent="0.25">
      <c r="C2048" s="14" t="s">
        <v>4095</v>
      </c>
    </row>
    <row r="2049" spans="3:3" x14ac:dyDescent="0.25">
      <c r="C2049" s="14" t="s">
        <v>4304</v>
      </c>
    </row>
    <row r="2050" spans="3:3" x14ac:dyDescent="0.25">
      <c r="C2050" s="14" t="s">
        <v>4337</v>
      </c>
    </row>
    <row r="2051" spans="3:3" x14ac:dyDescent="0.25">
      <c r="C2051" s="14" t="s">
        <v>3977</v>
      </c>
    </row>
    <row r="2052" spans="3:3" x14ac:dyDescent="0.25">
      <c r="C2052" s="14" t="s">
        <v>4010</v>
      </c>
    </row>
    <row r="2053" spans="3:3" x14ac:dyDescent="0.25">
      <c r="C2053" s="14" t="s">
        <v>4688</v>
      </c>
    </row>
    <row r="2054" spans="3:3" ht="30" x14ac:dyDescent="0.25">
      <c r="C2054" s="14" t="s">
        <v>4724</v>
      </c>
    </row>
    <row r="2055" spans="3:3" x14ac:dyDescent="0.25">
      <c r="C2055" s="14" t="s">
        <v>4265</v>
      </c>
    </row>
    <row r="2056" spans="3:3" ht="30" x14ac:dyDescent="0.25">
      <c r="C2056" s="14" t="s">
        <v>4296</v>
      </c>
    </row>
    <row r="2057" spans="3:3" x14ac:dyDescent="0.25">
      <c r="C2057" s="14" t="s">
        <v>4421</v>
      </c>
    </row>
    <row r="2058" spans="3:3" x14ac:dyDescent="0.25">
      <c r="C2058" s="14" t="s">
        <v>4451</v>
      </c>
    </row>
    <row r="2059" spans="3:3" x14ac:dyDescent="0.25">
      <c r="C2059" s="14" t="s">
        <v>4559</v>
      </c>
    </row>
    <row r="2060" spans="3:3" x14ac:dyDescent="0.25">
      <c r="C2060" s="14" t="s">
        <v>4579</v>
      </c>
    </row>
    <row r="2061" spans="3:3" x14ac:dyDescent="0.25">
      <c r="C2061" s="14" t="s">
        <v>3287</v>
      </c>
    </row>
    <row r="2062" spans="3:3" ht="45" x14ac:dyDescent="0.25">
      <c r="C2062" s="14" t="s">
        <v>3345</v>
      </c>
    </row>
    <row r="2063" spans="3:3" x14ac:dyDescent="0.25">
      <c r="C2063" s="14" t="s">
        <v>3654</v>
      </c>
    </row>
    <row r="2064" spans="3:3" x14ac:dyDescent="0.25">
      <c r="C2064" s="14" t="s">
        <v>3703</v>
      </c>
    </row>
    <row r="2065" spans="3:3" x14ac:dyDescent="0.25">
      <c r="C2065" s="14" t="s">
        <v>4022</v>
      </c>
    </row>
    <row r="2066" spans="3:3" x14ac:dyDescent="0.25">
      <c r="C2066" s="14" t="s">
        <v>4043</v>
      </c>
    </row>
    <row r="2067" spans="3:3" x14ac:dyDescent="0.25">
      <c r="C2067" s="14" t="s">
        <v>3346</v>
      </c>
    </row>
    <row r="2068" spans="3:3" x14ac:dyDescent="0.25">
      <c r="C2068" s="14" t="s">
        <v>4349</v>
      </c>
    </row>
    <row r="2069" spans="3:3" x14ac:dyDescent="0.25">
      <c r="C2069" s="14" t="s">
        <v>4398</v>
      </c>
    </row>
    <row r="2070" spans="3:3" x14ac:dyDescent="0.25">
      <c r="C2070" s="14" t="s">
        <v>3781</v>
      </c>
    </row>
    <row r="2071" spans="3:3" ht="30" x14ac:dyDescent="0.25">
      <c r="C2071" s="14" t="s">
        <v>3840</v>
      </c>
    </row>
    <row r="2072" spans="3:3" x14ac:dyDescent="0.25">
      <c r="C2072" s="14" t="s">
        <v>3582</v>
      </c>
    </row>
    <row r="2073" spans="3:3" x14ac:dyDescent="0.25">
      <c r="C2073" s="14" t="s">
        <v>3644</v>
      </c>
    </row>
    <row r="2074" spans="3:3" x14ac:dyDescent="0.25">
      <c r="C2074" s="14" t="s">
        <v>3882</v>
      </c>
    </row>
    <row r="2075" spans="3:3" x14ac:dyDescent="0.25">
      <c r="C2075" s="14" t="s">
        <v>3933</v>
      </c>
    </row>
    <row r="2076" spans="3:3" x14ac:dyDescent="0.25">
      <c r="C2076" s="14" t="s">
        <v>3931</v>
      </c>
    </row>
    <row r="2077" spans="3:3" x14ac:dyDescent="0.25">
      <c r="C2077" s="14" t="s">
        <v>3932</v>
      </c>
    </row>
    <row r="2078" spans="3:3" x14ac:dyDescent="0.25">
      <c r="C2078" s="14" t="s">
        <v>4052</v>
      </c>
    </row>
    <row r="2079" spans="3:3" x14ac:dyDescent="0.25">
      <c r="C2079" s="14" t="s">
        <v>4053</v>
      </c>
    </row>
    <row r="2080" spans="3:3" x14ac:dyDescent="0.25">
      <c r="C2080" s="14" t="s">
        <v>4061</v>
      </c>
    </row>
    <row r="2081" spans="3:3" x14ac:dyDescent="0.25">
      <c r="C2081" s="14" t="s">
        <v>4096</v>
      </c>
    </row>
    <row r="2082" spans="3:3" ht="30" x14ac:dyDescent="0.25">
      <c r="C2082" s="14" t="s">
        <v>4097</v>
      </c>
    </row>
    <row r="2083" spans="3:3" x14ac:dyDescent="0.25">
      <c r="C2083" s="14" t="s">
        <v>4304</v>
      </c>
    </row>
    <row r="2084" spans="3:3" x14ac:dyDescent="0.25">
      <c r="C2084" s="14" t="s">
        <v>4338</v>
      </c>
    </row>
    <row r="2085" spans="3:3" x14ac:dyDescent="0.25">
      <c r="C2085" s="14" t="s">
        <v>4167</v>
      </c>
    </row>
    <row r="2086" spans="3:3" x14ac:dyDescent="0.25">
      <c r="C2086" s="14" t="s">
        <v>4199</v>
      </c>
    </row>
    <row r="2087" spans="3:3" ht="45" x14ac:dyDescent="0.25">
      <c r="C2087" s="14" t="s">
        <v>4200</v>
      </c>
    </row>
    <row r="2088" spans="3:3" x14ac:dyDescent="0.25">
      <c r="C2088" s="14" t="s">
        <v>3977</v>
      </c>
    </row>
    <row r="2089" spans="3:3" x14ac:dyDescent="0.25">
      <c r="C2089" s="14" t="s">
        <v>4011</v>
      </c>
    </row>
    <row r="2090" spans="3:3" x14ac:dyDescent="0.25">
      <c r="C2090" s="14" t="s">
        <v>3851</v>
      </c>
    </row>
    <row r="2091" spans="3:3" ht="30" x14ac:dyDescent="0.25">
      <c r="C2091" s="14" t="s">
        <v>3880</v>
      </c>
    </row>
    <row r="2092" spans="3:3" x14ac:dyDescent="0.25">
      <c r="C2092" s="14" t="s">
        <v>3750</v>
      </c>
    </row>
    <row r="2093" spans="3:3" ht="30" x14ac:dyDescent="0.25">
      <c r="C2093" s="14" t="s">
        <v>3774</v>
      </c>
    </row>
    <row r="2094" spans="3:3" x14ac:dyDescent="0.25">
      <c r="C2094" s="14" t="s">
        <v>4688</v>
      </c>
    </row>
    <row r="2095" spans="3:3" x14ac:dyDescent="0.25">
      <c r="C2095" s="14" t="s">
        <v>4725</v>
      </c>
    </row>
    <row r="2096" spans="3:3" x14ac:dyDescent="0.25">
      <c r="C2096" s="14" t="s">
        <v>4514</v>
      </c>
    </row>
    <row r="2097" spans="3:3" ht="45" x14ac:dyDescent="0.25">
      <c r="C2097" s="14" t="s">
        <v>4550</v>
      </c>
    </row>
    <row r="2098" spans="3:3" x14ac:dyDescent="0.25">
      <c r="C2098" s="14" t="s">
        <v>4228</v>
      </c>
    </row>
    <row r="2099" spans="3:3" x14ac:dyDescent="0.25">
      <c r="C2099" s="14" t="s">
        <v>4260</v>
      </c>
    </row>
    <row r="2100" spans="3:3" x14ac:dyDescent="0.25">
      <c r="C2100" s="14" t="s">
        <v>4265</v>
      </c>
    </row>
    <row r="2101" spans="3:3" ht="30" x14ac:dyDescent="0.25">
      <c r="C2101" s="14" t="s">
        <v>4297</v>
      </c>
    </row>
    <row r="2102" spans="3:3" x14ac:dyDescent="0.25">
      <c r="C2102" s="14" t="s">
        <v>4104</v>
      </c>
    </row>
    <row r="2103" spans="3:3" x14ac:dyDescent="0.25">
      <c r="C2103" s="14" t="s">
        <v>4150</v>
      </c>
    </row>
    <row r="2104" spans="3:3" x14ac:dyDescent="0.25">
      <c r="C2104" s="14" t="s">
        <v>4459</v>
      </c>
    </row>
    <row r="2105" spans="3:3" x14ac:dyDescent="0.25">
      <c r="C2105" s="14" t="s">
        <v>4496</v>
      </c>
    </row>
    <row r="2106" spans="3:3" x14ac:dyDescent="0.25">
      <c r="C2106" s="14" t="s">
        <v>3287</v>
      </c>
    </row>
    <row r="2107" spans="3:3" x14ac:dyDescent="0.25">
      <c r="C2107" s="14" t="s">
        <v>3347</v>
      </c>
    </row>
    <row r="2108" spans="3:3" x14ac:dyDescent="0.25">
      <c r="C2108" s="14" t="s">
        <v>3654</v>
      </c>
    </row>
    <row r="2109" spans="3:3" x14ac:dyDescent="0.25">
      <c r="C2109" s="14" t="s">
        <v>3704</v>
      </c>
    </row>
    <row r="2110" spans="3:3" x14ac:dyDescent="0.25">
      <c r="C2110" s="14" t="s">
        <v>4645</v>
      </c>
    </row>
    <row r="2111" spans="3:3" ht="30" x14ac:dyDescent="0.25">
      <c r="C2111" s="14" t="s">
        <v>4681</v>
      </c>
    </row>
    <row r="2112" spans="3:3" x14ac:dyDescent="0.25">
      <c r="C2112" s="14" t="s">
        <v>4022</v>
      </c>
    </row>
    <row r="2113" spans="3:3" ht="30" x14ac:dyDescent="0.25">
      <c r="C2113" s="14" t="s">
        <v>4044</v>
      </c>
    </row>
    <row r="2114" spans="3:3" x14ac:dyDescent="0.25">
      <c r="C2114" s="14" t="s">
        <v>3348</v>
      </c>
    </row>
    <row r="2115" spans="3:3" x14ac:dyDescent="0.25">
      <c r="C2115" s="14" t="s">
        <v>3467</v>
      </c>
    </row>
    <row r="2116" spans="3:3" ht="30" x14ac:dyDescent="0.25">
      <c r="C2116" s="14" t="s">
        <v>3524</v>
      </c>
    </row>
    <row r="2117" spans="3:3" x14ac:dyDescent="0.25">
      <c r="C2117" s="14" t="s">
        <v>3365</v>
      </c>
    </row>
    <row r="2118" spans="3:3" ht="45" x14ac:dyDescent="0.25">
      <c r="C2118" s="14" t="s">
        <v>3456</v>
      </c>
    </row>
    <row r="2119" spans="3:3" x14ac:dyDescent="0.25">
      <c r="C2119" s="14" t="s">
        <v>3534</v>
      </c>
    </row>
    <row r="2120" spans="3:3" ht="30" x14ac:dyDescent="0.25">
      <c r="C2120" s="14" t="s">
        <v>3576</v>
      </c>
    </row>
    <row r="2121" spans="3:3" x14ac:dyDescent="0.25">
      <c r="C2121" s="14" t="s">
        <v>4349</v>
      </c>
    </row>
    <row r="2122" spans="3:3" x14ac:dyDescent="0.25">
      <c r="C2122" s="14" t="s">
        <v>4399</v>
      </c>
    </row>
    <row r="2123" spans="3:3" x14ac:dyDescent="0.25">
      <c r="C2123" s="14" t="s">
        <v>4400</v>
      </c>
    </row>
    <row r="2124" spans="3:3" ht="30" x14ac:dyDescent="0.25">
      <c r="C2124" s="14" t="s">
        <v>4401</v>
      </c>
    </row>
    <row r="2125" spans="3:3" x14ac:dyDescent="0.25">
      <c r="C2125" s="14" t="s">
        <v>3582</v>
      </c>
    </row>
    <row r="2126" spans="3:3" ht="60" x14ac:dyDescent="0.25">
      <c r="C2126" s="14" t="s">
        <v>3645</v>
      </c>
    </row>
    <row r="2127" spans="3:3" x14ac:dyDescent="0.25">
      <c r="C2127" s="14" t="s">
        <v>3882</v>
      </c>
    </row>
    <row r="2128" spans="3:3" x14ac:dyDescent="0.25">
      <c r="C2128" s="14" t="s">
        <v>3939</v>
      </c>
    </row>
    <row r="2129" spans="3:3" x14ac:dyDescent="0.25">
      <c r="C2129" s="14" t="s">
        <v>3941</v>
      </c>
    </row>
    <row r="2130" spans="3:3" x14ac:dyDescent="0.25">
      <c r="C2130" s="14" t="s">
        <v>3938</v>
      </c>
    </row>
    <row r="2131" spans="3:3" x14ac:dyDescent="0.25">
      <c r="C2131" s="14" t="s">
        <v>3937</v>
      </c>
    </row>
    <row r="2132" spans="3:3" x14ac:dyDescent="0.25">
      <c r="C2132" s="14" t="s">
        <v>3936</v>
      </c>
    </row>
    <row r="2133" spans="3:3" x14ac:dyDescent="0.25">
      <c r="C2133" s="14" t="s">
        <v>3940</v>
      </c>
    </row>
    <row r="2134" spans="3:3" x14ac:dyDescent="0.25">
      <c r="C2134" s="14" t="s">
        <v>3935</v>
      </c>
    </row>
    <row r="2135" spans="3:3" x14ac:dyDescent="0.25">
      <c r="C2135" s="14" t="s">
        <v>3934</v>
      </c>
    </row>
    <row r="2136" spans="3:3" x14ac:dyDescent="0.25">
      <c r="C2136" s="14" t="s">
        <v>4052</v>
      </c>
    </row>
    <row r="2137" spans="3:3" ht="30" x14ac:dyDescent="0.25">
      <c r="C2137" s="14" t="s">
        <v>4054</v>
      </c>
    </row>
    <row r="2138" spans="3:3" x14ac:dyDescent="0.25">
      <c r="C2138" s="14" t="s">
        <v>4061</v>
      </c>
    </row>
    <row r="2139" spans="3:3" ht="30" x14ac:dyDescent="0.25">
      <c r="C2139" s="14" t="s">
        <v>4098</v>
      </c>
    </row>
    <row r="2140" spans="3:3" x14ac:dyDescent="0.25">
      <c r="C2140" s="14" t="s">
        <v>4304</v>
      </c>
    </row>
    <row r="2141" spans="3:3" x14ac:dyDescent="0.25">
      <c r="C2141" s="14" t="s">
        <v>4339</v>
      </c>
    </row>
    <row r="2142" spans="3:3" x14ac:dyDescent="0.25">
      <c r="C2142" s="14" t="s">
        <v>3977</v>
      </c>
    </row>
    <row r="2143" spans="3:3" ht="45" x14ac:dyDescent="0.25">
      <c r="C2143" s="14" t="s">
        <v>4012</v>
      </c>
    </row>
    <row r="2144" spans="3:3" x14ac:dyDescent="0.25">
      <c r="C2144" s="14" t="s">
        <v>4514</v>
      </c>
    </row>
    <row r="2145" spans="3:3" x14ac:dyDescent="0.25">
      <c r="C2145" s="14" t="s">
        <v>4551</v>
      </c>
    </row>
    <row r="2146" spans="3:3" x14ac:dyDescent="0.25">
      <c r="C2146" s="14" t="s">
        <v>4228</v>
      </c>
    </row>
    <row r="2147" spans="3:3" x14ac:dyDescent="0.25">
      <c r="C2147" s="14" t="s">
        <v>4261</v>
      </c>
    </row>
    <row r="2148" spans="3:3" x14ac:dyDescent="0.25">
      <c r="C2148" s="14" t="s">
        <v>4732</v>
      </c>
    </row>
    <row r="2149" spans="3:3" ht="30" x14ac:dyDescent="0.25">
      <c r="C2149" s="14" t="s">
        <v>4767</v>
      </c>
    </row>
    <row r="2150" spans="3:3" x14ac:dyDescent="0.25">
      <c r="C2150" s="14" t="s">
        <v>4421</v>
      </c>
    </row>
    <row r="2151" spans="3:3" x14ac:dyDescent="0.25">
      <c r="C2151" s="14" t="s">
        <v>4453</v>
      </c>
    </row>
    <row r="2152" spans="3:3" x14ac:dyDescent="0.25">
      <c r="C2152" s="14" t="s">
        <v>4452</v>
      </c>
    </row>
    <row r="2153" spans="3:3" x14ac:dyDescent="0.25">
      <c r="C2153" s="14" t="s">
        <v>4104</v>
      </c>
    </row>
    <row r="2154" spans="3:3" ht="30" x14ac:dyDescent="0.25">
      <c r="C2154" s="14" t="s">
        <v>4151</v>
      </c>
    </row>
    <row r="2155" spans="3:3" x14ac:dyDescent="0.25">
      <c r="C2155" s="14" t="s">
        <v>4459</v>
      </c>
    </row>
    <row r="2156" spans="3:3" ht="30" x14ac:dyDescent="0.25">
      <c r="C2156" s="14" t="s">
        <v>4498</v>
      </c>
    </row>
    <row r="2157" spans="3:3" x14ac:dyDescent="0.25">
      <c r="C2157" s="14" t="s">
        <v>4500</v>
      </c>
    </row>
    <row r="2158" spans="3:3" x14ac:dyDescent="0.25">
      <c r="C2158" s="14" t="s">
        <v>4497</v>
      </c>
    </row>
    <row r="2159" spans="3:3" x14ac:dyDescent="0.25">
      <c r="C2159" s="14" t="s">
        <v>4499</v>
      </c>
    </row>
    <row r="2160" spans="3:3" x14ac:dyDescent="0.25">
      <c r="C2160" s="14" t="s">
        <v>4589</v>
      </c>
    </row>
    <row r="2161" spans="3:3" x14ac:dyDescent="0.25">
      <c r="C2161" s="14" t="s">
        <v>4636</v>
      </c>
    </row>
    <row r="2162" spans="3:3" x14ac:dyDescent="0.25">
      <c r="C2162" s="14" t="s">
        <v>4559</v>
      </c>
    </row>
    <row r="2163" spans="3:3" ht="45" x14ac:dyDescent="0.25">
      <c r="C2163" s="14" t="s">
        <v>4580</v>
      </c>
    </row>
    <row r="2164" spans="3:3" x14ac:dyDescent="0.25">
      <c r="C2164" s="14" t="s">
        <v>3287</v>
      </c>
    </row>
    <row r="2165" spans="3:3" ht="30" x14ac:dyDescent="0.25">
      <c r="C2165" s="14" t="s">
        <v>3349</v>
      </c>
    </row>
    <row r="2166" spans="3:3" x14ac:dyDescent="0.25">
      <c r="C2166" s="14" t="s">
        <v>3654</v>
      </c>
    </row>
    <row r="2167" spans="3:3" x14ac:dyDescent="0.25">
      <c r="C2167" s="14" t="s">
        <v>3705</v>
      </c>
    </row>
    <row r="2168" spans="3:3" x14ac:dyDescent="0.25">
      <c r="C2168" s="14" t="s">
        <v>4022</v>
      </c>
    </row>
    <row r="2169" spans="3:3" ht="60" x14ac:dyDescent="0.25">
      <c r="C2169" s="14" t="s">
        <v>4045</v>
      </c>
    </row>
    <row r="2170" spans="3:3" x14ac:dyDescent="0.25">
      <c r="C2170" s="14" t="s">
        <v>3706</v>
      </c>
    </row>
    <row r="2171" spans="3:3" x14ac:dyDescent="0.25">
      <c r="C2171" s="14" t="s">
        <v>4732</v>
      </c>
    </row>
    <row r="2172" spans="3:3" x14ac:dyDescent="0.25">
      <c r="C2172" s="14" t="s">
        <v>4768</v>
      </c>
    </row>
    <row r="2173" spans="3:3" x14ac:dyDescent="0.25">
      <c r="C2173" s="14" t="s">
        <v>3654</v>
      </c>
    </row>
    <row r="2174" spans="3:3" x14ac:dyDescent="0.25">
      <c r="C2174" s="14" t="s">
        <v>3707</v>
      </c>
    </row>
    <row r="2175" spans="3:3" x14ac:dyDescent="0.25">
      <c r="C2175" s="14" t="s">
        <v>3350</v>
      </c>
    </row>
    <row r="2176" spans="3:3" x14ac:dyDescent="0.25">
      <c r="C2176" s="14" t="s">
        <v>3467</v>
      </c>
    </row>
    <row r="2177" spans="3:3" x14ac:dyDescent="0.25">
      <c r="C2177" s="14" t="s">
        <v>3525</v>
      </c>
    </row>
    <row r="2178" spans="3:3" x14ac:dyDescent="0.25">
      <c r="C2178" s="14" t="s">
        <v>3534</v>
      </c>
    </row>
    <row r="2179" spans="3:3" ht="45" x14ac:dyDescent="0.25">
      <c r="C2179" s="14" t="s">
        <v>3577</v>
      </c>
    </row>
    <row r="2180" spans="3:3" x14ac:dyDescent="0.25">
      <c r="C2180" s="14" t="s">
        <v>4349</v>
      </c>
    </row>
    <row r="2181" spans="3:3" x14ac:dyDescent="0.25">
      <c r="C2181" s="14" t="s">
        <v>4402</v>
      </c>
    </row>
    <row r="2182" spans="3:3" x14ac:dyDescent="0.25">
      <c r="C2182" s="14" t="s">
        <v>4403</v>
      </c>
    </row>
    <row r="2183" spans="3:3" x14ac:dyDescent="0.25">
      <c r="C2183" s="14" t="s">
        <v>4404</v>
      </c>
    </row>
    <row r="2184" spans="3:3" x14ac:dyDescent="0.25">
      <c r="C2184" s="14" t="s">
        <v>4405</v>
      </c>
    </row>
    <row r="2185" spans="3:3" x14ac:dyDescent="0.25">
      <c r="C2185" s="14" t="s">
        <v>4406</v>
      </c>
    </row>
    <row r="2186" spans="3:3" x14ac:dyDescent="0.25">
      <c r="C2186" s="14" t="s">
        <v>3781</v>
      </c>
    </row>
    <row r="2187" spans="3:3" x14ac:dyDescent="0.25">
      <c r="C2187" s="14" t="s">
        <v>3841</v>
      </c>
    </row>
    <row r="2188" spans="3:3" x14ac:dyDescent="0.25">
      <c r="C2188" s="14" t="s">
        <v>3582</v>
      </c>
    </row>
    <row r="2189" spans="3:3" ht="45" x14ac:dyDescent="0.25">
      <c r="C2189" s="14" t="s">
        <v>3646</v>
      </c>
    </row>
    <row r="2190" spans="3:3" x14ac:dyDescent="0.25">
      <c r="C2190" s="14" t="s">
        <v>3882</v>
      </c>
    </row>
    <row r="2191" spans="3:3" x14ac:dyDescent="0.25">
      <c r="C2191" s="14" t="s">
        <v>3949</v>
      </c>
    </row>
    <row r="2192" spans="3:3" x14ac:dyDescent="0.25">
      <c r="C2192" s="14" t="s">
        <v>3947</v>
      </c>
    </row>
    <row r="2193" spans="3:3" x14ac:dyDescent="0.25">
      <c r="C2193" s="14" t="s">
        <v>3942</v>
      </c>
    </row>
    <row r="2194" spans="3:3" x14ac:dyDescent="0.25">
      <c r="C2194" s="14" t="s">
        <v>3944</v>
      </c>
    </row>
    <row r="2195" spans="3:3" x14ac:dyDescent="0.25">
      <c r="C2195" s="14" t="s">
        <v>3945</v>
      </c>
    </row>
    <row r="2196" spans="3:3" x14ac:dyDescent="0.25">
      <c r="C2196" s="14" t="s">
        <v>3943</v>
      </c>
    </row>
    <row r="2197" spans="3:3" x14ac:dyDescent="0.25">
      <c r="C2197" s="14" t="s">
        <v>3950</v>
      </c>
    </row>
    <row r="2198" spans="3:3" x14ac:dyDescent="0.25">
      <c r="C2198" s="14" t="s">
        <v>3948</v>
      </c>
    </row>
    <row r="2199" spans="3:3" x14ac:dyDescent="0.25">
      <c r="C2199" s="14" t="s">
        <v>3946</v>
      </c>
    </row>
    <row r="2200" spans="3:3" x14ac:dyDescent="0.25">
      <c r="C2200" s="14" t="s">
        <v>4061</v>
      </c>
    </row>
    <row r="2201" spans="3:3" ht="30" x14ac:dyDescent="0.25">
      <c r="C2201" s="14" t="s">
        <v>4099</v>
      </c>
    </row>
    <row r="2202" spans="3:3" x14ac:dyDescent="0.25">
      <c r="C2202" s="14" t="s">
        <v>4304</v>
      </c>
    </row>
    <row r="2203" spans="3:3" ht="30" x14ac:dyDescent="0.25">
      <c r="C2203" s="14" t="s">
        <v>4340</v>
      </c>
    </row>
    <row r="2204" spans="3:3" x14ac:dyDescent="0.25">
      <c r="C2204" s="14" t="s">
        <v>4167</v>
      </c>
    </row>
    <row r="2205" spans="3:3" ht="30" x14ac:dyDescent="0.25">
      <c r="C2205" s="14" t="s">
        <v>4201</v>
      </c>
    </row>
    <row r="2206" spans="3:3" x14ac:dyDescent="0.25">
      <c r="C2206" s="14" t="s">
        <v>3977</v>
      </c>
    </row>
    <row r="2207" spans="3:3" ht="30" x14ac:dyDescent="0.25">
      <c r="C2207" s="14" t="s">
        <v>4013</v>
      </c>
    </row>
    <row r="2208" spans="3:3" x14ac:dyDescent="0.25">
      <c r="C2208" s="14" t="s">
        <v>3750</v>
      </c>
    </row>
    <row r="2209" spans="3:3" x14ac:dyDescent="0.25">
      <c r="C2209" s="14" t="s">
        <v>3775</v>
      </c>
    </row>
    <row r="2210" spans="3:3" x14ac:dyDescent="0.25">
      <c r="C2210" s="14" t="s">
        <v>4688</v>
      </c>
    </row>
    <row r="2211" spans="3:3" ht="30" x14ac:dyDescent="0.25">
      <c r="C2211" s="14" t="s">
        <v>4726</v>
      </c>
    </row>
    <row r="2212" spans="3:3" x14ac:dyDescent="0.25">
      <c r="C2212" s="14" t="s">
        <v>4514</v>
      </c>
    </row>
    <row r="2213" spans="3:3" ht="30" x14ac:dyDescent="0.25">
      <c r="C2213" s="14" t="s">
        <v>4552</v>
      </c>
    </row>
    <row r="2214" spans="3:3" x14ac:dyDescent="0.25">
      <c r="C2214" s="14" t="s">
        <v>4732</v>
      </c>
    </row>
    <row r="2215" spans="3:3" ht="60" x14ac:dyDescent="0.25">
      <c r="C2215" s="14" t="s">
        <v>4769</v>
      </c>
    </row>
    <row r="2216" spans="3:3" x14ac:dyDescent="0.25">
      <c r="C2216" s="14" t="s">
        <v>4265</v>
      </c>
    </row>
    <row r="2217" spans="3:3" ht="30" x14ac:dyDescent="0.25">
      <c r="C2217" s="14" t="s">
        <v>4298</v>
      </c>
    </row>
    <row r="2218" spans="3:3" x14ac:dyDescent="0.25">
      <c r="C2218" s="14" t="s">
        <v>4421</v>
      </c>
    </row>
    <row r="2219" spans="3:3" x14ac:dyDescent="0.25">
      <c r="C2219" s="14" t="s">
        <v>4454</v>
      </c>
    </row>
    <row r="2220" spans="3:3" x14ac:dyDescent="0.25">
      <c r="C2220" s="14" t="s">
        <v>4104</v>
      </c>
    </row>
    <row r="2221" spans="3:3" x14ac:dyDescent="0.25">
      <c r="C2221" s="14" t="s">
        <v>4154</v>
      </c>
    </row>
    <row r="2222" spans="3:3" x14ac:dyDescent="0.25">
      <c r="C2222" s="14" t="s">
        <v>4153</v>
      </c>
    </row>
    <row r="2223" spans="3:3" x14ac:dyDescent="0.25">
      <c r="C2223" s="14" t="s">
        <v>4152</v>
      </c>
    </row>
    <row r="2224" spans="3:3" x14ac:dyDescent="0.25">
      <c r="C2224" s="14" t="s">
        <v>4589</v>
      </c>
    </row>
    <row r="2225" spans="3:3" ht="45" x14ac:dyDescent="0.25">
      <c r="C2225" s="14" t="s">
        <v>4637</v>
      </c>
    </row>
    <row r="2226" spans="3:3" x14ac:dyDescent="0.25">
      <c r="C2226" s="14" t="s">
        <v>4559</v>
      </c>
    </row>
    <row r="2227" spans="3:3" ht="30" x14ac:dyDescent="0.25">
      <c r="C2227" s="14" t="s">
        <v>4581</v>
      </c>
    </row>
    <row r="2228" spans="3:3" x14ac:dyDescent="0.25">
      <c r="C2228" s="14" t="s">
        <v>3287</v>
      </c>
    </row>
    <row r="2229" spans="3:3" ht="60" x14ac:dyDescent="0.25">
      <c r="C2229" s="14" t="s">
        <v>3351</v>
      </c>
    </row>
    <row r="2230" spans="3:3" x14ac:dyDescent="0.25">
      <c r="C2230" s="14" t="s">
        <v>3654</v>
      </c>
    </row>
    <row r="2231" spans="3:3" x14ac:dyDescent="0.25">
      <c r="C2231" s="14" t="s">
        <v>3708</v>
      </c>
    </row>
    <row r="2232" spans="3:3" x14ac:dyDescent="0.25">
      <c r="C2232" s="14" t="s">
        <v>4022</v>
      </c>
    </row>
    <row r="2233" spans="3:3" ht="45" x14ac:dyDescent="0.25">
      <c r="C2233" s="14" t="s">
        <v>4046</v>
      </c>
    </row>
    <row r="2234" spans="3:3" x14ac:dyDescent="0.25">
      <c r="C2234" s="14" t="s">
        <v>3352</v>
      </c>
    </row>
    <row r="2235" spans="3:3" x14ac:dyDescent="0.25">
      <c r="C2235" s="14" t="s">
        <v>3467</v>
      </c>
    </row>
    <row r="2236" spans="3:3" ht="30" x14ac:dyDescent="0.25">
      <c r="C2236" s="14" t="s">
        <v>3526</v>
      </c>
    </row>
    <row r="2237" spans="3:3" x14ac:dyDescent="0.25">
      <c r="C2237" s="14" t="s">
        <v>3365</v>
      </c>
    </row>
    <row r="2238" spans="3:3" x14ac:dyDescent="0.25">
      <c r="C2238" s="14" t="s">
        <v>3458</v>
      </c>
    </row>
    <row r="2239" spans="3:3" x14ac:dyDescent="0.25">
      <c r="C2239" s="14" t="s">
        <v>3457</v>
      </c>
    </row>
    <row r="2240" spans="3:3" x14ac:dyDescent="0.25">
      <c r="C2240" s="14" t="s">
        <v>4349</v>
      </c>
    </row>
    <row r="2241" spans="3:3" x14ac:dyDescent="0.25">
      <c r="C2241" s="14" t="s">
        <v>4407</v>
      </c>
    </row>
    <row r="2242" spans="3:3" x14ac:dyDescent="0.25">
      <c r="C2242" s="14" t="s">
        <v>3882</v>
      </c>
    </row>
    <row r="2243" spans="3:3" x14ac:dyDescent="0.25">
      <c r="C2243" s="14" t="s">
        <v>3951</v>
      </c>
    </row>
    <row r="2244" spans="3:3" x14ac:dyDescent="0.25">
      <c r="C2244" s="14" t="s">
        <v>4052</v>
      </c>
    </row>
    <row r="2245" spans="3:3" x14ac:dyDescent="0.25">
      <c r="C2245" s="14" t="s">
        <v>4055</v>
      </c>
    </row>
    <row r="2246" spans="3:3" x14ac:dyDescent="0.25">
      <c r="C2246" s="14" t="s">
        <v>4304</v>
      </c>
    </row>
    <row r="2247" spans="3:3" x14ac:dyDescent="0.25">
      <c r="C2247" s="14" t="s">
        <v>4341</v>
      </c>
    </row>
    <row r="2248" spans="3:3" x14ac:dyDescent="0.25">
      <c r="C2248" s="14" t="s">
        <v>4514</v>
      </c>
    </row>
    <row r="2249" spans="3:3" x14ac:dyDescent="0.25">
      <c r="C2249" s="14" t="s">
        <v>4553</v>
      </c>
    </row>
    <row r="2250" spans="3:3" x14ac:dyDescent="0.25">
      <c r="C2250" s="14" t="s">
        <v>4459</v>
      </c>
    </row>
    <row r="2251" spans="3:3" x14ac:dyDescent="0.25">
      <c r="C2251" s="14" t="s">
        <v>4501</v>
      </c>
    </row>
    <row r="2252" spans="3:3" x14ac:dyDescent="0.25">
      <c r="C2252" s="14" t="s">
        <v>4589</v>
      </c>
    </row>
    <row r="2253" spans="3:3" ht="30" x14ac:dyDescent="0.25">
      <c r="C2253" s="14" t="s">
        <v>4638</v>
      </c>
    </row>
    <row r="2254" spans="3:3" x14ac:dyDescent="0.25">
      <c r="C2254" s="14" t="s">
        <v>3287</v>
      </c>
    </row>
    <row r="2255" spans="3:3" x14ac:dyDescent="0.25">
      <c r="C2255" s="14" t="s">
        <v>3353</v>
      </c>
    </row>
    <row r="2256" spans="3:3" x14ac:dyDescent="0.25">
      <c r="C2256" s="14" t="s">
        <v>3654</v>
      </c>
    </row>
    <row r="2257" spans="3:3" x14ac:dyDescent="0.25">
      <c r="C2257" s="14" t="s">
        <v>3709</v>
      </c>
    </row>
    <row r="2258" spans="3:3" x14ac:dyDescent="0.25">
      <c r="C2258" s="14" t="s">
        <v>3459</v>
      </c>
    </row>
    <row r="2259" spans="3:3" x14ac:dyDescent="0.25">
      <c r="C2259" s="14" t="s">
        <v>3365</v>
      </c>
    </row>
    <row r="2260" spans="3:3" x14ac:dyDescent="0.25">
      <c r="C2260" s="14" t="s">
        <v>3460</v>
      </c>
    </row>
    <row r="2261" spans="3:3" x14ac:dyDescent="0.25">
      <c r="C2261" s="14" t="s">
        <v>3534</v>
      </c>
    </row>
    <row r="2262" spans="3:3" ht="30" x14ac:dyDescent="0.25">
      <c r="C2262" s="14" t="s">
        <v>3578</v>
      </c>
    </row>
    <row r="2263" spans="3:3" x14ac:dyDescent="0.25">
      <c r="C2263" s="14" t="s">
        <v>4349</v>
      </c>
    </row>
    <row r="2264" spans="3:3" x14ac:dyDescent="0.25">
      <c r="C2264" s="14" t="s">
        <v>4408</v>
      </c>
    </row>
    <row r="2265" spans="3:3" x14ac:dyDescent="0.25">
      <c r="C2265" s="14" t="s">
        <v>3781</v>
      </c>
    </row>
    <row r="2266" spans="3:3" x14ac:dyDescent="0.25">
      <c r="C2266" s="14" t="s">
        <v>3842</v>
      </c>
    </row>
    <row r="2267" spans="3:3" x14ac:dyDescent="0.25">
      <c r="C2267" s="14" t="s">
        <v>3844</v>
      </c>
    </row>
    <row r="2268" spans="3:3" x14ac:dyDescent="0.25">
      <c r="C2268" s="14" t="s">
        <v>3843</v>
      </c>
    </row>
    <row r="2269" spans="3:3" x14ac:dyDescent="0.25">
      <c r="C2269" s="14" t="s">
        <v>3582</v>
      </c>
    </row>
    <row r="2270" spans="3:3" ht="30" x14ac:dyDescent="0.25">
      <c r="C2270" s="14" t="s">
        <v>3647</v>
      </c>
    </row>
    <row r="2271" spans="3:3" x14ac:dyDescent="0.25">
      <c r="C2271" s="14" t="s">
        <v>3882</v>
      </c>
    </row>
    <row r="2272" spans="3:3" x14ac:dyDescent="0.25">
      <c r="C2272" s="14" t="s">
        <v>3954</v>
      </c>
    </row>
    <row r="2273" spans="3:3" x14ac:dyDescent="0.25">
      <c r="C2273" s="14" t="s">
        <v>3955</v>
      </c>
    </row>
    <row r="2274" spans="3:3" x14ac:dyDescent="0.25">
      <c r="C2274" s="14" t="s">
        <v>3956</v>
      </c>
    </row>
    <row r="2275" spans="3:3" x14ac:dyDescent="0.25">
      <c r="C2275" s="14" t="s">
        <v>3953</v>
      </c>
    </row>
    <row r="2276" spans="3:3" x14ac:dyDescent="0.25">
      <c r="C2276" s="14" t="s">
        <v>3952</v>
      </c>
    </row>
    <row r="2277" spans="3:3" x14ac:dyDescent="0.25">
      <c r="C2277" s="14" t="s">
        <v>4061</v>
      </c>
    </row>
    <row r="2278" spans="3:3" x14ac:dyDescent="0.25">
      <c r="C2278" s="14" t="s">
        <v>4100</v>
      </c>
    </row>
    <row r="2279" spans="3:3" x14ac:dyDescent="0.25">
      <c r="C2279" s="14" t="s">
        <v>4167</v>
      </c>
    </row>
    <row r="2280" spans="3:3" x14ac:dyDescent="0.25">
      <c r="C2280" s="14" t="s">
        <v>4202</v>
      </c>
    </row>
    <row r="2281" spans="3:3" x14ac:dyDescent="0.25">
      <c r="C2281" s="14" t="s">
        <v>3977</v>
      </c>
    </row>
    <row r="2282" spans="3:3" x14ac:dyDescent="0.25">
      <c r="C2282" s="14" t="s">
        <v>4014</v>
      </c>
    </row>
    <row r="2283" spans="3:3" x14ac:dyDescent="0.25">
      <c r="C2283" s="14" t="s">
        <v>4514</v>
      </c>
    </row>
    <row r="2284" spans="3:3" x14ac:dyDescent="0.25">
      <c r="C2284" s="14" t="s">
        <v>4554</v>
      </c>
    </row>
    <row r="2285" spans="3:3" x14ac:dyDescent="0.25">
      <c r="C2285" s="14" t="s">
        <v>4732</v>
      </c>
    </row>
    <row r="2286" spans="3:3" x14ac:dyDescent="0.25">
      <c r="C2286" s="14" t="s">
        <v>4770</v>
      </c>
    </row>
    <row r="2287" spans="3:3" x14ac:dyDescent="0.25">
      <c r="C2287" s="14" t="s">
        <v>4265</v>
      </c>
    </row>
    <row r="2288" spans="3:3" ht="30" x14ac:dyDescent="0.25">
      <c r="C2288" s="14" t="s">
        <v>4299</v>
      </c>
    </row>
    <row r="2289" spans="3:3" x14ac:dyDescent="0.25">
      <c r="C2289" s="14" t="s">
        <v>4421</v>
      </c>
    </row>
    <row r="2290" spans="3:3" x14ac:dyDescent="0.25">
      <c r="C2290" s="14" t="s">
        <v>4455</v>
      </c>
    </row>
    <row r="2291" spans="3:3" x14ac:dyDescent="0.25">
      <c r="C2291" s="14" t="s">
        <v>4104</v>
      </c>
    </row>
    <row r="2292" spans="3:3" x14ac:dyDescent="0.25">
      <c r="C2292" s="14" t="s">
        <v>4156</v>
      </c>
    </row>
    <row r="2293" spans="3:3" x14ac:dyDescent="0.25">
      <c r="C2293" s="14" t="s">
        <v>4155</v>
      </c>
    </row>
    <row r="2294" spans="3:3" x14ac:dyDescent="0.25">
      <c r="C2294" s="14" t="s">
        <v>4589</v>
      </c>
    </row>
    <row r="2295" spans="3:3" ht="30" x14ac:dyDescent="0.25">
      <c r="C2295" s="14" t="s">
        <v>4639</v>
      </c>
    </row>
    <row r="2296" spans="3:3" x14ac:dyDescent="0.25">
      <c r="C2296" s="14" t="s">
        <v>4559</v>
      </c>
    </row>
    <row r="2297" spans="3:3" ht="30" x14ac:dyDescent="0.25">
      <c r="C2297" s="14" t="s">
        <v>4582</v>
      </c>
    </row>
    <row r="2298" spans="3:3" x14ac:dyDescent="0.25">
      <c r="C2298" s="14" t="s">
        <v>3654</v>
      </c>
    </row>
    <row r="2299" spans="3:3" x14ac:dyDescent="0.25">
      <c r="C2299" s="14" t="s">
        <v>3710</v>
      </c>
    </row>
    <row r="2300" spans="3:3" x14ac:dyDescent="0.25">
      <c r="C2300" s="14" t="s">
        <v>4645</v>
      </c>
    </row>
    <row r="2301" spans="3:3" x14ac:dyDescent="0.25">
      <c r="C2301" s="14" t="s">
        <v>4682</v>
      </c>
    </row>
    <row r="2302" spans="3:3" x14ac:dyDescent="0.25">
      <c r="C2302" s="14" t="s">
        <v>3354</v>
      </c>
    </row>
    <row r="2303" spans="3:3" x14ac:dyDescent="0.25">
      <c r="C2303" s="14" t="s">
        <v>3467</v>
      </c>
    </row>
    <row r="2304" spans="3:3" x14ac:dyDescent="0.25">
      <c r="C2304" s="14" t="s">
        <v>3528</v>
      </c>
    </row>
    <row r="2305" spans="3:3" x14ac:dyDescent="0.25">
      <c r="C2305" s="14" t="s">
        <v>3527</v>
      </c>
    </row>
    <row r="2306" spans="3:3" x14ac:dyDescent="0.25">
      <c r="C2306" s="14" t="s">
        <v>4349</v>
      </c>
    </row>
    <row r="2307" spans="3:3" ht="30" x14ac:dyDescent="0.25">
      <c r="C2307" s="14" t="s">
        <v>4414</v>
      </c>
    </row>
    <row r="2308" spans="3:3" x14ac:dyDescent="0.25">
      <c r="C2308" s="14" t="s">
        <v>4412</v>
      </c>
    </row>
    <row r="2309" spans="3:3" x14ac:dyDescent="0.25">
      <c r="C2309" s="14" t="s">
        <v>4413</v>
      </c>
    </row>
    <row r="2310" spans="3:3" x14ac:dyDescent="0.25">
      <c r="C2310" s="14" t="s">
        <v>4411</v>
      </c>
    </row>
    <row r="2311" spans="3:3" x14ac:dyDescent="0.25">
      <c r="C2311" s="14" t="s">
        <v>4409</v>
      </c>
    </row>
    <row r="2312" spans="3:3" x14ac:dyDescent="0.25">
      <c r="C2312" s="14" t="s">
        <v>4410</v>
      </c>
    </row>
    <row r="2313" spans="3:3" x14ac:dyDescent="0.25">
      <c r="C2313" s="14" t="s">
        <v>3781</v>
      </c>
    </row>
    <row r="2314" spans="3:3" x14ac:dyDescent="0.25">
      <c r="C2314" s="14" t="s">
        <v>3846</v>
      </c>
    </row>
    <row r="2315" spans="3:3" x14ac:dyDescent="0.25">
      <c r="C2315" s="14" t="s">
        <v>3847</v>
      </c>
    </row>
    <row r="2316" spans="3:3" x14ac:dyDescent="0.25">
      <c r="C2316" s="14" t="s">
        <v>3845</v>
      </c>
    </row>
    <row r="2317" spans="3:3" x14ac:dyDescent="0.25">
      <c r="C2317" s="14" t="s">
        <v>3582</v>
      </c>
    </row>
    <row r="2318" spans="3:3" ht="30" x14ac:dyDescent="0.25">
      <c r="C2318" s="14" t="s">
        <v>3648</v>
      </c>
    </row>
    <row r="2319" spans="3:3" x14ac:dyDescent="0.25">
      <c r="C2319" s="14" t="s">
        <v>3882</v>
      </c>
    </row>
    <row r="2320" spans="3:3" x14ac:dyDescent="0.25">
      <c r="C2320" s="14" t="s">
        <v>3961</v>
      </c>
    </row>
    <row r="2321" spans="3:3" x14ac:dyDescent="0.25">
      <c r="C2321" s="14" t="s">
        <v>3958</v>
      </c>
    </row>
    <row r="2322" spans="3:3" x14ac:dyDescent="0.25">
      <c r="C2322" s="14" t="s">
        <v>3962</v>
      </c>
    </row>
    <row r="2323" spans="3:3" x14ac:dyDescent="0.25">
      <c r="C2323" s="14" t="s">
        <v>3963</v>
      </c>
    </row>
    <row r="2324" spans="3:3" x14ac:dyDescent="0.25">
      <c r="C2324" s="14" t="s">
        <v>3960</v>
      </c>
    </row>
    <row r="2325" spans="3:3" x14ac:dyDescent="0.25">
      <c r="C2325" s="14" t="s">
        <v>3959</v>
      </c>
    </row>
    <row r="2326" spans="3:3" x14ac:dyDescent="0.25">
      <c r="C2326" s="14" t="s">
        <v>3957</v>
      </c>
    </row>
    <row r="2327" spans="3:3" x14ac:dyDescent="0.25">
      <c r="C2327" s="14" t="s">
        <v>4052</v>
      </c>
    </row>
    <row r="2328" spans="3:3" ht="45" x14ac:dyDescent="0.25">
      <c r="C2328" s="14" t="s">
        <v>4056</v>
      </c>
    </row>
    <row r="2329" spans="3:3" x14ac:dyDescent="0.25">
      <c r="C2329" s="14" t="s">
        <v>4061</v>
      </c>
    </row>
    <row r="2330" spans="3:3" x14ac:dyDescent="0.25">
      <c r="C2330" s="14" t="s">
        <v>4101</v>
      </c>
    </row>
    <row r="2331" spans="3:3" x14ac:dyDescent="0.25">
      <c r="C2331" s="14" t="s">
        <v>4304</v>
      </c>
    </row>
    <row r="2332" spans="3:3" x14ac:dyDescent="0.25">
      <c r="C2332" s="14" t="s">
        <v>4342</v>
      </c>
    </row>
    <row r="2333" spans="3:3" x14ac:dyDescent="0.25">
      <c r="C2333" s="14" t="s">
        <v>4167</v>
      </c>
    </row>
    <row r="2334" spans="3:3" ht="30" x14ac:dyDescent="0.25">
      <c r="C2334" s="14" t="s">
        <v>4203</v>
      </c>
    </row>
    <row r="2335" spans="3:3" x14ac:dyDescent="0.25">
      <c r="C2335" s="14" t="s">
        <v>3977</v>
      </c>
    </row>
    <row r="2336" spans="3:3" x14ac:dyDescent="0.25">
      <c r="C2336" s="14" t="s">
        <v>4015</v>
      </c>
    </row>
    <row r="2337" spans="3:3" x14ac:dyDescent="0.25">
      <c r="C2337" s="14" t="s">
        <v>3750</v>
      </c>
    </row>
    <row r="2338" spans="3:3" ht="30" x14ac:dyDescent="0.25">
      <c r="C2338" s="14" t="s">
        <v>3776</v>
      </c>
    </row>
    <row r="2339" spans="3:3" x14ac:dyDescent="0.25">
      <c r="C2339" s="14" t="s">
        <v>4688</v>
      </c>
    </row>
    <row r="2340" spans="3:3" x14ac:dyDescent="0.25">
      <c r="C2340" s="14" t="s">
        <v>4727</v>
      </c>
    </row>
    <row r="2341" spans="3:3" x14ac:dyDescent="0.25">
      <c r="C2341" s="14" t="s">
        <v>4514</v>
      </c>
    </row>
    <row r="2342" spans="3:3" ht="30" x14ac:dyDescent="0.25">
      <c r="C2342" s="14" t="s">
        <v>4555</v>
      </c>
    </row>
    <row r="2343" spans="3:3" x14ac:dyDescent="0.25">
      <c r="C2343" s="14" t="s">
        <v>4732</v>
      </c>
    </row>
    <row r="2344" spans="3:3" ht="30" x14ac:dyDescent="0.25">
      <c r="C2344" s="14" t="s">
        <v>4771</v>
      </c>
    </row>
    <row r="2345" spans="3:3" x14ac:dyDescent="0.25">
      <c r="C2345" s="14" t="s">
        <v>4772</v>
      </c>
    </row>
    <row r="2346" spans="3:3" x14ac:dyDescent="0.25">
      <c r="C2346" s="14" t="s">
        <v>4265</v>
      </c>
    </row>
    <row r="2347" spans="3:3" ht="30" x14ac:dyDescent="0.25">
      <c r="C2347" s="14" t="s">
        <v>4300</v>
      </c>
    </row>
    <row r="2348" spans="3:3" x14ac:dyDescent="0.25">
      <c r="C2348" s="14" t="s">
        <v>4104</v>
      </c>
    </row>
    <row r="2349" spans="3:3" x14ac:dyDescent="0.25">
      <c r="C2349" s="14" t="s">
        <v>4158</v>
      </c>
    </row>
    <row r="2350" spans="3:3" x14ac:dyDescent="0.25">
      <c r="C2350" s="14" t="s">
        <v>4157</v>
      </c>
    </row>
    <row r="2351" spans="3:3" x14ac:dyDescent="0.25">
      <c r="C2351" s="14" t="s">
        <v>4160</v>
      </c>
    </row>
    <row r="2352" spans="3:3" x14ac:dyDescent="0.25">
      <c r="C2352" s="14" t="s">
        <v>4159</v>
      </c>
    </row>
    <row r="2353" spans="3:3" x14ac:dyDescent="0.25">
      <c r="C2353" s="14" t="s">
        <v>4459</v>
      </c>
    </row>
    <row r="2354" spans="3:3" x14ac:dyDescent="0.25">
      <c r="C2354" s="14" t="s">
        <v>4502</v>
      </c>
    </row>
    <row r="2355" spans="3:3" x14ac:dyDescent="0.25">
      <c r="C2355" s="14" t="s">
        <v>4589</v>
      </c>
    </row>
    <row r="2356" spans="3:3" x14ac:dyDescent="0.25">
      <c r="C2356" s="14" t="s">
        <v>4640</v>
      </c>
    </row>
    <row r="2357" spans="3:3" x14ac:dyDescent="0.25">
      <c r="C2357" s="14" t="s">
        <v>4559</v>
      </c>
    </row>
    <row r="2358" spans="3:3" x14ac:dyDescent="0.25">
      <c r="C2358" s="14" t="s">
        <v>4583</v>
      </c>
    </row>
    <row r="2359" spans="3:3" x14ac:dyDescent="0.25">
      <c r="C2359" s="14" t="s">
        <v>3287</v>
      </c>
    </row>
    <row r="2360" spans="3:3" ht="30" x14ac:dyDescent="0.25">
      <c r="C2360" s="14" t="s">
        <v>3355</v>
      </c>
    </row>
    <row r="2361" spans="3:3" x14ac:dyDescent="0.25">
      <c r="C2361" s="14" t="s">
        <v>3654</v>
      </c>
    </row>
    <row r="2362" spans="3:3" x14ac:dyDescent="0.25">
      <c r="C2362" s="14" t="s">
        <v>3711</v>
      </c>
    </row>
    <row r="2363" spans="3:3" x14ac:dyDescent="0.25">
      <c r="C2363" s="14" t="s">
        <v>4645</v>
      </c>
    </row>
    <row r="2364" spans="3:3" ht="30" x14ac:dyDescent="0.25">
      <c r="C2364" s="14" t="s">
        <v>4683</v>
      </c>
    </row>
    <row r="2365" spans="3:3" x14ac:dyDescent="0.25">
      <c r="C2365" s="14" t="s">
        <v>4022</v>
      </c>
    </row>
    <row r="2366" spans="3:3" ht="30" x14ac:dyDescent="0.25">
      <c r="C2366" s="14" t="s">
        <v>4047</v>
      </c>
    </row>
    <row r="2367" spans="3:3" x14ac:dyDescent="0.25">
      <c r="C2367" s="14" t="s">
        <v>3356</v>
      </c>
    </row>
    <row r="2368" spans="3:3" x14ac:dyDescent="0.25">
      <c r="C2368" s="14" t="s">
        <v>3467</v>
      </c>
    </row>
    <row r="2369" spans="3:3" ht="45" x14ac:dyDescent="0.25">
      <c r="C2369" s="14" t="s">
        <v>3529</v>
      </c>
    </row>
    <row r="2370" spans="3:3" x14ac:dyDescent="0.25">
      <c r="C2370" s="14" t="s">
        <v>3365</v>
      </c>
    </row>
    <row r="2371" spans="3:3" ht="30" x14ac:dyDescent="0.25">
      <c r="C2371" s="14" t="s">
        <v>3462</v>
      </c>
    </row>
    <row r="2372" spans="3:3" x14ac:dyDescent="0.25">
      <c r="C2372" s="14" t="s">
        <v>3463</v>
      </c>
    </row>
    <row r="2373" spans="3:3" x14ac:dyDescent="0.25">
      <c r="C2373" s="14" t="s">
        <v>3461</v>
      </c>
    </row>
    <row r="2374" spans="3:3" x14ac:dyDescent="0.25">
      <c r="C2374" s="14" t="s">
        <v>3464</v>
      </c>
    </row>
    <row r="2375" spans="3:3" x14ac:dyDescent="0.25">
      <c r="C2375" s="14" t="s">
        <v>3534</v>
      </c>
    </row>
    <row r="2376" spans="3:3" ht="30" x14ac:dyDescent="0.25">
      <c r="C2376" s="14" t="s">
        <v>3579</v>
      </c>
    </row>
    <row r="2377" spans="3:3" x14ac:dyDescent="0.25">
      <c r="C2377" s="14" t="s">
        <v>3716</v>
      </c>
    </row>
    <row r="2378" spans="3:3" x14ac:dyDescent="0.25">
      <c r="C2378" s="14" t="s">
        <v>3748</v>
      </c>
    </row>
    <row r="2379" spans="3:3" x14ac:dyDescent="0.25">
      <c r="C2379" s="14" t="s">
        <v>4349</v>
      </c>
    </row>
    <row r="2380" spans="3:3" x14ac:dyDescent="0.25">
      <c r="C2380" s="14" t="s">
        <v>4415</v>
      </c>
    </row>
    <row r="2381" spans="3:3" x14ac:dyDescent="0.25">
      <c r="C2381" s="14" t="s">
        <v>3781</v>
      </c>
    </row>
    <row r="2382" spans="3:3" x14ac:dyDescent="0.25">
      <c r="C2382" s="14" t="s">
        <v>3848</v>
      </c>
    </row>
    <row r="2383" spans="3:3" x14ac:dyDescent="0.25">
      <c r="C2383" s="14" t="s">
        <v>3582</v>
      </c>
    </row>
    <row r="2384" spans="3:3" ht="45" x14ac:dyDescent="0.25">
      <c r="C2384" s="14" t="s">
        <v>3649</v>
      </c>
    </row>
    <row r="2385" spans="3:3" x14ac:dyDescent="0.25">
      <c r="C2385" s="14" t="s">
        <v>3882</v>
      </c>
    </row>
    <row r="2386" spans="3:3" x14ac:dyDescent="0.25">
      <c r="C2386" s="14" t="s">
        <v>3966</v>
      </c>
    </row>
    <row r="2387" spans="3:3" x14ac:dyDescent="0.25">
      <c r="C2387" s="14" t="s">
        <v>3964</v>
      </c>
    </row>
    <row r="2388" spans="3:3" x14ac:dyDescent="0.25">
      <c r="C2388" s="14" t="s">
        <v>3965</v>
      </c>
    </row>
    <row r="2389" spans="3:3" x14ac:dyDescent="0.25">
      <c r="C2389" s="14" t="s">
        <v>3970</v>
      </c>
    </row>
    <row r="2390" spans="3:3" x14ac:dyDescent="0.25">
      <c r="C2390" s="14" t="s">
        <v>3967</v>
      </c>
    </row>
    <row r="2391" spans="3:3" x14ac:dyDescent="0.25">
      <c r="C2391" s="14" t="s">
        <v>3968</v>
      </c>
    </row>
    <row r="2392" spans="3:3" x14ac:dyDescent="0.25">
      <c r="C2392" s="14" t="s">
        <v>3969</v>
      </c>
    </row>
    <row r="2393" spans="3:3" x14ac:dyDescent="0.25">
      <c r="C2393" s="14" t="s">
        <v>3971</v>
      </c>
    </row>
    <row r="2394" spans="3:3" x14ac:dyDescent="0.25">
      <c r="C2394" s="14" t="s">
        <v>4052</v>
      </c>
    </row>
    <row r="2395" spans="3:3" x14ac:dyDescent="0.25">
      <c r="C2395" s="14" t="s">
        <v>4057</v>
      </c>
    </row>
    <row r="2396" spans="3:3" x14ac:dyDescent="0.25">
      <c r="C2396" s="14" t="s">
        <v>4304</v>
      </c>
    </row>
    <row r="2397" spans="3:3" ht="45" x14ac:dyDescent="0.25">
      <c r="C2397" s="14" t="s">
        <v>4343</v>
      </c>
    </row>
    <row r="2398" spans="3:3" x14ac:dyDescent="0.25">
      <c r="C2398" s="14" t="s">
        <v>3977</v>
      </c>
    </row>
    <row r="2399" spans="3:3" x14ac:dyDescent="0.25">
      <c r="C2399" s="14" t="s">
        <v>4017</v>
      </c>
    </row>
    <row r="2400" spans="3:3" x14ac:dyDescent="0.25">
      <c r="C2400" s="14" t="s">
        <v>4016</v>
      </c>
    </row>
    <row r="2401" spans="3:3" x14ac:dyDescent="0.25">
      <c r="C2401" s="14" t="s">
        <v>4688</v>
      </c>
    </row>
    <row r="2402" spans="3:3" ht="30" x14ac:dyDescent="0.25">
      <c r="C2402" s="14" t="s">
        <v>4728</v>
      </c>
    </row>
    <row r="2403" spans="3:3" x14ac:dyDescent="0.25">
      <c r="C2403" s="14" t="s">
        <v>4732</v>
      </c>
    </row>
    <row r="2404" spans="3:3" ht="30" x14ac:dyDescent="0.25">
      <c r="C2404" s="14" t="s">
        <v>4773</v>
      </c>
    </row>
    <row r="2405" spans="3:3" x14ac:dyDescent="0.25">
      <c r="C2405" s="14" t="s">
        <v>4265</v>
      </c>
    </row>
    <row r="2406" spans="3:3" ht="30" x14ac:dyDescent="0.25">
      <c r="C2406" s="14" t="s">
        <v>4301</v>
      </c>
    </row>
    <row r="2407" spans="3:3" x14ac:dyDescent="0.25">
      <c r="C2407" s="14" t="s">
        <v>4421</v>
      </c>
    </row>
    <row r="2408" spans="3:3" x14ac:dyDescent="0.25">
      <c r="C2408" s="14" t="s">
        <v>4456</v>
      </c>
    </row>
    <row r="2409" spans="3:3" x14ac:dyDescent="0.25">
      <c r="C2409" s="14" t="s">
        <v>4104</v>
      </c>
    </row>
    <row r="2410" spans="3:3" x14ac:dyDescent="0.25">
      <c r="C2410" s="14" t="s">
        <v>4161</v>
      </c>
    </row>
    <row r="2411" spans="3:3" x14ac:dyDescent="0.25">
      <c r="C2411" s="14" t="s">
        <v>4162</v>
      </c>
    </row>
    <row r="2412" spans="3:3" x14ac:dyDescent="0.25">
      <c r="C2412" s="14" t="s">
        <v>4459</v>
      </c>
    </row>
    <row r="2413" spans="3:3" x14ac:dyDescent="0.25">
      <c r="C2413" s="14" t="s">
        <v>4503</v>
      </c>
    </row>
    <row r="2414" spans="3:3" x14ac:dyDescent="0.25">
      <c r="C2414" s="14" t="s">
        <v>4506</v>
      </c>
    </row>
    <row r="2415" spans="3:3" ht="30" x14ac:dyDescent="0.25">
      <c r="C2415" s="14" t="s">
        <v>4505</v>
      </c>
    </row>
    <row r="2416" spans="3:3" x14ac:dyDescent="0.25">
      <c r="C2416" s="14" t="s">
        <v>4504</v>
      </c>
    </row>
    <row r="2417" spans="3:3" x14ac:dyDescent="0.25">
      <c r="C2417" s="14" t="s">
        <v>4589</v>
      </c>
    </row>
    <row r="2418" spans="3:3" ht="30" x14ac:dyDescent="0.25">
      <c r="C2418" s="14" t="s">
        <v>4641</v>
      </c>
    </row>
    <row r="2419" spans="3:3" x14ac:dyDescent="0.25">
      <c r="C2419" s="14" t="s">
        <v>4559</v>
      </c>
    </row>
    <row r="2420" spans="3:3" ht="30" x14ac:dyDescent="0.25">
      <c r="C2420" s="14" t="s">
        <v>4585</v>
      </c>
    </row>
    <row r="2421" spans="3:3" ht="30" x14ac:dyDescent="0.25">
      <c r="C2421" s="14" t="s">
        <v>4584</v>
      </c>
    </row>
    <row r="2422" spans="3:3" x14ac:dyDescent="0.25">
      <c r="C2422" s="14" t="s">
        <v>3287</v>
      </c>
    </row>
    <row r="2423" spans="3:3" ht="30" x14ac:dyDescent="0.25">
      <c r="C2423" s="14" t="s">
        <v>3358</v>
      </c>
    </row>
    <row r="2424" spans="3:3" x14ac:dyDescent="0.25">
      <c r="C2424" s="14" t="s">
        <v>3357</v>
      </c>
    </row>
    <row r="2425" spans="3:3" x14ac:dyDescent="0.25">
      <c r="C2425" s="14" t="s">
        <v>3654</v>
      </c>
    </row>
    <row r="2426" spans="3:3" x14ac:dyDescent="0.25">
      <c r="C2426" s="14" t="s">
        <v>3712</v>
      </c>
    </row>
    <row r="2427" spans="3:3" x14ac:dyDescent="0.25">
      <c r="C2427" s="14" t="s">
        <v>4645</v>
      </c>
    </row>
    <row r="2428" spans="3:3" ht="30" x14ac:dyDescent="0.25">
      <c r="C2428" s="14" t="s">
        <v>4685</v>
      </c>
    </row>
    <row r="2429" spans="3:3" ht="30" x14ac:dyDescent="0.25">
      <c r="C2429" s="14" t="s">
        <v>4684</v>
      </c>
    </row>
    <row r="2430" spans="3:3" x14ac:dyDescent="0.25">
      <c r="C2430" s="14" t="s">
        <v>4022</v>
      </c>
    </row>
    <row r="2431" spans="3:3" ht="30" x14ac:dyDescent="0.25">
      <c r="C2431" s="14" t="s">
        <v>4048</v>
      </c>
    </row>
    <row r="2432" spans="3:3" x14ac:dyDescent="0.25">
      <c r="C2432" s="14" t="s">
        <v>3359</v>
      </c>
    </row>
    <row r="2433" spans="3:3" x14ac:dyDescent="0.25">
      <c r="C2433" s="14" t="s">
        <v>3467</v>
      </c>
    </row>
    <row r="2434" spans="3:3" x14ac:dyDescent="0.25">
      <c r="C2434" s="14" t="s">
        <v>3530</v>
      </c>
    </row>
    <row r="2435" spans="3:3" x14ac:dyDescent="0.25">
      <c r="C2435" s="14" t="s">
        <v>4349</v>
      </c>
    </row>
    <row r="2436" spans="3:3" ht="30" x14ac:dyDescent="0.25">
      <c r="C2436" s="14" t="s">
        <v>4416</v>
      </c>
    </row>
    <row r="2437" spans="3:3" x14ac:dyDescent="0.25">
      <c r="C2437" s="14" t="s">
        <v>3781</v>
      </c>
    </row>
    <row r="2438" spans="3:3" x14ac:dyDescent="0.25">
      <c r="C2438" s="14" t="s">
        <v>3849</v>
      </c>
    </row>
    <row r="2439" spans="3:3" x14ac:dyDescent="0.25">
      <c r="C2439" s="14" t="s">
        <v>3582</v>
      </c>
    </row>
    <row r="2440" spans="3:3" ht="45" x14ac:dyDescent="0.25">
      <c r="C2440" s="14" t="s">
        <v>3650</v>
      </c>
    </row>
    <row r="2441" spans="3:3" x14ac:dyDescent="0.25">
      <c r="C2441" s="14" t="s">
        <v>3882</v>
      </c>
    </row>
    <row r="2442" spans="3:3" x14ac:dyDescent="0.25">
      <c r="C2442" s="14" t="s">
        <v>3973</v>
      </c>
    </row>
    <row r="2443" spans="3:3" x14ac:dyDescent="0.25">
      <c r="C2443" s="14" t="s">
        <v>3974</v>
      </c>
    </row>
    <row r="2444" spans="3:3" x14ac:dyDescent="0.25">
      <c r="C2444" s="14" t="s">
        <v>3972</v>
      </c>
    </row>
    <row r="2445" spans="3:3" x14ac:dyDescent="0.25">
      <c r="C2445" s="14" t="s">
        <v>4052</v>
      </c>
    </row>
    <row r="2446" spans="3:3" x14ac:dyDescent="0.25">
      <c r="C2446" s="14" t="s">
        <v>4058</v>
      </c>
    </row>
    <row r="2447" spans="3:3" x14ac:dyDescent="0.25">
      <c r="C2447" s="14" t="s">
        <v>4304</v>
      </c>
    </row>
    <row r="2448" spans="3:3" ht="45" x14ac:dyDescent="0.25">
      <c r="C2448" s="14" t="s">
        <v>4344</v>
      </c>
    </row>
    <row r="2449" spans="3:3" x14ac:dyDescent="0.25">
      <c r="C2449" s="14" t="s">
        <v>4167</v>
      </c>
    </row>
    <row r="2450" spans="3:3" x14ac:dyDescent="0.25">
      <c r="C2450" s="14" t="s">
        <v>4204</v>
      </c>
    </row>
    <row r="2451" spans="3:3" x14ac:dyDescent="0.25">
      <c r="C2451" s="14" t="s">
        <v>3977</v>
      </c>
    </row>
    <row r="2452" spans="3:3" ht="30" x14ac:dyDescent="0.25">
      <c r="C2452" s="14" t="s">
        <v>4018</v>
      </c>
    </row>
    <row r="2453" spans="3:3" x14ac:dyDescent="0.25">
      <c r="C2453" s="14" t="s">
        <v>3750</v>
      </c>
    </row>
    <row r="2454" spans="3:3" ht="30" x14ac:dyDescent="0.25">
      <c r="C2454" s="14" t="s">
        <v>3777</v>
      </c>
    </row>
    <row r="2455" spans="3:3" x14ac:dyDescent="0.25">
      <c r="C2455" s="14" t="s">
        <v>4688</v>
      </c>
    </row>
    <row r="2456" spans="3:3" x14ac:dyDescent="0.25">
      <c r="C2456" s="14" t="s">
        <v>4729</v>
      </c>
    </row>
    <row r="2457" spans="3:3" x14ac:dyDescent="0.25">
      <c r="C2457" s="14" t="s">
        <v>4514</v>
      </c>
    </row>
    <row r="2458" spans="3:3" ht="45" x14ac:dyDescent="0.25">
      <c r="C2458" s="14" t="s">
        <v>4556</v>
      </c>
    </row>
    <row r="2459" spans="3:3" x14ac:dyDescent="0.25">
      <c r="C2459" s="14" t="s">
        <v>4228</v>
      </c>
    </row>
    <row r="2460" spans="3:3" ht="30" x14ac:dyDescent="0.25">
      <c r="C2460" s="14" t="s">
        <v>4262</v>
      </c>
    </row>
    <row r="2461" spans="3:3" x14ac:dyDescent="0.25">
      <c r="C2461" s="14" t="s">
        <v>4732</v>
      </c>
    </row>
    <row r="2462" spans="3:3" ht="30" x14ac:dyDescent="0.25">
      <c r="C2462" s="14" t="s">
        <v>4774</v>
      </c>
    </row>
    <row r="2463" spans="3:3" x14ac:dyDescent="0.25">
      <c r="C2463" s="14" t="s">
        <v>4459</v>
      </c>
    </row>
    <row r="2464" spans="3:3" ht="30" x14ac:dyDescent="0.25">
      <c r="C2464" s="14" t="s">
        <v>4508</v>
      </c>
    </row>
    <row r="2465" spans="3:3" x14ac:dyDescent="0.25">
      <c r="C2465" s="14" t="s">
        <v>4507</v>
      </c>
    </row>
    <row r="2466" spans="3:3" x14ac:dyDescent="0.25">
      <c r="C2466" s="14" t="s">
        <v>4589</v>
      </c>
    </row>
    <row r="2467" spans="3:3" ht="30" x14ac:dyDescent="0.25">
      <c r="C2467" s="14" t="s">
        <v>4642</v>
      </c>
    </row>
    <row r="2468" spans="3:3" x14ac:dyDescent="0.25">
      <c r="C2468" s="14" t="s">
        <v>3287</v>
      </c>
    </row>
    <row r="2469" spans="3:3" x14ac:dyDescent="0.25">
      <c r="C2469" s="14" t="s">
        <v>3360</v>
      </c>
    </row>
    <row r="2470" spans="3:3" x14ac:dyDescent="0.25">
      <c r="C2470" s="14" t="s">
        <v>3654</v>
      </c>
    </row>
    <row r="2471" spans="3:3" x14ac:dyDescent="0.25">
      <c r="C2471" s="14" t="s">
        <v>3713</v>
      </c>
    </row>
    <row r="2472" spans="3:3" x14ac:dyDescent="0.25">
      <c r="C2472" s="14" t="s">
        <v>4022</v>
      </c>
    </row>
    <row r="2473" spans="3:3" ht="45" x14ac:dyDescent="0.25">
      <c r="C2473" s="14" t="s">
        <v>4049</v>
      </c>
    </row>
    <row r="2474" spans="3:3" x14ac:dyDescent="0.25">
      <c r="C2474" s="14" t="s">
        <v>4345</v>
      </c>
    </row>
    <row r="2475" spans="3:3" x14ac:dyDescent="0.25">
      <c r="C2475" s="14" t="s">
        <v>4304</v>
      </c>
    </row>
    <row r="2476" spans="3:3" x14ac:dyDescent="0.25">
      <c r="C2476" s="14" t="s">
        <v>4346</v>
      </c>
    </row>
    <row r="2477" spans="3:3" x14ac:dyDescent="0.25">
      <c r="C2477" s="14" t="s">
        <v>4559</v>
      </c>
    </row>
    <row r="2478" spans="3:3" ht="30" x14ac:dyDescent="0.25">
      <c r="C2478" s="14" t="s">
        <v>4586</v>
      </c>
    </row>
    <row r="2479" spans="3:3" x14ac:dyDescent="0.25">
      <c r="C2479" s="14" t="s">
        <v>3361</v>
      </c>
    </row>
    <row r="2480" spans="3:3" x14ac:dyDescent="0.25">
      <c r="C2480" s="14" t="s">
        <v>3467</v>
      </c>
    </row>
    <row r="2481" spans="3:3" ht="30" x14ac:dyDescent="0.25">
      <c r="C2481" s="14" t="s">
        <v>3531</v>
      </c>
    </row>
    <row r="2482" spans="3:3" x14ac:dyDescent="0.25">
      <c r="C2482" s="14" t="s">
        <v>3365</v>
      </c>
    </row>
    <row r="2483" spans="3:3" x14ac:dyDescent="0.25">
      <c r="C2483" s="14" t="s">
        <v>3465</v>
      </c>
    </row>
    <row r="2484" spans="3:3" x14ac:dyDescent="0.25">
      <c r="C2484" s="14" t="s">
        <v>3534</v>
      </c>
    </row>
    <row r="2485" spans="3:3" ht="60" x14ac:dyDescent="0.25">
      <c r="C2485" s="14" t="s">
        <v>3580</v>
      </c>
    </row>
    <row r="2486" spans="3:3" x14ac:dyDescent="0.25">
      <c r="C2486" s="14" t="s">
        <v>4349</v>
      </c>
    </row>
    <row r="2487" spans="3:3" x14ac:dyDescent="0.25">
      <c r="C2487" s="14" t="s">
        <v>4418</v>
      </c>
    </row>
    <row r="2488" spans="3:3" x14ac:dyDescent="0.25">
      <c r="C2488" s="14" t="s">
        <v>4419</v>
      </c>
    </row>
    <row r="2489" spans="3:3" x14ac:dyDescent="0.25">
      <c r="C2489" s="14" t="s">
        <v>4417</v>
      </c>
    </row>
    <row r="2490" spans="3:3" x14ac:dyDescent="0.25">
      <c r="C2490" s="14" t="s">
        <v>3582</v>
      </c>
    </row>
    <row r="2491" spans="3:3" x14ac:dyDescent="0.25">
      <c r="C2491" s="14" t="s">
        <v>3651</v>
      </c>
    </row>
    <row r="2492" spans="3:3" x14ac:dyDescent="0.25">
      <c r="C2492" s="14" t="s">
        <v>4052</v>
      </c>
    </row>
    <row r="2493" spans="3:3" x14ac:dyDescent="0.25">
      <c r="C2493" s="14" t="s">
        <v>4059</v>
      </c>
    </row>
    <row r="2494" spans="3:3" x14ac:dyDescent="0.25">
      <c r="C2494" s="14" t="s">
        <v>4304</v>
      </c>
    </row>
    <row r="2495" spans="3:3" ht="75" x14ac:dyDescent="0.25">
      <c r="C2495" s="14" t="s">
        <v>4347</v>
      </c>
    </row>
    <row r="2496" spans="3:3" x14ac:dyDescent="0.25">
      <c r="C2496" s="14" t="s">
        <v>4167</v>
      </c>
    </row>
    <row r="2497" spans="3:3" ht="30" x14ac:dyDescent="0.25">
      <c r="C2497" s="14" t="s">
        <v>4205</v>
      </c>
    </row>
    <row r="2498" spans="3:3" x14ac:dyDescent="0.25">
      <c r="C2498" s="14" t="s">
        <v>3977</v>
      </c>
    </row>
    <row r="2499" spans="3:3" ht="60" x14ac:dyDescent="0.25">
      <c r="C2499" s="14" t="s">
        <v>4019</v>
      </c>
    </row>
    <row r="2500" spans="3:3" x14ac:dyDescent="0.25">
      <c r="C2500" s="14" t="s">
        <v>3750</v>
      </c>
    </row>
    <row r="2501" spans="3:3" ht="45" x14ac:dyDescent="0.25">
      <c r="C2501" s="14" t="s">
        <v>3778</v>
      </c>
    </row>
    <row r="2502" spans="3:3" x14ac:dyDescent="0.25">
      <c r="C2502" s="14" t="s">
        <v>4688</v>
      </c>
    </row>
    <row r="2503" spans="3:3" ht="30" x14ac:dyDescent="0.25">
      <c r="C2503" s="14" t="s">
        <v>4730</v>
      </c>
    </row>
    <row r="2504" spans="3:3" x14ac:dyDescent="0.25">
      <c r="C2504" s="14" t="s">
        <v>4514</v>
      </c>
    </row>
    <row r="2505" spans="3:3" ht="30" x14ac:dyDescent="0.25">
      <c r="C2505" s="14" t="s">
        <v>4557</v>
      </c>
    </row>
    <row r="2506" spans="3:3" x14ac:dyDescent="0.25">
      <c r="C2506" s="14" t="s">
        <v>4228</v>
      </c>
    </row>
    <row r="2507" spans="3:3" ht="60" x14ac:dyDescent="0.25">
      <c r="C2507" s="14" t="s">
        <v>4263</v>
      </c>
    </row>
    <row r="2508" spans="3:3" x14ac:dyDescent="0.25">
      <c r="C2508" s="14" t="s">
        <v>4732</v>
      </c>
    </row>
    <row r="2509" spans="3:3" ht="30" x14ac:dyDescent="0.25">
      <c r="C2509" s="14" t="s">
        <v>4775</v>
      </c>
    </row>
    <row r="2510" spans="3:3" x14ac:dyDescent="0.25">
      <c r="C2510" s="14" t="s">
        <v>4265</v>
      </c>
    </row>
    <row r="2511" spans="3:3" ht="45" x14ac:dyDescent="0.25">
      <c r="C2511" s="14" t="s">
        <v>4302</v>
      </c>
    </row>
    <row r="2512" spans="3:3" x14ac:dyDescent="0.25">
      <c r="C2512" s="14" t="s">
        <v>4421</v>
      </c>
    </row>
    <row r="2513" spans="3:3" x14ac:dyDescent="0.25">
      <c r="C2513" s="14" t="s">
        <v>4457</v>
      </c>
    </row>
    <row r="2514" spans="3:3" x14ac:dyDescent="0.25">
      <c r="C2514" s="14" t="s">
        <v>4104</v>
      </c>
    </row>
    <row r="2515" spans="3:3" x14ac:dyDescent="0.25">
      <c r="C2515" s="14" t="s">
        <v>4165</v>
      </c>
    </row>
    <row r="2516" spans="3:3" x14ac:dyDescent="0.25">
      <c r="C2516" s="14" t="s">
        <v>4164</v>
      </c>
    </row>
    <row r="2517" spans="3:3" x14ac:dyDescent="0.25">
      <c r="C2517" s="14" t="s">
        <v>4163</v>
      </c>
    </row>
    <row r="2518" spans="3:3" x14ac:dyDescent="0.25">
      <c r="C2518" s="14" t="s">
        <v>4459</v>
      </c>
    </row>
    <row r="2519" spans="3:3" x14ac:dyDescent="0.25">
      <c r="C2519" s="14" t="s">
        <v>4511</v>
      </c>
    </row>
    <row r="2520" spans="3:3" ht="30" x14ac:dyDescent="0.25">
      <c r="C2520" s="14" t="s">
        <v>4510</v>
      </c>
    </row>
    <row r="2521" spans="3:3" x14ac:dyDescent="0.25">
      <c r="C2521" s="14" t="s">
        <v>4509</v>
      </c>
    </row>
    <row r="2522" spans="3:3" x14ac:dyDescent="0.25">
      <c r="C2522" s="14" t="s">
        <v>4589</v>
      </c>
    </row>
    <row r="2523" spans="3:3" ht="30" x14ac:dyDescent="0.25">
      <c r="C2523" s="14" t="s">
        <v>4643</v>
      </c>
    </row>
    <row r="2524" spans="3:3" x14ac:dyDescent="0.25">
      <c r="C2524" s="14" t="s">
        <v>3287</v>
      </c>
    </row>
    <row r="2525" spans="3:3" ht="45" x14ac:dyDescent="0.25">
      <c r="C2525" s="14" t="s">
        <v>3362</v>
      </c>
    </row>
    <row r="2526" spans="3:3" x14ac:dyDescent="0.25">
      <c r="C2526" s="14" t="s">
        <v>3654</v>
      </c>
    </row>
    <row r="2527" spans="3:3" x14ac:dyDescent="0.25">
      <c r="C2527" s="14" t="s">
        <v>3714</v>
      </c>
    </row>
    <row r="2528" spans="3:3" x14ac:dyDescent="0.25">
      <c r="C2528" s="14" t="s">
        <v>4645</v>
      </c>
    </row>
    <row r="2529" spans="3:3" ht="30" x14ac:dyDescent="0.25">
      <c r="C2529" s="14" t="s">
        <v>4686</v>
      </c>
    </row>
    <row r="2530" spans="3:3" x14ac:dyDescent="0.25">
      <c r="C2530" s="14" t="s">
        <v>4022</v>
      </c>
    </row>
    <row r="2531" spans="3:3" ht="60" x14ac:dyDescent="0.25">
      <c r="C2531" s="14" t="s">
        <v>4050</v>
      </c>
    </row>
    <row r="2532" spans="3:3" x14ac:dyDescent="0.25">
      <c r="C2532" s="14" t="s">
        <v>3250</v>
      </c>
    </row>
    <row r="2533" spans="3:3" x14ac:dyDescent="0.25">
      <c r="C2533"/>
    </row>
    <row r="2534" spans="3:3" x14ac:dyDescent="0.25">
      <c r="C2534"/>
    </row>
    <row r="2535" spans="3:3" x14ac:dyDescent="0.25">
      <c r="C2535"/>
    </row>
    <row r="2536" spans="3:3" x14ac:dyDescent="0.25">
      <c r="C2536"/>
    </row>
    <row r="2537" spans="3:3" x14ac:dyDescent="0.25">
      <c r="C2537"/>
    </row>
    <row r="2538" spans="3:3" x14ac:dyDescent="0.25">
      <c r="C2538"/>
    </row>
    <row r="2539" spans="3:3" x14ac:dyDescent="0.25">
      <c r="C2539"/>
    </row>
    <row r="2540" spans="3:3" x14ac:dyDescent="0.25">
      <c r="C2540"/>
    </row>
    <row r="2541" spans="3:3" x14ac:dyDescent="0.25">
      <c r="C2541"/>
    </row>
    <row r="2542" spans="3:3" x14ac:dyDescent="0.25">
      <c r="C2542"/>
    </row>
    <row r="2543" spans="3:3" x14ac:dyDescent="0.25">
      <c r="C2543"/>
    </row>
    <row r="2544" spans="3:3" x14ac:dyDescent="0.25">
      <c r="C2544"/>
    </row>
    <row r="2545" spans="3:3" x14ac:dyDescent="0.25">
      <c r="C2545"/>
    </row>
    <row r="2546" spans="3:3" x14ac:dyDescent="0.25">
      <c r="C2546"/>
    </row>
    <row r="2547" spans="3:3" x14ac:dyDescent="0.25">
      <c r="C2547"/>
    </row>
    <row r="2548" spans="3:3" x14ac:dyDescent="0.25">
      <c r="C2548"/>
    </row>
    <row r="2549" spans="3:3" x14ac:dyDescent="0.25">
      <c r="C2549"/>
    </row>
    <row r="2550" spans="3:3" x14ac:dyDescent="0.25">
      <c r="C2550"/>
    </row>
    <row r="2551" spans="3:3" x14ac:dyDescent="0.25">
      <c r="C2551"/>
    </row>
    <row r="2552" spans="3:3" x14ac:dyDescent="0.25">
      <c r="C2552"/>
    </row>
    <row r="2553" spans="3:3" x14ac:dyDescent="0.25">
      <c r="C2553"/>
    </row>
    <row r="2554" spans="3:3" x14ac:dyDescent="0.25">
      <c r="C2554"/>
    </row>
    <row r="2555" spans="3:3" x14ac:dyDescent="0.25">
      <c r="C2555"/>
    </row>
    <row r="2556" spans="3:3" x14ac:dyDescent="0.25">
      <c r="C2556"/>
    </row>
    <row r="2557" spans="3:3" x14ac:dyDescent="0.25">
      <c r="C2557"/>
    </row>
    <row r="2558" spans="3:3" x14ac:dyDescent="0.25">
      <c r="C2558"/>
    </row>
    <row r="2559" spans="3:3" x14ac:dyDescent="0.25">
      <c r="C2559"/>
    </row>
    <row r="2560" spans="3:3" x14ac:dyDescent="0.25">
      <c r="C2560"/>
    </row>
    <row r="2561" spans="3:3" x14ac:dyDescent="0.25">
      <c r="C2561"/>
    </row>
    <row r="2562" spans="3:3" x14ac:dyDescent="0.25">
      <c r="C2562"/>
    </row>
    <row r="2563" spans="3:3" x14ac:dyDescent="0.25">
      <c r="C2563"/>
    </row>
    <row r="2564" spans="3:3" x14ac:dyDescent="0.25">
      <c r="C2564"/>
    </row>
    <row r="2565" spans="3:3" x14ac:dyDescent="0.25">
      <c r="C2565"/>
    </row>
    <row r="2566" spans="3:3" x14ac:dyDescent="0.25">
      <c r="C2566"/>
    </row>
    <row r="2567" spans="3:3" x14ac:dyDescent="0.25">
      <c r="C2567"/>
    </row>
    <row r="2568" spans="3:3" x14ac:dyDescent="0.25">
      <c r="C2568"/>
    </row>
    <row r="2569" spans="3:3" x14ac:dyDescent="0.25">
      <c r="C2569"/>
    </row>
    <row r="2570" spans="3:3" x14ac:dyDescent="0.25">
      <c r="C2570"/>
    </row>
    <row r="2571" spans="3:3" x14ac:dyDescent="0.25">
      <c r="C2571"/>
    </row>
    <row r="2572" spans="3:3" x14ac:dyDescent="0.25">
      <c r="C2572"/>
    </row>
    <row r="2573" spans="3:3" x14ac:dyDescent="0.25">
      <c r="C2573"/>
    </row>
    <row r="2574" spans="3:3" x14ac:dyDescent="0.25">
      <c r="C2574"/>
    </row>
    <row r="2575" spans="3:3" x14ac:dyDescent="0.25">
      <c r="C2575"/>
    </row>
    <row r="2576" spans="3:3" x14ac:dyDescent="0.25">
      <c r="C2576"/>
    </row>
    <row r="2577" spans="3:3" x14ac:dyDescent="0.25">
      <c r="C2577"/>
    </row>
    <row r="2578" spans="3:3" x14ac:dyDescent="0.25">
      <c r="C2578"/>
    </row>
    <row r="2579" spans="3:3" x14ac:dyDescent="0.25">
      <c r="C2579"/>
    </row>
    <row r="2580" spans="3:3" x14ac:dyDescent="0.25">
      <c r="C2580"/>
    </row>
    <row r="2581" spans="3:3" x14ac:dyDescent="0.25">
      <c r="C2581"/>
    </row>
    <row r="2582" spans="3:3" x14ac:dyDescent="0.25">
      <c r="C2582"/>
    </row>
    <row r="2583" spans="3:3" x14ac:dyDescent="0.25">
      <c r="C2583"/>
    </row>
    <row r="2584" spans="3:3" x14ac:dyDescent="0.25">
      <c r="C2584"/>
    </row>
    <row r="2585" spans="3:3" x14ac:dyDescent="0.25">
      <c r="C2585"/>
    </row>
    <row r="2586" spans="3:3" x14ac:dyDescent="0.25">
      <c r="C2586"/>
    </row>
    <row r="2587" spans="3:3" x14ac:dyDescent="0.25">
      <c r="C2587"/>
    </row>
    <row r="2588" spans="3:3" x14ac:dyDescent="0.25">
      <c r="C2588"/>
    </row>
    <row r="2589" spans="3:3" x14ac:dyDescent="0.25">
      <c r="C2589"/>
    </row>
    <row r="2590" spans="3:3" x14ac:dyDescent="0.25">
      <c r="C2590"/>
    </row>
    <row r="2591" spans="3:3" x14ac:dyDescent="0.25">
      <c r="C2591"/>
    </row>
    <row r="2592" spans="3:3" x14ac:dyDescent="0.25">
      <c r="C2592"/>
    </row>
    <row r="2593" spans="3:3" x14ac:dyDescent="0.25">
      <c r="C2593"/>
    </row>
    <row r="2594" spans="3:3" x14ac:dyDescent="0.25">
      <c r="C2594"/>
    </row>
    <row r="2595" spans="3:3" x14ac:dyDescent="0.25">
      <c r="C2595"/>
    </row>
    <row r="2596" spans="3:3" x14ac:dyDescent="0.25">
      <c r="C2596"/>
    </row>
    <row r="2597" spans="3:3" x14ac:dyDescent="0.25">
      <c r="C2597"/>
    </row>
    <row r="2598" spans="3:3" x14ac:dyDescent="0.25">
      <c r="C2598"/>
    </row>
    <row r="2599" spans="3:3" x14ac:dyDescent="0.25">
      <c r="C2599"/>
    </row>
    <row r="2600" spans="3:3" x14ac:dyDescent="0.25">
      <c r="C2600"/>
    </row>
    <row r="2601" spans="3:3" x14ac:dyDescent="0.25">
      <c r="C2601"/>
    </row>
    <row r="2602" spans="3:3" x14ac:dyDescent="0.25">
      <c r="C2602"/>
    </row>
    <row r="2603" spans="3:3" x14ac:dyDescent="0.25">
      <c r="C2603"/>
    </row>
    <row r="2604" spans="3:3" x14ac:dyDescent="0.25">
      <c r="C2604"/>
    </row>
    <row r="2605" spans="3:3" x14ac:dyDescent="0.25">
      <c r="C2605"/>
    </row>
    <row r="2606" spans="3:3" x14ac:dyDescent="0.25">
      <c r="C2606"/>
    </row>
    <row r="2607" spans="3:3" x14ac:dyDescent="0.25">
      <c r="C2607"/>
    </row>
    <row r="2608" spans="3:3" x14ac:dyDescent="0.25">
      <c r="C2608"/>
    </row>
    <row r="2609" spans="3:3" x14ac:dyDescent="0.25">
      <c r="C2609"/>
    </row>
    <row r="2610" spans="3:3" x14ac:dyDescent="0.25">
      <c r="C2610"/>
    </row>
    <row r="2611" spans="3:3" x14ac:dyDescent="0.25">
      <c r="C2611"/>
    </row>
    <row r="2612" spans="3:3" x14ac:dyDescent="0.25">
      <c r="C2612"/>
    </row>
    <row r="2613" spans="3:3" x14ac:dyDescent="0.25">
      <c r="C2613"/>
    </row>
    <row r="2614" spans="3:3" x14ac:dyDescent="0.25">
      <c r="C2614"/>
    </row>
    <row r="2615" spans="3:3" x14ac:dyDescent="0.25">
      <c r="C2615"/>
    </row>
    <row r="2616" spans="3:3" x14ac:dyDescent="0.25">
      <c r="C2616"/>
    </row>
    <row r="2617" spans="3:3" x14ac:dyDescent="0.25">
      <c r="C2617"/>
    </row>
    <row r="2618" spans="3:3" x14ac:dyDescent="0.25">
      <c r="C2618"/>
    </row>
    <row r="2619" spans="3:3" x14ac:dyDescent="0.25">
      <c r="C2619"/>
    </row>
    <row r="2620" spans="3:3" x14ac:dyDescent="0.25">
      <c r="C2620"/>
    </row>
    <row r="2621" spans="3:3" x14ac:dyDescent="0.25">
      <c r="C2621"/>
    </row>
    <row r="2622" spans="3:3" x14ac:dyDescent="0.25">
      <c r="C2622"/>
    </row>
    <row r="2623" spans="3:3" x14ac:dyDescent="0.25">
      <c r="C2623"/>
    </row>
    <row r="2624" spans="3:3" x14ac:dyDescent="0.25">
      <c r="C2624"/>
    </row>
    <row r="2625" spans="3:3" x14ac:dyDescent="0.25">
      <c r="C2625"/>
    </row>
    <row r="2626" spans="3:3" x14ac:dyDescent="0.25">
      <c r="C2626"/>
    </row>
    <row r="2627" spans="3:3" x14ac:dyDescent="0.25">
      <c r="C2627"/>
    </row>
    <row r="2628" spans="3:3" x14ac:dyDescent="0.25">
      <c r="C2628"/>
    </row>
    <row r="2629" spans="3:3" x14ac:dyDescent="0.25">
      <c r="C2629"/>
    </row>
    <row r="2630" spans="3:3" x14ac:dyDescent="0.25">
      <c r="C2630"/>
    </row>
    <row r="2631" spans="3:3" x14ac:dyDescent="0.25">
      <c r="C2631"/>
    </row>
    <row r="2632" spans="3:3" x14ac:dyDescent="0.25">
      <c r="C2632"/>
    </row>
    <row r="2633" spans="3:3" x14ac:dyDescent="0.25">
      <c r="C2633"/>
    </row>
    <row r="2634" spans="3:3" x14ac:dyDescent="0.25">
      <c r="C2634"/>
    </row>
    <row r="2635" spans="3:3" x14ac:dyDescent="0.25">
      <c r="C2635"/>
    </row>
    <row r="2636" spans="3:3" x14ac:dyDescent="0.25">
      <c r="C2636"/>
    </row>
    <row r="2637" spans="3:3" x14ac:dyDescent="0.25">
      <c r="C2637"/>
    </row>
    <row r="2638" spans="3:3" x14ac:dyDescent="0.25">
      <c r="C2638"/>
    </row>
    <row r="2639" spans="3:3" x14ac:dyDescent="0.25">
      <c r="C2639"/>
    </row>
    <row r="2640" spans="3:3" x14ac:dyDescent="0.25">
      <c r="C2640"/>
    </row>
    <row r="2641" spans="3:3" x14ac:dyDescent="0.25">
      <c r="C2641"/>
    </row>
    <row r="2642" spans="3:3" x14ac:dyDescent="0.25">
      <c r="C2642"/>
    </row>
    <row r="2643" spans="3:3" x14ac:dyDescent="0.25">
      <c r="C2643"/>
    </row>
    <row r="2644" spans="3:3" x14ac:dyDescent="0.25">
      <c r="C2644"/>
    </row>
    <row r="2645" spans="3:3" x14ac:dyDescent="0.25">
      <c r="C2645"/>
    </row>
    <row r="2646" spans="3:3" x14ac:dyDescent="0.25">
      <c r="C2646"/>
    </row>
    <row r="2647" spans="3:3" x14ac:dyDescent="0.25">
      <c r="C2647"/>
    </row>
    <row r="2648" spans="3:3" x14ac:dyDescent="0.25">
      <c r="C2648"/>
    </row>
    <row r="2649" spans="3:3" x14ac:dyDescent="0.25">
      <c r="C2649"/>
    </row>
    <row r="2650" spans="3:3" x14ac:dyDescent="0.25">
      <c r="C2650"/>
    </row>
    <row r="2651" spans="3:3" x14ac:dyDescent="0.25">
      <c r="C2651"/>
    </row>
    <row r="2652" spans="3:3" x14ac:dyDescent="0.25">
      <c r="C2652"/>
    </row>
    <row r="2653" spans="3:3" x14ac:dyDescent="0.25">
      <c r="C2653"/>
    </row>
    <row r="2654" spans="3:3" x14ac:dyDescent="0.25">
      <c r="C2654"/>
    </row>
    <row r="2655" spans="3:3" x14ac:dyDescent="0.25">
      <c r="C2655"/>
    </row>
    <row r="2656" spans="3:3" x14ac:dyDescent="0.25">
      <c r="C2656"/>
    </row>
    <row r="2657" spans="3:3" x14ac:dyDescent="0.25">
      <c r="C2657"/>
    </row>
    <row r="2658" spans="3:3" x14ac:dyDescent="0.25">
      <c r="C2658"/>
    </row>
    <row r="2659" spans="3:3" x14ac:dyDescent="0.25">
      <c r="C2659"/>
    </row>
    <row r="2660" spans="3:3" x14ac:dyDescent="0.25">
      <c r="C2660"/>
    </row>
    <row r="2661" spans="3:3" x14ac:dyDescent="0.25">
      <c r="C2661"/>
    </row>
    <row r="2662" spans="3:3" x14ac:dyDescent="0.25">
      <c r="C2662"/>
    </row>
    <row r="2663" spans="3:3" x14ac:dyDescent="0.25">
      <c r="C2663"/>
    </row>
    <row r="2664" spans="3:3" x14ac:dyDescent="0.25">
      <c r="C2664"/>
    </row>
    <row r="2665" spans="3:3" x14ac:dyDescent="0.25">
      <c r="C2665"/>
    </row>
    <row r="2666" spans="3:3" x14ac:dyDescent="0.25">
      <c r="C2666"/>
    </row>
    <row r="2667" spans="3:3" x14ac:dyDescent="0.25">
      <c r="C2667"/>
    </row>
    <row r="2668" spans="3:3" x14ac:dyDescent="0.25">
      <c r="C2668"/>
    </row>
    <row r="2669" spans="3:3" x14ac:dyDescent="0.25">
      <c r="C2669"/>
    </row>
    <row r="2670" spans="3:3" x14ac:dyDescent="0.25">
      <c r="C2670"/>
    </row>
    <row r="2671" spans="3:3" x14ac:dyDescent="0.25">
      <c r="C2671"/>
    </row>
    <row r="2672" spans="3:3" x14ac:dyDescent="0.25">
      <c r="C2672"/>
    </row>
    <row r="2673" spans="3:3" x14ac:dyDescent="0.25">
      <c r="C2673"/>
    </row>
    <row r="2674" spans="3:3" x14ac:dyDescent="0.25">
      <c r="C2674"/>
    </row>
    <row r="2675" spans="3:3" x14ac:dyDescent="0.25">
      <c r="C2675"/>
    </row>
    <row r="2676" spans="3:3" x14ac:dyDescent="0.25">
      <c r="C2676"/>
    </row>
    <row r="2677" spans="3:3" x14ac:dyDescent="0.25">
      <c r="C2677"/>
    </row>
    <row r="2678" spans="3:3" x14ac:dyDescent="0.25">
      <c r="C2678"/>
    </row>
    <row r="2679" spans="3:3" x14ac:dyDescent="0.25">
      <c r="C2679"/>
    </row>
    <row r="2680" spans="3:3" x14ac:dyDescent="0.25">
      <c r="C2680"/>
    </row>
    <row r="2681" spans="3:3" x14ac:dyDescent="0.25">
      <c r="C2681"/>
    </row>
    <row r="2682" spans="3:3" x14ac:dyDescent="0.25">
      <c r="C2682"/>
    </row>
    <row r="2683" spans="3:3" x14ac:dyDescent="0.25">
      <c r="C2683"/>
    </row>
    <row r="2684" spans="3:3" x14ac:dyDescent="0.25">
      <c r="C2684"/>
    </row>
    <row r="2685" spans="3:3" x14ac:dyDescent="0.25">
      <c r="C2685"/>
    </row>
    <row r="2686" spans="3:3" x14ac:dyDescent="0.25">
      <c r="C2686"/>
    </row>
    <row r="2687" spans="3:3" x14ac:dyDescent="0.25">
      <c r="C2687"/>
    </row>
    <row r="2688" spans="3:3" x14ac:dyDescent="0.25">
      <c r="C2688"/>
    </row>
    <row r="2689" spans="3:3" x14ac:dyDescent="0.25">
      <c r="C2689"/>
    </row>
    <row r="2690" spans="3:3" x14ac:dyDescent="0.25">
      <c r="C2690"/>
    </row>
    <row r="2691" spans="3:3" x14ac:dyDescent="0.25">
      <c r="C2691"/>
    </row>
    <row r="2692" spans="3:3" x14ac:dyDescent="0.25">
      <c r="C2692"/>
    </row>
    <row r="2693" spans="3:3" x14ac:dyDescent="0.25">
      <c r="C2693"/>
    </row>
    <row r="2694" spans="3:3" x14ac:dyDescent="0.25">
      <c r="C2694"/>
    </row>
    <row r="2695" spans="3:3" x14ac:dyDescent="0.25">
      <c r="C2695"/>
    </row>
    <row r="2696" spans="3:3" x14ac:dyDescent="0.25">
      <c r="C2696"/>
    </row>
    <row r="2697" spans="3:3" x14ac:dyDescent="0.25">
      <c r="C2697"/>
    </row>
    <row r="2698" spans="3:3" x14ac:dyDescent="0.25">
      <c r="C2698"/>
    </row>
    <row r="2699" spans="3:3" x14ac:dyDescent="0.25">
      <c r="C2699"/>
    </row>
    <row r="2700" spans="3:3" x14ac:dyDescent="0.25">
      <c r="C2700"/>
    </row>
    <row r="2701" spans="3:3" x14ac:dyDescent="0.25">
      <c r="C2701"/>
    </row>
    <row r="2702" spans="3:3" x14ac:dyDescent="0.25">
      <c r="C2702"/>
    </row>
    <row r="2703" spans="3:3" x14ac:dyDescent="0.25">
      <c r="C2703"/>
    </row>
    <row r="2704" spans="3:3" x14ac:dyDescent="0.25">
      <c r="C2704"/>
    </row>
    <row r="2705" spans="3:3" x14ac:dyDescent="0.25">
      <c r="C2705"/>
    </row>
    <row r="2706" spans="3:3" x14ac:dyDescent="0.25">
      <c r="C2706"/>
    </row>
    <row r="2707" spans="3:3" x14ac:dyDescent="0.25">
      <c r="C2707"/>
    </row>
    <row r="2708" spans="3:3" x14ac:dyDescent="0.25">
      <c r="C2708"/>
    </row>
    <row r="2709" spans="3:3" x14ac:dyDescent="0.25">
      <c r="C2709"/>
    </row>
    <row r="2710" spans="3:3" x14ac:dyDescent="0.25">
      <c r="C2710"/>
    </row>
    <row r="2711" spans="3:3" x14ac:dyDescent="0.25">
      <c r="C2711"/>
    </row>
    <row r="2712" spans="3:3" x14ac:dyDescent="0.25">
      <c r="C2712"/>
    </row>
    <row r="2713" spans="3:3" x14ac:dyDescent="0.25">
      <c r="C2713"/>
    </row>
    <row r="2714" spans="3:3" x14ac:dyDescent="0.25">
      <c r="C2714"/>
    </row>
    <row r="2715" spans="3:3" x14ac:dyDescent="0.25">
      <c r="C2715"/>
    </row>
    <row r="2716" spans="3:3" x14ac:dyDescent="0.25">
      <c r="C2716"/>
    </row>
    <row r="2717" spans="3:3" x14ac:dyDescent="0.25">
      <c r="C2717"/>
    </row>
    <row r="2718" spans="3:3" x14ac:dyDescent="0.25">
      <c r="C2718"/>
    </row>
    <row r="2719" spans="3:3" x14ac:dyDescent="0.25">
      <c r="C2719"/>
    </row>
    <row r="2720" spans="3:3" x14ac:dyDescent="0.25">
      <c r="C2720"/>
    </row>
    <row r="2721" spans="3:3" x14ac:dyDescent="0.25">
      <c r="C2721"/>
    </row>
    <row r="2722" spans="3:3" x14ac:dyDescent="0.25">
      <c r="C2722"/>
    </row>
    <row r="2723" spans="3:3" x14ac:dyDescent="0.25">
      <c r="C2723"/>
    </row>
    <row r="2724" spans="3:3" x14ac:dyDescent="0.25">
      <c r="C2724"/>
    </row>
    <row r="2725" spans="3:3" x14ac:dyDescent="0.25">
      <c r="C2725"/>
    </row>
    <row r="2726" spans="3:3" x14ac:dyDescent="0.25">
      <c r="C2726"/>
    </row>
    <row r="2727" spans="3:3" x14ac:dyDescent="0.25">
      <c r="C2727"/>
    </row>
    <row r="2728" spans="3:3" x14ac:dyDescent="0.25">
      <c r="C2728"/>
    </row>
    <row r="2729" spans="3:3" x14ac:dyDescent="0.25">
      <c r="C2729"/>
    </row>
    <row r="2730" spans="3:3" x14ac:dyDescent="0.25">
      <c r="C2730"/>
    </row>
    <row r="2731" spans="3:3" x14ac:dyDescent="0.25">
      <c r="C2731"/>
    </row>
    <row r="2732" spans="3:3" x14ac:dyDescent="0.25">
      <c r="C2732"/>
    </row>
    <row r="2733" spans="3:3" x14ac:dyDescent="0.25">
      <c r="C2733"/>
    </row>
    <row r="2734" spans="3:3" x14ac:dyDescent="0.25">
      <c r="C2734"/>
    </row>
    <row r="2735" spans="3:3" x14ac:dyDescent="0.25">
      <c r="C2735"/>
    </row>
    <row r="2736" spans="3:3" x14ac:dyDescent="0.25">
      <c r="C2736"/>
    </row>
    <row r="2737" spans="3:3" x14ac:dyDescent="0.25">
      <c r="C2737"/>
    </row>
    <row r="2738" spans="3:3" x14ac:dyDescent="0.25">
      <c r="C2738"/>
    </row>
    <row r="2739" spans="3:3" x14ac:dyDescent="0.25">
      <c r="C2739"/>
    </row>
    <row r="2740" spans="3:3" x14ac:dyDescent="0.25">
      <c r="C2740"/>
    </row>
    <row r="2741" spans="3:3" x14ac:dyDescent="0.25">
      <c r="C2741"/>
    </row>
    <row r="2742" spans="3:3" x14ac:dyDescent="0.25">
      <c r="C2742"/>
    </row>
    <row r="2743" spans="3:3" x14ac:dyDescent="0.25">
      <c r="C2743"/>
    </row>
    <row r="2744" spans="3:3" x14ac:dyDescent="0.25">
      <c r="C2744"/>
    </row>
    <row r="2745" spans="3:3" x14ac:dyDescent="0.25">
      <c r="C2745"/>
    </row>
    <row r="2746" spans="3:3" x14ac:dyDescent="0.25">
      <c r="C2746"/>
    </row>
    <row r="2747" spans="3:3" x14ac:dyDescent="0.25">
      <c r="C2747"/>
    </row>
    <row r="2748" spans="3:3" x14ac:dyDescent="0.25">
      <c r="C2748"/>
    </row>
    <row r="2749" spans="3:3" x14ac:dyDescent="0.25">
      <c r="C2749"/>
    </row>
    <row r="2750" spans="3:3" x14ac:dyDescent="0.25">
      <c r="C2750"/>
    </row>
    <row r="2751" spans="3:3" x14ac:dyDescent="0.25">
      <c r="C2751"/>
    </row>
    <row r="2752" spans="3:3" x14ac:dyDescent="0.25">
      <c r="C2752"/>
    </row>
    <row r="2753" spans="3:3" x14ac:dyDescent="0.25">
      <c r="C2753"/>
    </row>
    <row r="2754" spans="3:3" x14ac:dyDescent="0.25">
      <c r="C2754"/>
    </row>
    <row r="2755" spans="3:3" x14ac:dyDescent="0.25">
      <c r="C2755"/>
    </row>
    <row r="2756" spans="3:3" x14ac:dyDescent="0.25">
      <c r="C2756"/>
    </row>
    <row r="2757" spans="3:3" x14ac:dyDescent="0.25">
      <c r="C2757"/>
    </row>
    <row r="2758" spans="3:3" x14ac:dyDescent="0.25">
      <c r="C2758"/>
    </row>
    <row r="2759" spans="3:3" x14ac:dyDescent="0.25">
      <c r="C2759"/>
    </row>
    <row r="2760" spans="3:3" x14ac:dyDescent="0.25">
      <c r="C2760"/>
    </row>
    <row r="2761" spans="3:3" x14ac:dyDescent="0.25">
      <c r="C2761"/>
    </row>
    <row r="2762" spans="3:3" x14ac:dyDescent="0.25">
      <c r="C2762"/>
    </row>
    <row r="2763" spans="3:3" x14ac:dyDescent="0.25">
      <c r="C2763"/>
    </row>
    <row r="2764" spans="3:3" x14ac:dyDescent="0.25">
      <c r="C2764"/>
    </row>
    <row r="2765" spans="3:3" x14ac:dyDescent="0.25">
      <c r="C2765"/>
    </row>
    <row r="2766" spans="3:3" x14ac:dyDescent="0.25">
      <c r="C2766"/>
    </row>
    <row r="2767" spans="3:3" x14ac:dyDescent="0.25">
      <c r="C2767"/>
    </row>
    <row r="2768" spans="3:3" x14ac:dyDescent="0.25">
      <c r="C2768"/>
    </row>
    <row r="2769" spans="3:3" x14ac:dyDescent="0.25">
      <c r="C2769"/>
    </row>
    <row r="2770" spans="3:3" x14ac:dyDescent="0.25">
      <c r="C2770"/>
    </row>
    <row r="2771" spans="3:3" x14ac:dyDescent="0.25">
      <c r="C2771"/>
    </row>
    <row r="2772" spans="3:3" x14ac:dyDescent="0.25">
      <c r="C2772"/>
    </row>
    <row r="2773" spans="3:3" x14ac:dyDescent="0.25">
      <c r="C2773"/>
    </row>
    <row r="2774" spans="3:3" x14ac:dyDescent="0.25">
      <c r="C2774"/>
    </row>
    <row r="2775" spans="3:3" x14ac:dyDescent="0.25">
      <c r="C2775"/>
    </row>
    <row r="2776" spans="3:3" x14ac:dyDescent="0.25">
      <c r="C2776"/>
    </row>
    <row r="2777" spans="3:3" x14ac:dyDescent="0.25">
      <c r="C2777"/>
    </row>
    <row r="2778" spans="3:3" x14ac:dyDescent="0.25">
      <c r="C2778"/>
    </row>
    <row r="2779" spans="3:3" x14ac:dyDescent="0.25">
      <c r="C2779"/>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E43F04-E433-44DA-B793-5C29CA07DE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5</vt:i4>
      </vt:variant>
    </vt:vector>
  </HeadingPairs>
  <TitlesOfParts>
    <vt:vector size="10" baseType="lpstr">
      <vt:lpstr>Planilha1</vt:lpstr>
      <vt:lpstr>Planilha3</vt:lpstr>
      <vt:lpstr>Roster</vt:lpstr>
      <vt:lpstr>Players per College</vt:lpstr>
      <vt:lpstr>Transactions</vt:lpstr>
      <vt:lpstr>DEFENSE</vt:lpstr>
      <vt:lpstr>OFFENSE</vt:lpstr>
      <vt:lpstr>SP_TEAMS</vt:lpstr>
      <vt:lpstr>TRANSAC_RECENT</vt:lpstr>
      <vt:lpstr>TRANSAC_TEAM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dc:creator>
  <cp:lastModifiedBy>marcelo</cp:lastModifiedBy>
  <dcterms:created xsi:type="dcterms:W3CDTF">2022-07-10T14:59:15Z</dcterms:created>
  <dcterms:modified xsi:type="dcterms:W3CDTF">2022-07-22T13:32:59Z</dcterms:modified>
</cp:coreProperties>
</file>